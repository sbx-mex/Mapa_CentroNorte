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93018c7914e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99e9897d01ff4756"/>
    <x:sheet xmlns:r="http://schemas.openxmlformats.org/officeDocument/2006/relationships" name="Ubicaciones" sheetId="2" r:id="R51d6e61ec8614f66"/>
    <x:sheet xmlns:r="http://schemas.openxmlformats.org/officeDocument/2006/relationships" name="Indicadores" sheetId="3" r:id="R480e1b29a94e4d92"/>
    <x:sheet xmlns:r="http://schemas.openxmlformats.org/officeDocument/2006/relationships" name="Catalogos" sheetId="4" r:id="R4020e46baf4b4b02"/>
    <x:sheet xmlns:r="http://schemas.openxmlformats.org/officeDocument/2006/relationships" name="Validacion" sheetId="5" r:id="Ra354a3c845b94d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164" formatCode="0.0%"/>
    <x:numFmt numFmtId="165" formatCode="&quot;$&quot;#,##0"/>
    <x:numFmt numFmtId="166" formatCode="0.0"/>
    <x:numFmt numFmtId="167" formatCode="dd/mm/yy"/>
    <x:numFmt numFmtId="168" formatCode="0.00000"/>
    <x:numFmt numFmtId="200" formatCode="@"/>
    <x:numFmt numFmtId="201" formatCode="dd/mm/yyyy"/>
    <x:numFmt numFmtId="202" formatCode="0.00000000"/>
    <x:numFmt numFmtId="203" formatCode="#,##0"/>
    <x:numFmt numFmtId="204" formatCode="0"/>
  </x:numFmts>
  <x:fonts count="20">
    <x:font>
      <x:sz val="11"/>
      <x:name val="Carlito"/>
    </x:font>
    <x:font>
      <x:b/>
      <x:sz val="22"/>
      <x:color rgb="FFFFFFFF"/>
      <x:name val="Carlito"/>
    </x:font>
    <x:font>
      <x:b/>
      <x:sz val="11"/>
      <x:color rgb="FFFFFFFF"/>
      <x:name val="Carlito"/>
    </x:font>
    <x:font>
      <x:b/>
      <x:sz val="11"/>
      <x:color rgb="FF006241"/>
      <x:name val="Carlito"/>
    </x:font>
    <x:font>
      <x:b/>
      <x:sz val="11"/>
      <x:color rgb="FF12372A"/>
      <x:name val="Carlito"/>
    </x:font>
    <x:font>
      <x:b/>
      <x:sz val="16"/>
      <x:color rgb="FF006241"/>
      <x:name val="Carlito"/>
    </x:font>
    <x:font>
      <x:i/>
      <x:sz val="11"/>
      <x:color rgb="FF12372A"/>
      <x:name val="Carlito"/>
    </x:font>
    <x:font>
      <x:b/>
      <x:sz val="20"/>
      <x:color rgb="FFFFFFFF"/>
      <x:name val="Carlito"/>
    </x:font>
    <x:font>
      <x:sz val="8"/>
      <x:name val="Carlito"/>
    </x:font>
    <x:font>
      <x:sz val="10"/>
      <x:color rgb="FF254532"/>
      <x:name val="Arial"/>
    </x:font>
    <x:font>
      <x:b/>
      <x:sz val="10"/>
      <x:color rgb="FFFFFFFF"/>
      <x:name val="Arial"/>
    </x:font>
    <x:font>
      <x:b/>
      <x:sz val="16"/>
      <x:color rgb="FF006241"/>
      <x:name val="Arial"/>
    </x:font>
    <x:font>
      <x:b/>
      <x:sz val="10"/>
      <x:color rgb="FF006241"/>
      <x:name val="Arial"/>
    </x:font>
    <x:font>
      <x:b/>
      <x:sz val="10"/>
      <x:color rgb="FFB04270"/>
      <x:name val="Arial"/>
    </x:font>
    <x:font>
      <x:b/>
      <x:sz val="10"/>
      <x:color rgb="FF7453A6"/>
      <x:name val="Arial"/>
    </x:font>
    <x:font>
      <x:b/>
      <x:sz val="10"/>
      <x:color rgb="FF2876B2"/>
      <x:name val="Arial"/>
    </x:font>
    <x:font>
      <x:b/>
      <x:sz val="10"/>
      <x:color rgb="FFC26A16"/>
      <x:name val="Arial"/>
    </x:font>
    <x:font>
      <x:b/>
      <x:sz val="10"/>
      <x:color rgb="FF264932"/>
      <x:name val="Arial"/>
    </x:font>
    <x:font>
      <x:b/>
      <x:sz val="12"/>
      <x:color rgb="FF006241"/>
      <x:name val="Arial"/>
    </x:font>
    <x:font>
      <x:b/>
      <x:sz val="10"/>
      <x:color rgb="FF254532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2372A"/>
      </x:patternFill>
    </x:fill>
    <x:fill>
      <x:patternFill patternType="solid">
        <x:fgColor rgb="FFDFF2E9"/>
      </x:patternFill>
    </x:fill>
    <x:fill>
      <x:patternFill patternType="solid">
        <x:fgColor rgb="FF006241"/>
      </x:patternFill>
    </x:fill>
    <x:fill>
      <x:patternFill patternType="solid">
        <x:fgColor rgb="FFF6F3ED"/>
      </x:patternFill>
    </x:fill>
    <x:fill>
      <x:patternFill patternType="solid">
        <x:fgColor rgb="FF006241"/>
      </x:patternFill>
    </x:fill>
    <x:fill>
      <x:patternFill patternType="solid">
        <x:fgColor rgb="FFE8F0E6"/>
      </x:patternFill>
    </x:fill>
    <x:fill>
      <x:patternFill patternType="solid">
        <x:fgColor rgb="FF006241"/>
      </x:patternFill>
    </x:fill>
    <x:fill>
      <x:patternFill patternType="solid">
        <x:fgColor rgb="FFE8F0E6"/>
      </x:patternFill>
    </x:fill>
    <x:fill>
      <x:patternFill patternType="solid">
        <x:fgColor rgb="FF006241"/>
      </x:patternFill>
    </x:fill>
    <x:fill>
      <x:patternFill patternType="solid">
        <x:fgColor rgb="FFE8F0E6"/>
      </x:patternFill>
    </x:fill>
    <x:fill>
      <x:patternFill patternType="solid">
        <x:fgColor rgb="FF006241"/>
      </x:patternFill>
    </x:fill>
  </x:fills>
  <x:borders count="19">
    <x:border>
      <x:left/>
      <x:right/>
      <x:top/>
      <x:bottom/>
      <x:diagonal/>
    </x:border>
    <x:border>
      <x:left style="thin">
        <x:color rgb="FFD8E0DC"/>
      </x:left>
      <x:right/>
      <x:top style="thin">
        <x:color rgb="FFD8E0DC"/>
      </x:top>
      <x:bottom/>
      <x:diagonal/>
    </x:border>
    <x:border>
      <x:left/>
      <x:right/>
      <x:top style="thin">
        <x:color rgb="FFD8E0DC"/>
      </x:top>
      <x:bottom/>
      <x:diagonal/>
    </x:border>
    <x:border>
      <x:left/>
      <x:right style="thin">
        <x:color rgb="FFD8E0DC"/>
      </x:right>
      <x:top style="thin">
        <x:color rgb="FFD8E0DC"/>
      </x:top>
      <x:bottom/>
      <x:diagonal/>
    </x:border>
    <x:border>
      <x:left style="thin">
        <x:color rgb="FFD8E0DC"/>
      </x:left>
      <x:right/>
      <x:top/>
      <x:bottom/>
      <x:diagonal/>
    </x:border>
    <x:border>
      <x:left/>
      <x:right style="thin">
        <x:color rgb="FFD8E0DC"/>
      </x:right>
      <x:top/>
      <x:bottom/>
      <x:diagonal/>
    </x:border>
    <x:border>
      <x:left style="thin">
        <x:color rgb="FFD8E0DC"/>
      </x:left>
      <x:right/>
      <x:top/>
      <x:bottom style="thin">
        <x:color rgb="FFD8E0DC"/>
      </x:bottom>
      <x:diagonal/>
    </x:border>
    <x:border>
      <x:left/>
      <x:right/>
      <x:top/>
      <x:bottom style="thin">
        <x:color rgb="FFD8E0DC"/>
      </x:bottom>
      <x:diagonal/>
    </x:border>
    <x:border>
      <x:left/>
      <x:right style="thin">
        <x:color rgb="FFD8E0DC"/>
      </x:right>
      <x:top/>
      <x:bottom style="thin">
        <x:color rgb="FFD8E0DC"/>
      </x:bottom>
      <x:diagonal/>
    </x:border>
    <x:border>
      <x:left/>
      <x:right style="thin">
        <x:color rgb="FFE8ECEA"/>
      </x:right>
      <x:top/>
      <x:bottom style="thin">
        <x:color rgb="FFE8ECEA"/>
      </x:bottom>
      <x:diagonal/>
    </x:border>
    <x:border>
      <x:left style="thin">
        <x:color rgb="FFE8ECEA"/>
      </x:left>
      <x:right style="thin">
        <x:color rgb="FFE8ECEA"/>
      </x:right>
      <x:top/>
      <x:bottom style="thin">
        <x:color rgb="FFE8ECEA"/>
      </x:bottom>
      <x:diagonal/>
    </x:border>
    <x:border>
      <x:left style="thin">
        <x:color rgb="FFE8ECEA"/>
      </x:left>
      <x:right/>
      <x:top/>
      <x:bottom style="thin">
        <x:color rgb="FFE8ECEA"/>
      </x:bottom>
      <x:diagonal/>
    </x:border>
    <x:border>
      <x:left/>
      <x:right style="thin">
        <x:color rgb="FFE8ECEA"/>
      </x:right>
      <x:top style="thin">
        <x:color rgb="FFE8ECEA"/>
      </x:top>
      <x:bottom style="thin">
        <x:color rgb="FFE8ECEA"/>
      </x:bottom>
      <x:diagonal/>
    </x:border>
    <x:border>
      <x:left style="thin">
        <x:color rgb="FFE8ECEA"/>
      </x:left>
      <x:right style="thin">
        <x:color rgb="FFE8ECEA"/>
      </x:right>
      <x:top style="thin">
        <x:color rgb="FFE8ECEA"/>
      </x:top>
      <x:bottom style="thin">
        <x:color rgb="FFE8ECEA"/>
      </x:bottom>
      <x:diagonal/>
    </x:border>
    <x:border>
      <x:left style="thin">
        <x:color rgb="FFE8ECEA"/>
      </x:left>
      <x:right/>
      <x:top style="thin">
        <x:color rgb="FFE8ECEA"/>
      </x:top>
      <x:bottom style="thin">
        <x:color rgb="FFE8ECEA"/>
      </x:bottom>
      <x:diagonal/>
    </x:border>
    <x:border>
      <x:left/>
      <x:right style="thin">
        <x:color rgb="FFE8ECEA"/>
      </x:right>
      <x:top style="thin">
        <x:color rgb="FFE8ECEA"/>
      </x:top>
      <x:bottom/>
      <x:diagonal/>
    </x:border>
    <x:border>
      <x:left style="thin">
        <x:color rgb="FFE8ECEA"/>
      </x:left>
      <x:right style="thin">
        <x:color rgb="FFE8ECEA"/>
      </x:right>
      <x:top style="thin">
        <x:color rgb="FFE8ECEA"/>
      </x:top>
      <x:bottom/>
      <x:diagonal/>
    </x:border>
    <x:border>
      <x:left style="thin">
        <x:color rgb="FFE8ECEA"/>
      </x:left>
      <x:right/>
      <x:top style="thin">
        <x:color rgb="FFE8ECEA"/>
      </x:top>
      <x:bottom/>
      <x:diagonal/>
    </x:border>
    <x:border>
      <x:left/>
      <x:right/>
      <x:top style="thin">
        <x:color rgb="FFA8BFA6"/>
      </x:top>
      <x:bottom/>
      <x:diagonal/>
    </x:border>
  </x:borders>
  <x:cellStyleXfs count="1">
    <x:xf numFmtId="0" fontId="0" fillId="0" borderId="0"/>
  </x:cellStyleXfs>
  <x:cellXfs count="110">
    <x:xf numFmtId="0" fontId="0" fillId="0" borderId="0" xfId="0"/>
    <x:xf numFmtId="0" fontId="3" fillId="3" borderId="0" xfId="0" applyFont="1" applyFill="1" applyAlignment="1">
      <x:alignment horizontal="center"/>
    </x:xf>
    <x:xf numFmtId="0" fontId="4" fillId="0" borderId="0" xfId="0" applyFont="1"/>
    <x:xf numFmtId="0" fontId="2" fillId="4" borderId="0" xfId="0" applyFont="1" applyFill="1" applyAlignment="1">
      <x:alignment vertical="center" wrapText="1"/>
    </x:xf>
    <x:xf numFmtId="3" fontId="5" fillId="3" borderId="0" xfId="0" applyNumberFormat="1" applyFont="1" applyFill="1"/>
    <x:xf numFmtId="0" fontId="6" fillId="5" borderId="0" xfId="0" applyFont="1" applyFill="1" applyAlignment="1">
      <x:alignment vertical="center" wrapText="1"/>
    </x:xf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16" xfId="0" applyBorder="1"/>
    <x:xf numFmtId="0" fontId="0" fillId="0" borderId="17" xfId="0" applyBorder="1"/>
    <x:xf numFmtId="0" fontId="2" fillId="4" borderId="9" xfId="0" applyFont="1" applyFill="1" applyBorder="1" applyAlignment="1">
      <x:alignment vertical="center" wrapText="1"/>
    </x:xf>
    <x:xf numFmtId="0" fontId="2" fillId="4" borderId="10" xfId="0" applyFont="1" applyFill="1" applyBorder="1" applyAlignment="1">
      <x:alignment vertical="center" wrapText="1"/>
    </x:xf>
    <x:xf numFmtId="0" fontId="2" fillId="4" borderId="11" xfId="0" applyFont="1" applyFill="1" applyBorder="1" applyAlignment="1">
      <x:alignment vertical="center" wrapText="1"/>
    </x:xf>
    <x:xf numFmtId="49" fontId="0" fillId="0" borderId="0" xfId="0" applyNumberFormat="1"/>
    <x:xf numFmtId="49" fontId="0" fillId="0" borderId="0" xfId="0" applyNumberFormat="1" applyAlignment="1">
      <x:alignment vertical="center"/>
    </x:xf>
    <x:xf numFmtId="0" fontId="0" fillId="0" borderId="0" xfId="0" applyAlignment="1">
      <x:alignment vertical="center"/>
    </x:xf>
    <x:xf numFmtId="164" fontId="0" fillId="0" borderId="0" xfId="0" applyNumberFormat="1"/>
    <x:xf numFmtId="165" fontId="0" fillId="0" borderId="0" xfId="0" applyNumberFormat="1"/>
    <x:xf numFmtId="166" fontId="0" fillId="0" borderId="0" xfId="0" applyNumberFormat="1"/>
    <x:xf numFmtId="167" fontId="0" fillId="0" borderId="13" xfId="0" applyNumberFormat="1" applyBorder="1" applyAlignment="1">
      <x:alignment vertical="center"/>
    </x:xf>
    <x:xf numFmtId="168" fontId="8" fillId="0" borderId="13" xfId="0" applyNumberFormat="1" applyFont="1" applyBorder="1" applyAlignment="1">
      <x:alignment vertical="center"/>
    </x:xf>
    <x:xf numFmtId="168" fontId="8" fillId="0" borderId="16" xfId="0" applyNumberFormat="1" applyFont="1" applyBorder="1" applyAlignment="1">
      <x:alignment vertical="center"/>
    </x:xf>
    <x:xf numFmtId="0" fontId="8" fillId="0" borderId="13" xfId="0" applyFont="1" applyBorder="1" applyAlignment="1">
      <x:alignment vertical="center"/>
    </x:xf>
    <x:xf numFmtId="167" fontId="8" fillId="0" borderId="13" xfId="0" applyNumberFormat="1" applyFont="1" applyBorder="1" applyAlignment="1">
      <x:alignment vertical="center"/>
    </x:xf>
    <x:xf numFmtId="0" fontId="8" fillId="0" borderId="14" xfId="0" applyFont="1" applyBorder="1" applyAlignment="1">
      <x:alignment vertical="center"/>
    </x:xf>
    <x:xf numFmtId="0" fontId="8" fillId="0" borderId="16" xfId="0" applyFont="1" applyBorder="1" applyAlignment="1">
      <x:alignment vertical="center"/>
    </x:xf>
    <x:xf numFmtId="167" fontId="8" fillId="0" borderId="16" xfId="0" applyNumberFormat="1" applyFont="1" applyBorder="1" applyAlignment="1">
      <x:alignment vertical="center"/>
    </x:xf>
    <x:xf numFmtId="0" fontId="8" fillId="0" borderId="17" xfId="0" applyFont="1" applyBorder="1" applyAlignment="1">
      <x:alignment vertical="center"/>
    </x:xf>
    <x:xf numFmtId="0" fontId="8" fillId="0" borderId="12" xfId="0" applyFont="1" applyBorder="1" applyAlignment="1">
      <x:alignment horizontal="center" vertical="top"/>
    </x:xf>
    <x:xf numFmtId="0" fontId="1" fillId="2" borderId="0" xfId="0" applyFont="1" applyFill="1" applyAlignment="1">
      <x:alignment vertical="center"/>
    </x:xf>
    <x:xf numFmtId="0" fontId="2" fillId="2" borderId="0" xfId="0" applyFont="1" applyFill="1"/>
    <x:xf numFmtId="0" fontId="6" fillId="5" borderId="1" xfId="0" applyFont="1" applyFill="1" applyBorder="1" applyAlignment="1">
      <x:alignment vertical="center" wrapText="1"/>
    </x:xf>
    <x:xf numFmtId="0" fontId="6" fillId="5" borderId="2" xfId="0" applyFont="1" applyFill="1" applyBorder="1" applyAlignment="1">
      <x:alignment vertical="center" wrapText="1"/>
    </x:xf>
    <x:xf numFmtId="0" fontId="6" fillId="5" borderId="3" xfId="0" applyFont="1" applyFill="1" applyBorder="1" applyAlignment="1">
      <x:alignment vertical="center" wrapText="1"/>
    </x:xf>
    <x:xf numFmtId="0" fontId="6" fillId="5" borderId="4" xfId="0" applyFont="1" applyFill="1" applyBorder="1" applyAlignment="1">
      <x:alignment vertical="center" wrapText="1"/>
    </x:xf>
    <x:xf numFmtId="0" fontId="6" fillId="5" borderId="0" xfId="0" applyFont="1" applyFill="1" applyAlignment="1">
      <x:alignment vertical="center" wrapText="1"/>
    </x:xf>
    <x:xf numFmtId="0" fontId="6" fillId="5" borderId="5" xfId="0" applyFont="1" applyFill="1" applyBorder="1" applyAlignment="1">
      <x:alignment vertical="center" wrapText="1"/>
    </x:xf>
    <x:xf numFmtId="0" fontId="6" fillId="5" borderId="6" xfId="0" applyFont="1" applyFill="1" applyBorder="1" applyAlignment="1">
      <x:alignment vertical="center" wrapText="1"/>
    </x:xf>
    <x:xf numFmtId="0" fontId="6" fillId="5" borderId="7" xfId="0" applyFont="1" applyFill="1" applyBorder="1" applyAlignment="1">
      <x:alignment vertical="center" wrapText="1"/>
    </x:xf>
    <x:xf numFmtId="0" fontId="6" fillId="5" borderId="8" xfId="0" applyFont="1" applyFill="1" applyBorder="1" applyAlignment="1">
      <x:alignment vertical="center" wrapText="1"/>
    </x:xf>
    <x:xf numFmtId="0" fontId="7" fillId="2" borderId="0" xfId="0" applyFont="1" applyFill="1" applyAlignment="1">
      <x:alignment vertical="center"/>
    </x:xf>
    <x:xf numFmtId="49" fontId="8" fillId="0" borderId="15" xfId="0" applyNumberFormat="1" applyFont="1" applyBorder="1" applyAlignment="1">
      <x:alignment horizontal="center" vertical="top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200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horizontal="center" wrapText="1"/>
    </x:xf>
    <x:xf numFmtId="0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17" fillId="7" borderId="0" xfId="0" applyNumberFormat="1" applyFont="1" applyFill="1" applyBorder="1" applyAlignment="1">
      <x:alignment vertical="center"/>
    </x:xf>
    <x:xf numFmtId="0" fontId="17" fillId="7" borderId="18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3" fontId="17" fillId="7" borderId="18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horizontal="center" wrapText="1"/>
    </x:xf>
    <x:xf numFmtId="0" fontId="9" fillId="9" borderId="0" xfId="0" applyNumberFormat="1" applyFont="1" applyFill="1" applyBorder="1" applyAlignment="1">
      <x:alignment vertical="center"/>
    </x:xf>
    <x:xf numFmtId="0" fontId="17" fillId="9" borderId="0" xfId="0" applyNumberFormat="1" applyFont="1" applyFill="1" applyBorder="1" applyAlignment="1">
      <x:alignment vertical="center"/>
    </x:xf>
    <x:xf numFmtId="0" fontId="17" fillId="9" borderId="18" xfId="0" applyNumberFormat="1" applyFont="1" applyFill="1" applyBorder="1" applyAlignment="1">
      <x:alignment vertical="center"/>
    </x:xf>
    <x:xf numFmtId="203" fontId="17" fillId="9" borderId="18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horizontal="center" wrapText="1"/>
    </x:xf>
    <x:xf numFmtId="0" fontId="9" fillId="11" borderId="0" xfId="0" applyNumberFormat="1" applyFont="1" applyFill="1" applyBorder="1" applyAlignment="1">
      <x:alignment vertical="center"/>
    </x:xf>
    <x:xf numFmtId="0" fontId="17" fillId="11" borderId="0" xfId="0" applyNumberFormat="1" applyFont="1" applyFill="1" applyBorder="1" applyAlignment="1">
      <x:alignment vertical="center"/>
    </x:xf>
    <x:xf numFmtId="0" fontId="17" fillId="11" borderId="18" xfId="0" applyNumberFormat="1" applyFont="1" applyFill="1" applyBorder="1" applyAlignment="1">
      <x:alignment vertical="center"/>
    </x:xf>
    <x:xf numFmtId="203" fontId="17" fillId="11" borderId="18" xfId="0" applyNumberFormat="1" applyFont="1" applyFill="1" applyBorder="1" applyAlignment="1">
      <x:alignment vertical="center"/>
    </x:xf>
    <x:xf numFmtId="0" fontId="19" fillId="4" borderId="0" xfId="0" applyNumberFormat="1" applyFont="1" applyFill="1" applyBorder="1" applyAlignment="1">
      <x:alignment vertical="center" wrapText="1"/>
    </x:xf>
    <x:xf numFmtId="167" fontId="9" fillId="0" borderId="13" xfId="0" applyNumberFormat="1" applyFont="1" applyFill="1" applyBorder="1" applyAlignment="1">
      <x:alignment vertical="center"/>
    </x:xf>
    <x:xf numFmtId="164" fontId="9" fillId="0" borderId="0" xfId="0" applyNumberFormat="1" applyFont="1" applyFill="1" applyBorder="1"/>
    <x:xf numFmtId="166" fontId="9" fillId="0" borderId="0" xfId="0" applyNumberFormat="1" applyFont="1" applyFill="1" applyBorder="1"/>
    <x:xf numFmtId="165" fontId="9" fillId="0" borderId="0" xfId="0" applyNumberFormat="1" applyFont="1" applyFill="1" applyBorder="1"/>
    <x:xf numFmtId="49" fontId="9" fillId="0" borderId="0" xfId="0" applyNumberFormat="1" applyFont="1" applyFill="1" applyBorder="1"/>
    <x:xf numFmtId="164" fontId="9" fillId="0" borderId="0" xfId="0" applyNumberFormat="1" applyFont="1" applyFill="1" applyBorder="1" applyAlignment="1">
      <x:alignment vertical="center"/>
    </x:xf>
    <x:xf numFmtId="166" fontId="9" fillId="0" borderId="0" xfId="0" applyNumberFormat="1" applyFont="1" applyFill="1" applyBorder="1" applyAlignment="1">
      <x:alignment vertical="center"/>
    </x:xf>
    <x:xf numFmtId="165" fontId="9" fillId="0" borderId="0" xfId="0" applyNumberFormat="1" applyFont="1" applyFill="1" applyBorder="1" applyAlignment="1">
      <x:alignment vertical="center"/>
    </x:xf>
    <x:xf numFmtId="49" fontId="9" fillId="0" borderId="0" xfId="0" applyNumberFormat="1" applyFont="1" applyFill="1" applyBorder="1" applyAlignment="1">
      <x:alignment vertical="center"/>
    </x:xf>
    <x:xf numFmtId="0" fontId="19" fillId="12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horizontal="center" vertical="center" wrapText="1"/>
    </x:xf>
    <x:xf numFmtId="201" fontId="9" fillId="0" borderId="13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7">
    <x:dxf>
      <x:font>
        <x:u val="none"/>
        <x:sz val="8"/>
        <x:color auto="1"/>
        <x:name val="Carlito"/>
        <x:scheme val="none"/>
      </x:font>
      <x:border>
        <x:left style="thin">
          <x:color rgb="FFE8ECEA"/>
        </x:left>
        <x:right/>
        <x:top style="thin">
          <x:color rgb="FFE8ECEA"/>
        </x:top>
        <x:bottom style="thin">
          <x:color rgb="FFE8ECEA"/>
        </x:bottom>
      </x:border>
    </x:dxf>
    <x:dxf>
      <x:font>
        <x:u val="none"/>
        <x:sz val="8"/>
        <x:color auto="1"/>
        <x:name val="Carlito"/>
        <x:scheme val="none"/>
      </x:font>
      <x:numFmt numFmtId="168" formatCode="0.00000"/>
      <x:border>
        <x:left style="thin">
          <x:color rgb="FFE8ECEA"/>
        </x:left>
        <x:right style="thin">
          <x:color rgb="FFE8ECEA"/>
        </x:right>
        <x:top style="thin">
          <x:color rgb="FFE8ECEA"/>
        </x:top>
        <x:bottom style="thin">
          <x:color rgb="FFE8ECEA"/>
        </x:bottom>
      </x:border>
    </x:dxf>
    <x:dxf>
      <x:font>
        <x:u val="none"/>
        <x:sz val="8"/>
        <x:color auto="1"/>
        <x:name val="Carlito"/>
        <x:scheme val="none"/>
      </x:font>
      <x:numFmt numFmtId="168" formatCode="0.00000"/>
      <x:border>
        <x:left style="thin">
          <x:color rgb="FFE8ECEA"/>
        </x:left>
        <x:right style="thin">
          <x:color rgb="FFE8ECEA"/>
        </x:right>
        <x:top style="thin">
          <x:color rgb="FFE8ECEA"/>
        </x:top>
        <x:bottom style="thin">
          <x:color rgb="FFE8ECEA"/>
        </x:bottom>
      </x:border>
    </x:dxf>
    <x:dxf>
      <x:font>
        <x:u val="none"/>
        <x:sz val="8"/>
        <x:color auto="1"/>
        <x:name val="Carlito"/>
        <x:scheme val="none"/>
      </x:font>
      <x:border>
        <x:left style="thin">
          <x:color rgb="FFE8ECEA"/>
        </x:left>
        <x:right style="thin">
          <x:color rgb="FFE8ECEA"/>
        </x:right>
        <x:top style="thin">
          <x:color rgb="FFE8ECEA"/>
        </x:top>
        <x:bottom style="thin">
          <x:color rgb="FFE8ECEA"/>
        </x:bottom>
      </x:border>
    </x:dxf>
    <x:dxf>
      <x:font>
        <x:u val="none"/>
        <x:sz val="8"/>
        <x:color auto="1"/>
        <x:name val="Carlito"/>
        <x:scheme val="none"/>
      </x:font>
      <x:border>
        <x:left style="thin">
          <x:color rgb="FFE8ECEA"/>
        </x:left>
        <x:right style="thin">
          <x:color rgb="FFE8ECEA"/>
        </x:right>
        <x:top style="thin">
          <x:color rgb="FFE8ECEA"/>
        </x:top>
        <x:bottom style="thin">
          <x:color rgb="FFE8ECEA"/>
        </x:bottom>
      </x:border>
    </x:dxf>
    <x:dxf>
      <x:font>
        <x:u val="none"/>
        <x:sz val="8"/>
        <x:color auto="1"/>
        <x:name val="Carlito"/>
        <x:scheme val="none"/>
      </x:font>
      <x:border>
        <x:left style="thin">
          <x:color rgb="FFE8ECEA"/>
        </x:left>
        <x:right style="thin">
          <x:color rgb="FFE8ECEA"/>
        </x:right>
        <x:top style="thin">
          <x:color rgb="FFE8ECEA"/>
        </x:top>
        <x:bottom style="thin">
          <x:color rgb="FFE8ECEA"/>
        </x:bottom>
      </x:border>
    </x:dxf>
    <x:dxf>
      <x:font>
        <x:u val="none"/>
        <x:sz val="8"/>
        <x:color auto="1"/>
        <x:name val="Carlito"/>
        <x:scheme val="none"/>
      </x:font>
      <x:border>
        <x:left style="thin">
          <x:color rgb="FFE8ECEA"/>
        </x:left>
        <x:right style="thin">
          <x:color rgb="FFE8ECEA"/>
        </x:right>
        <x:top style="thin">
          <x:color rgb="FFE8ECEA"/>
        </x:top>
        <x:bottom style="thin">
          <x:color rgb="FFE8ECEA"/>
        </x:bottom>
      </x:border>
    </x:dxf>
    <x:dxf>
      <x:font>
        <x:u val="none"/>
        <x:sz val="8"/>
        <x:color auto="1"/>
        <x:name val="Carlito"/>
        <x:scheme val="none"/>
      </x:font>
      <x:border>
        <x:left style="thin">
          <x:color rgb="FFE8ECEA"/>
        </x:left>
        <x:right style="thin">
          <x:color rgb="FFE8ECEA"/>
        </x:right>
        <x:top style="thin">
          <x:color rgb="FFE8ECEA"/>
        </x:top>
        <x:bottom style="thin">
          <x:color rgb="FFE8ECEA"/>
        </x:bottom>
      </x:border>
    </x:dxf>
    <x:dxf>
      <x:font>
        <x:u val="none"/>
        <x:sz val="8"/>
        <x:color auto="1"/>
        <x:name val="Carlito"/>
        <x:scheme val="none"/>
      </x:font>
      <x:numFmt numFmtId="167" formatCode="dd/mm/yy"/>
      <x:border>
        <x:left style="thin">
          <x:color rgb="FFE8ECEA"/>
        </x:left>
        <x:right style="thin">
          <x:color rgb="FFE8ECEA"/>
        </x:right>
        <x:top style="thin">
          <x:color rgb="FFE8ECEA"/>
        </x:top>
        <x:bottom style="thin">
          <x:color rgb="FFE8ECEA"/>
        </x:bottom>
      </x:border>
    </x:dxf>
    <x:dxf>
      <x:font>
        <x:u val="none"/>
        <x:sz val="8"/>
        <x:color auto="1"/>
        <x:name val="Carlito"/>
        <x:scheme val="none"/>
      </x:font>
      <x:border>
        <x:left style="thin">
          <x:color rgb="FFE8ECEA"/>
        </x:left>
        <x:right style="thin">
          <x:color rgb="FFE8ECEA"/>
        </x:right>
        <x:top style="thin">
          <x:color rgb="FFE8ECEA"/>
        </x:top>
        <x:bottom style="thin">
          <x:color rgb="FFE8ECEA"/>
        </x:bottom>
      </x:border>
    </x:dxf>
    <x:dxf>
      <x:font>
        <x:u val="none"/>
        <x:sz val="8"/>
        <x:color auto="1"/>
        <x:name val="Carlito"/>
        <x:scheme val="none"/>
      </x:font>
      <x:border>
        <x:left style="thin">
          <x:color rgb="FFE8ECEA"/>
        </x:left>
        <x:right style="thin">
          <x:color rgb="FFE8ECEA"/>
        </x:right>
        <x:top style="thin">
          <x:color rgb="FFE8ECEA"/>
        </x:top>
        <x:bottom style="thin">
          <x:color rgb="FFE8ECEA"/>
        </x:bottom>
      </x:border>
    </x:dxf>
    <x:dxf>
      <x:font>
        <x:u val="none"/>
        <x:sz val="8"/>
        <x:color auto="1"/>
        <x:name val="Carlito"/>
        <x:scheme val="none"/>
      </x:font>
      <x:border>
        <x:left/>
        <x:right style="thin">
          <x:color rgb="FFE8ECEA"/>
        </x:right>
        <x:top style="thin">
          <x:color rgb="FFE8ECEA"/>
        </x:top>
        <x:bottom style="thin">
          <x:color rgb="FFE8ECEA"/>
        </x:bottom>
      </x:border>
    </x:dxf>
    <x:dxf>
      <x:font>
        <x:b/>
        <x:color rgb="FF9B2C2C"/>
      </x:font>
      <x:fill>
        <x:patternFill>
          <x:bgColor rgb="FFFDE8E7"/>
        </x:patternFill>
      </x:fill>
    </x:dxf>
    <x:dxf>
      <x:font>
        <x:b/>
        <x:color rgb="FF9B2C2C"/>
      </x:font>
      <x:fill>
        <x:patternFill>
          <x:bgColor rgb="FFFDE8E7"/>
        </x:patternFill>
      </x:fill>
    </x:dxf>
    <x:dxf>
      <x:font>
        <x:b/>
        <x:color rgb="FF7A5B00"/>
      </x:font>
      <x:fill>
        <x:patternFill>
          <x:bgColor rgb="FFFFF3CD"/>
        </x:patternFill>
      </x:fill>
    </x:dxf>
    <x:dxf>
      <x:numFmt numFmtId="167" formatCode="dd/mm/yy"/>
      <x:border>
        <x:left style="thin">
          <x:color rgb="FFE8ECEA"/>
        </x:left>
        <x:right style="thin">
          <x:color rgb="FFE8ECEA"/>
        </x:right>
        <x:top style="thin">
          <x:color rgb="FFE8ECEA"/>
        </x:top>
        <x:bottom style="thin">
          <x:color rgb="FFE8ECEA"/>
        </x:bottom>
      </x:border>
    </x:dxf>
    <x:dxf>
      <x:font>
        <x:b/>
        <x:color rgb="FF006241"/>
      </x:font>
    </x:dxf>
    <x:dxf>
      <x:font>
        <x:b/>
        <x:color rgb="FFB04270"/>
      </x:font>
    </x:dxf>
    <x:dxf>
      <x:font>
        <x:b/>
        <x:color rgb="FF7453A6"/>
      </x:font>
    </x:dxf>
    <x:dxf>
      <x:font>
        <x:b/>
        <x:color rgb="FF2876B2"/>
      </x:font>
    </x:dxf>
    <x:dxf>
      <x:font>
        <x:b/>
        <x:color rgb="FFC26A16"/>
      </x:font>
    </x:dxf>
    <x:dxf>
      <x:font>
        <x:b/>
        <x:color rgb="FF943E23"/>
      </x:font>
      <x:fill>
        <x:patternFill>
          <x:bgColor rgb="FFF9E4DC"/>
        </x:patternFill>
      </x:fill>
    </x:dxf>
    <x:dxf>
      <x:font>
        <x:b/>
        <x:color rgb="FF943E23"/>
      </x:font>
      <x:fill>
        <x:patternFill>
          <x:bgColor rgb="FFF9E4DC"/>
        </x:patternFill>
      </x:fill>
    </x:dxf>
    <x:dxf>
      <x:font>
        <x:b/>
        <x:color rgb="FF006241"/>
      </x:font>
    </x:dxf>
    <x:dxf>
      <x:font>
        <x:b/>
        <x:color rgb="FFB04270"/>
      </x:font>
    </x:dxf>
    <x:dxf>
      <x:font>
        <x:b/>
        <x:color rgb="FF7453A6"/>
      </x:font>
    </x:dxf>
    <x:dxf>
      <x:font>
        <x:b/>
        <x:color rgb="FF2876B2"/>
      </x:font>
    </x:dxf>
    <x:dxf>
      <x:font>
        <x:b/>
        <x:color rgb="FFC26A16"/>
      </x:font>
    </x:dxf>
    <x:dxf>
      <x:font>
        <x:b/>
        <x:color rgb="FF943E23"/>
      </x:font>
      <x:fill>
        <x:patternFill>
          <x:bgColor rgb="FFF9E4DC"/>
        </x:patternFill>
      </x:fill>
    </x:dxf>
    <x:dxf>
      <x:font>
        <x:b/>
        <x:color rgb="FF943E23"/>
      </x:font>
      <x:fill>
        <x:patternFill>
          <x:bgColor rgb="FFF9E4DC"/>
        </x:patternFill>
      </x:fill>
    </x:dxf>
    <x:dxf>
      <x:font>
        <x:b/>
        <x:color rgb="FF006241"/>
      </x:font>
    </x:dxf>
    <x:dxf>
      <x:font>
        <x:b/>
        <x:color rgb="FFB04270"/>
      </x:font>
    </x:dxf>
    <x:dxf>
      <x:font>
        <x:b/>
        <x:color rgb="FF7453A6"/>
      </x:font>
    </x:dxf>
    <x:dxf>
      <x:font>
        <x:b/>
        <x:color rgb="FF2876B2"/>
      </x:font>
    </x:dxf>
    <x:dxf>
      <x:font>
        <x:b/>
        <x:color rgb="FFC26A16"/>
      </x:font>
    </x:dxf>
    <x:dxf>
      <x:font>
        <x:b/>
        <x:color rgb="FF943E23"/>
      </x:font>
      <x:fill>
        <x:patternFill>
          <x:bgColor rgb="FFF9E4DC"/>
        </x:patternFill>
      </x:fill>
    </x:dxf>
    <x:dxf>
      <x:font>
        <x:b/>
        <x:color rgb="FF943E23"/>
      </x:font>
      <x:fill>
        <x:patternFill>
          <x:bgColor rgb="FFF9E4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1e0fb4c0846a9" /><Relationship Type="http://schemas.openxmlformats.org/officeDocument/2006/relationships/theme" Target="/xl/theme/theme1.xml" Id="Raa71693fdc5c4620" /><Relationship Type="http://schemas.openxmlformats.org/officeDocument/2006/relationships/sharedStrings" Target="/xl/sharedStrings.xml" Id="R76ced8dc1cca450e" /><Relationship Type="http://schemas.openxmlformats.org/officeDocument/2006/relationships/worksheet" Target="/xl/worksheets/sheet1.xml" Id="R99e9897d01ff4756" /><Relationship Type="http://schemas.openxmlformats.org/officeDocument/2006/relationships/worksheet" Target="/xl/worksheets/sheet2.xml" Id="R51d6e61ec8614f66" /><Relationship Type="http://schemas.openxmlformats.org/officeDocument/2006/relationships/worksheet" Target="/xl/worksheets/sheet3.xml" Id="R480e1b29a94e4d92" /><Relationship Type="http://schemas.openxmlformats.org/officeDocument/2006/relationships/worksheet" Target="/xl/worksheets/sheet4.xml" Id="R4020e46baf4b4b02" /><Relationship Type="http://schemas.openxmlformats.org/officeDocument/2006/relationships/worksheet" Target="/xl/worksheets/sheet5.xml" Id="Ra354a3c845b94d71" /></Relationships>
</file>

<file path=xl/tables/table1.xml><?xml version="1.0" encoding="utf-8"?>
<x:table xmlns:x="http://schemas.openxmlformats.org/spreadsheetml/2006/main" id="3" name="TiendasCMS" displayName="TiendasCMS" ref="A1:T483" headerRowCount="1" totalsRowCount="0" totalsRowShown="0">
  <x:autoFilter ref="A1:T483"/>
  <x:tableColumns count="20">
    <x:tableColumn id="1" name="Región"/>
    <x:tableColumn id="2" name="DM"/>
    <x:tableColumn id="3" name="CC"/>
    <x:tableColumn id="4" name="Nombre Tienda"/>
    <x:tableColumn id="5" name="Estatus"/>
    <x:tableColumn id="6" name="Fecha Apertura"/>
    <x:tableColumn id="7" name="Municipio"/>
    <x:tableColumn id="8" name="Cobertura"/>
    <x:tableColumn id="9" name="Latitud"/>
    <x:tableColumn id="10" name="Longitud"/>
    <x:tableColumn id="11" name="Formato"/>
    <x:tableColumn id="12" name="Formato Comercial"/>
    <x:tableColumn id="13" name="Tier"/>
    <x:tableColumn id="14" name="Activa"/>
    <x:tableColumn id="15" name="DM Directorio"/>
    <x:tableColumn id="16" name="Fuente Región DM"/>
    <x:tableColumn id="17" name="Fuente Coordenadas"/>
    <x:tableColumn id="18" name="Estatus Alsea"/>
    <x:tableColumn id="19" name="Observaciones"/>
    <x:tableColumn id="20" name="En mapa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6" name="IndicadoresCMS" displayName="IndicadoresCMS" ref="A1:AA483" headerRowCount="1" totalsRowCount="0" totalsRowShown="0">
  <x:autoFilter ref="A1:AA483"/>
  <x:tableColumns count="27">
    <x:tableColumn id="1" name="CC"/>
    <x:tableColumn id="2" name="Corte YTD"/>
    <x:tableColumn id="3" name="Rolling"/>
    <x:tableColumn id="4" name="TPLH"/>
    <x:tableColumn id="5" name="IPLH"/>
    <x:tableColumn id="6" name="Labor"/>
    <x:tableColumn id="7" name="Dif Labor"/>
    <x:tableColumn id="8" name="Ventas MXN"/>
    <x:tableColumn id="9" name="Dif Ppto"/>
    <x:tableColumn id="10" name="OMT"/>
    <x:tableColumn id="11" name="NPS"/>
    <x:tableColumn id="12" name="Conexión"/>
    <x:tableColumn id="13" name="Bebida"/>
    <x:tableColumn id="14" name="CTC"/>
    <x:tableColumn id="15" name="Costo"/>
    <x:tableColumn id="16" name="Dif Costo"/>
    <x:tableColumn id="17" name="EBITDA"/>
    <x:tableColumn id="18" name="Dif EBITDA"/>
    <x:tableColumn id="19" name="DT Time"/>
    <x:tableColumn id="20" name="Tiempo DT AA"/>
    <x:tableColumn id="21" name="Corte Perfil"/>
    <x:tableColumn id="22" name="Corte Negocio"/>
    <x:tableColumn id="23" name="Meses Perfil"/>
    <x:tableColumn id="24" name="Meses Negocio"/>
    <x:tableColumn id="25" name="Fuente Indicadores"/>
    <x:tableColumn id="26" name="Fuente Commit"/>
    <x:tableColumn id="27" name="Fuente SHA256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" name="RegionesDM" displayName="RegionesDM" ref="A1:D41" headerRowCount="1" totalsRowCount="0" totalsRowShown="0">
  <x:autoFilter ref="A1:D41"/>
  <x:tableColumns count="4">
    <x:tableColumn id="1" name="Región"/>
    <x:tableColumn id="2" name="DM"/>
    <x:tableColumn id="3" name="Nombre directorio"/>
    <x:tableColumn id="4" name="Mostrar como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5" name="RevisarCMS" displayName="RevisarCMS" ref="A1:F483" headerRowCount="1" totalsRowCount="0" totalsRowShown="0">
  <x:autoFilter ref="A1:F483"/>
  <x:tableColumns count="6">
    <x:tableColumn id="1" name="CC"/>
    <x:tableColumn id="2" name="Región"/>
    <x:tableColumn id="3" name="DM"/>
    <x:tableColumn id="4" name="Relación Región DM"/>
    <x:tableColumn id="5" name="CeCo único"/>
    <x:tableColumn id="6" name="Ubicació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5d848d9e274f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a62caee6a041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614afde9d146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6755ba1e614827" /></Relationships>
</file>

<file path=xl/worksheets/sheet1.xml><?xml version="1.0" encoding="utf-8"?>
<x:worksheet xmlns:x="http://schemas.openxmlformats.org/spreadsheetml/2006/main">
  <x:sheetPr>
    <x:tabColor rgb="FF006241"/>
  </x:sheetPr>
  <x:sheetViews>
    <x:sheetView showGridLines="0" workbookViewId="0"/>
  </x:sheetViews>
  <x:sheetFormatPr baseColWidth="10" defaultColWidth="8.6640625" defaultRowHeight="14"/>
  <x:cols>
    <x:col min="1" max="1" width="23" hidden="0" customWidth="1"/>
    <x:col min="2" max="2" width="16" hidden="0" customWidth="1"/>
    <x:col min="3" max="3" width="16" hidden="0" customWidth="1"/>
    <x:col min="4" max="8" width="17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3" customHeight="1">
      <x:c r="A1" s="45"/>
      <x:c r="B1" s="45"/>
      <x:c r="C1" s="45"/>
      <x:c r="D1" s="45"/>
      <x:c r="E1" s="45"/>
      <x:c r="F1" s="45"/>
      <x:c r="G1" s="45"/>
      <x:c r="H1" s="45"/>
    </x:row>
    <x:row r="2" ht="23" customHeight="1">
      <x:c r="A2" s="57" t="str">
        <x:v>CMS Regional de tiendas</x:v>
      </x:c>
      <x:c r="B2" s="45"/>
      <x:c r="C2" s="45"/>
      <x:c r="D2" s="45"/>
      <x:c r="E2" s="45"/>
      <x:c r="F2" s="45"/>
      <x:c r="G2" s="45"/>
      <x:c r="H2" s="45"/>
    </x:row>
    <x:row r="3" ht="23" customHeight="1">
      <x:c r="A3" s="45"/>
      <x:c r="B3" s="45"/>
      <x:c r="C3" s="45"/>
      <x:c r="D3" s="45"/>
      <x:c r="E3" s="45"/>
      <x:c r="F3" s="45"/>
      <x:c r="G3" s="45"/>
      <x:c r="H3" s="45"/>
    </x:row>
    <x:row r="4" ht="34" customHeight="1">
      <x:c r="A4" s="84" t="str">
        <x:v>Región</x:v>
      </x:c>
      <x:c r="B4" s="84" t="str">
        <x:v>Abiertas</x:v>
      </x:c>
      <x:c r="C4" s="84" t="str">
        <x:v>Abiertas ubicables</x:v>
      </x:c>
      <x:c r="D4" s="84" t="str">
        <x:v>Por ubicar</x:v>
      </x:c>
      <x:c r="E4" s="84" t="str">
        <x:v>Aperturas</x:v>
      </x:c>
      <x:c r="F4" s="84" t="str">
        <x:v>Cierre temporal</x:v>
      </x:c>
      <x:c r="G4" s="84" t="str">
        <x:v>Cierre definitivo</x:v>
      </x:c>
      <x:c r="H4" s="84" t="str">
        <x:v>Registros</x:v>
      </x:c>
    </x:row>
    <x:row r="5" ht="23" customHeight="1">
      <x:c r="A5" s="58" t="str">
        <x:v>Centro Norte</x:v>
      </x:c>
      <x:c r="B5" s="66" t="n">
        <x:f>COUNTIFS('Ubicaciones'!$A$2:$A$10001,$A5,'Ubicaciones'!$E$2:$E$10001,"Abierta",'Ubicaciones'!$N$2:$N$10001,"Sí")</x:f>
        <x:v>73</x:v>
      </x:c>
      <x:c r="C5" s="66" t="n">
        <x:f>COUNTIFS('Ubicaciones'!$A$2:$A$10001,$A5,'Ubicaciones'!$E$2:$E$10001,"Abierta",'Ubicaciones'!$N$2:$N$10001,"Sí",'Ubicaciones'!$I$2:$I$10001,"&lt;&gt;",'Ubicaciones'!$J$2:$J$10001,"&lt;&gt;",'Ubicaciones'!$I$2:$I$10001,"&gt;=-90",'Ubicaciones'!$I$2:$I$10001,"&lt;=90",'Ubicaciones'!$J$2:$J$10001,"&gt;=-180",'Ubicaciones'!$J$2:$J$10001,"&lt;=180")</x:f>
        <x:v>73</x:v>
      </x:c>
      <x:c r="D5" s="66" t="n">
        <x:f>B5-C5</x:f>
        <x:v>0</x:v>
      </x:c>
      <x:c r="E5" s="66" t="n">
        <x:f>COUNTIFS('Ubicaciones'!$A$2:$A$10001,$A5,'Ubicaciones'!$E$2:$E$10001,"Próxima Apertura")</x:f>
        <x:v>3</x:v>
      </x:c>
      <x:c r="F5" s="66" t="n">
        <x:f>COUNTIFS('Ubicaciones'!$A$2:$A$10001,$A5,'Ubicaciones'!$E$2:$E$10001,"Cierre Temporal")</x:f>
        <x:v>0</x:v>
      </x:c>
      <x:c r="G5" s="66" t="n">
        <x:f>COUNTIFS('Ubicaciones'!$A$2:$A$10001,$A5,'Ubicaciones'!$E$2:$E$10001,"Cierre Definitivo")</x:f>
        <x:v>0</x:v>
      </x:c>
      <x:c r="H5" s="66" t="n">
        <x:f>COUNTIFS('Ubicaciones'!$A$2:$A$10001,$A5)</x:f>
        <x:v>76</x:v>
      </x:c>
    </x:row>
    <x:row r="6" ht="23" customHeight="1">
      <x:c r="A6" s="59" t="str">
        <x:v>Centro Sur</x:v>
      </x:c>
      <x:c r="B6" s="66" t="n">
        <x:f>COUNTIFS('Ubicaciones'!$A$2:$A$10001,$A6,'Ubicaciones'!$E$2:$E$10001,"Abierta",'Ubicaciones'!$N$2:$N$10001,"Sí")</x:f>
        <x:v>100</x:v>
      </x:c>
      <x:c r="C6" s="66" t="n">
        <x:f>COUNTIFS('Ubicaciones'!$A$2:$A$10001,$A6,'Ubicaciones'!$E$2:$E$10001,"Abierta",'Ubicaciones'!$N$2:$N$10001,"Sí",'Ubicaciones'!$I$2:$I$10001,"&lt;&gt;",'Ubicaciones'!$J$2:$J$10001,"&lt;&gt;",'Ubicaciones'!$I$2:$I$10001,"&gt;=-90",'Ubicaciones'!$I$2:$I$10001,"&lt;=90",'Ubicaciones'!$J$2:$J$10001,"&gt;=-180",'Ubicaciones'!$J$2:$J$10001,"&lt;=180")</x:f>
        <x:v>100</x:v>
      </x:c>
      <x:c r="D6" s="66" t="n">
        <x:f>B6-C6</x:f>
        <x:v>0</x:v>
      </x:c>
      <x:c r="E6" s="66" t="n">
        <x:f>COUNTIFS('Ubicaciones'!$A$2:$A$10001,$A6,'Ubicaciones'!$E$2:$E$10001,"Próxima Apertura")</x:f>
        <x:v>0</x:v>
      </x:c>
      <x:c r="F6" s="66" t="n">
        <x:f>COUNTIFS('Ubicaciones'!$A$2:$A$10001,$A6,'Ubicaciones'!$E$2:$E$10001,"Cierre Temporal")</x:f>
        <x:v>1</x:v>
      </x:c>
      <x:c r="G6" s="66" t="n">
        <x:f>COUNTIFS('Ubicaciones'!$A$2:$A$10001,$A6,'Ubicaciones'!$E$2:$E$10001,"Cierre Definitivo")</x:f>
        <x:v>2</x:v>
      </x:c>
      <x:c r="H6" s="66" t="n">
        <x:f>COUNTIFS('Ubicaciones'!$A$2:$A$10001,$A6)</x:f>
        <x:v>103</x:v>
      </x:c>
    </x:row>
    <x:row r="7" ht="23" customHeight="1">
      <x:c r="A7" s="60" t="str">
        <x:v>Centro Poniente</x:v>
      </x:c>
      <x:c r="B7" s="66" t="n">
        <x:f>COUNTIFS('Ubicaciones'!$A$2:$A$10001,$A7,'Ubicaciones'!$E$2:$E$10001,"Abierta",'Ubicaciones'!$N$2:$N$10001,"Sí")</x:f>
        <x:v>100</x:v>
      </x:c>
      <x:c r="C7" s="66" t="n">
        <x:f>COUNTIFS('Ubicaciones'!$A$2:$A$10001,$A7,'Ubicaciones'!$E$2:$E$10001,"Abierta",'Ubicaciones'!$N$2:$N$10001,"Sí",'Ubicaciones'!$I$2:$I$10001,"&lt;&gt;",'Ubicaciones'!$J$2:$J$10001,"&lt;&gt;",'Ubicaciones'!$I$2:$I$10001,"&gt;=-90",'Ubicaciones'!$I$2:$I$10001,"&lt;=90",'Ubicaciones'!$J$2:$J$10001,"&gt;=-180",'Ubicaciones'!$J$2:$J$10001,"&lt;=180")</x:f>
        <x:v>100</x:v>
      </x:c>
      <x:c r="D7" s="66" t="n">
        <x:f>B7-C7</x:f>
        <x:v>0</x:v>
      </x:c>
      <x:c r="E7" s="66" t="n">
        <x:f>COUNTIFS('Ubicaciones'!$A$2:$A$10001,$A7,'Ubicaciones'!$E$2:$E$10001,"Próxima Apertura")</x:f>
        <x:v>0</x:v>
      </x:c>
      <x:c r="F7" s="66" t="n">
        <x:f>COUNTIFS('Ubicaciones'!$A$2:$A$10001,$A7,'Ubicaciones'!$E$2:$E$10001,"Cierre Temporal")</x:f>
        <x:v>1</x:v>
      </x:c>
      <x:c r="G7" s="66" t="n">
        <x:f>COUNTIFS('Ubicaciones'!$A$2:$A$10001,$A7,'Ubicaciones'!$E$2:$E$10001,"Cierre Definitivo")</x:f>
        <x:v>6</x:v>
      </x:c>
      <x:c r="H7" s="66" t="n">
        <x:f>COUNTIFS('Ubicaciones'!$A$2:$A$10001,$A7)</x:f>
        <x:v>107</x:v>
      </x:c>
    </x:row>
    <x:row r="8" ht="23" customHeight="1">
      <x:c r="A8" s="61" t="str">
        <x:v>Centro Centro</x:v>
      </x:c>
      <x:c r="B8" s="66" t="n">
        <x:f>COUNTIFS('Ubicaciones'!$A$2:$A$10001,$A8,'Ubicaciones'!$E$2:$E$10001,"Abierta",'Ubicaciones'!$N$2:$N$10001,"Sí")</x:f>
        <x:v>86</x:v>
      </x:c>
      <x:c r="C8" s="66" t="n">
        <x:f>COUNTIFS('Ubicaciones'!$A$2:$A$10001,$A8,'Ubicaciones'!$E$2:$E$10001,"Abierta",'Ubicaciones'!$N$2:$N$10001,"Sí",'Ubicaciones'!$I$2:$I$10001,"&lt;&gt;",'Ubicaciones'!$J$2:$J$10001,"&lt;&gt;",'Ubicaciones'!$I$2:$I$10001,"&gt;=-90",'Ubicaciones'!$I$2:$I$10001,"&lt;=90",'Ubicaciones'!$J$2:$J$10001,"&gt;=-180",'Ubicaciones'!$J$2:$J$10001,"&lt;=180")</x:f>
        <x:v>86</x:v>
      </x:c>
      <x:c r="D8" s="66" t="n">
        <x:f>B8-C8</x:f>
        <x:v>0</x:v>
      </x:c>
      <x:c r="E8" s="66" t="n">
        <x:f>COUNTIFS('Ubicaciones'!$A$2:$A$10001,$A8,'Ubicaciones'!$E$2:$E$10001,"Próxima Apertura")</x:f>
        <x:v>0</x:v>
      </x:c>
      <x:c r="F8" s="66" t="n">
        <x:f>COUNTIFS('Ubicaciones'!$A$2:$A$10001,$A8,'Ubicaciones'!$E$2:$E$10001,"Cierre Temporal")</x:f>
        <x:v>4</x:v>
      </x:c>
      <x:c r="G8" s="66" t="n">
        <x:f>COUNTIFS('Ubicaciones'!$A$2:$A$10001,$A8,'Ubicaciones'!$E$2:$E$10001,"Cierre Definitivo")</x:f>
        <x:v>6</x:v>
      </x:c>
      <x:c r="H8" s="66" t="n">
        <x:f>COUNTIFS('Ubicaciones'!$A$2:$A$10001,$A8)</x:f>
        <x:v>96</x:v>
      </x:c>
    </x:row>
    <x:row r="9" ht="23" customHeight="1">
      <x:c r="A9" s="62" t="str">
        <x:v>Bajío</x:v>
      </x:c>
      <x:c r="B9" s="66" t="n">
        <x:f>COUNTIFS('Ubicaciones'!$A$2:$A$10001,$A9,'Ubicaciones'!$E$2:$E$10001,"Abierta",'Ubicaciones'!$N$2:$N$10001,"Sí")</x:f>
        <x:v>96</x:v>
      </x:c>
      <x:c r="C9" s="66" t="n">
        <x:f>COUNTIFS('Ubicaciones'!$A$2:$A$10001,$A9,'Ubicaciones'!$E$2:$E$10001,"Abierta",'Ubicaciones'!$N$2:$N$10001,"Sí",'Ubicaciones'!$I$2:$I$10001,"&lt;&gt;",'Ubicaciones'!$J$2:$J$10001,"&lt;&gt;",'Ubicaciones'!$I$2:$I$10001,"&gt;=-90",'Ubicaciones'!$I$2:$I$10001,"&lt;=90",'Ubicaciones'!$J$2:$J$10001,"&gt;=-180",'Ubicaciones'!$J$2:$J$10001,"&lt;=180")</x:f>
        <x:v>96</x:v>
      </x:c>
      <x:c r="D9" s="66" t="n">
        <x:f>B9-C9</x:f>
        <x:v>0</x:v>
      </x:c>
      <x:c r="E9" s="66" t="n">
        <x:f>COUNTIFS('Ubicaciones'!$A$2:$A$10001,$A9,'Ubicaciones'!$E$2:$E$10001,"Próxima Apertura")</x:f>
        <x:v>2</x:v>
      </x:c>
      <x:c r="F9" s="66" t="n">
        <x:f>COUNTIFS('Ubicaciones'!$A$2:$A$10001,$A9,'Ubicaciones'!$E$2:$E$10001,"Cierre Temporal")</x:f>
        <x:v>2</x:v>
      </x:c>
      <x:c r="G9" s="66" t="n">
        <x:f>COUNTIFS('Ubicaciones'!$A$2:$A$10001,$A9,'Ubicaciones'!$E$2:$E$10001,"Cierre Definitivo")</x:f>
        <x:v>0</x:v>
      </x:c>
      <x:c r="H9" s="66" t="n">
        <x:f>COUNTIFS('Ubicaciones'!$A$2:$A$10001,$A9)</x:f>
        <x:v>100</x:v>
      </x:c>
    </x:row>
    <x:row r="10" ht="23" customHeight="1">
      <x:c r="A10" s="91" t="str">
        <x:v>Total</x:v>
      </x:c>
      <x:c r="B10" s="92" t="n">
        <x:f>SUM(B5:B9)</x:f>
        <x:v>455</x:v>
      </x:c>
      <x:c r="C10" s="92" t="n">
        <x:f>SUM(C5:C9)</x:f>
        <x:v>455</x:v>
      </x:c>
      <x:c r="D10" s="92" t="n">
        <x:f>SUM(D5:D9)</x:f>
        <x:v>0</x:v>
      </x:c>
      <x:c r="E10" s="92" t="n">
        <x:f>SUM(E5:E9)</x:f>
        <x:v>5</x:v>
      </x:c>
      <x:c r="F10" s="92" t="n">
        <x:f>SUM(F5:F9)</x:f>
        <x:v>8</x:v>
      </x:c>
      <x:c r="G10" s="92" t="n">
        <x:f>SUM(G5:G9)</x:f>
        <x:v>14</x:v>
      </x:c>
      <x:c r="H10" s="92" t="n">
        <x:f>SUM(H5:H9)</x:f>
        <x:v>482</x:v>
      </x:c>
    </x:row>
    <x:row r="11" ht="23" customHeight="1">
      <x:c r="A11" s="45"/>
      <x:c r="B11" s="45"/>
      <x:c r="C11" s="45"/>
      <x:c r="D11" s="45"/>
      <x:c r="E11" s="45"/>
      <x:c r="F11" s="45"/>
      <x:c r="G11" s="45"/>
      <x:c r="H11" s="45"/>
    </x:row>
    <x:row r="12" ht="23" customHeight="1">
      <x:c r="A12" s="45"/>
      <x:c r="B12" s="45"/>
      <x:c r="C12" s="45"/>
      <x:c r="D12" s="45"/>
      <x:c r="E12" s="45"/>
      <x:c r="F12" s="45"/>
      <x:c r="G12" s="45"/>
      <x:c r="H12" s="45"/>
    </x:row>
    <x:row r="13" ht="23" customHeight="1">
      <x:c r="A13" s="68" t="str">
        <x:v>Un solo directorio</x:v>
      </x:c>
      <x:c r="B13" s="45"/>
      <x:c r="C13" s="45"/>
      <x:c r="D13" s="45"/>
      <x:c r="E13" s="45"/>
      <x:c r="F13" s="45"/>
      <x:c r="G13" s="45"/>
      <x:c r="H13" s="45"/>
    </x:row>
    <x:row r="14" ht="23" customHeight="1">
      <x:c r="A14" s="45"/>
      <x:c r="B14" s="45"/>
      <x:c r="C14" s="45"/>
      <x:c r="D14" s="45"/>
      <x:c r="E14" s="45"/>
      <x:c r="F14" s="45"/>
      <x:c r="G14" s="45"/>
      <x:c r="H14" s="45"/>
    </x:row>
    <x:row r="15" ht="23" customHeight="1">
      <x:c r="A15" s="45" t="str">
        <x:v>Edita Región, DM, Tienda y Estatus en Ubicaciones.</x:v>
      </x:c>
      <x:c r="B15" s="45"/>
      <x:c r="C15" s="45"/>
      <x:c r="D15" s="45"/>
      <x:c r="E15" s="45"/>
      <x:c r="F15" s="45"/>
      <x:c r="G15" s="45"/>
      <x:c r="H15" s="45"/>
    </x:row>
    <x:row r="16" ht="23" customHeight="1">
      <x:c r="A16" s="45"/>
      <x:c r="B16" s="45"/>
      <x:c r="C16" s="45"/>
      <x:c r="D16" s="45"/>
      <x:c r="E16" s="45"/>
      <x:c r="F16" s="45"/>
      <x:c r="G16" s="45"/>
      <x:c r="H16" s="45"/>
    </x:row>
    <x:row r="17" ht="23" customHeight="1">
      <x:c r="A17" s="45" t="str">
        <x:v>Región y DM tienen listas desplegables. Catalogos registra las combinaciones válidas.</x:v>
      </x:c>
      <x:c r="B17" s="45"/>
      <x:c r="C17" s="45"/>
      <x:c r="D17" s="45"/>
      <x:c r="E17" s="45"/>
      <x:c r="F17" s="45"/>
      <x:c r="G17" s="45"/>
      <x:c r="H17" s="45"/>
    </x:row>
    <x:row r="18" ht="23" customHeight="1">
      <x:c r="A18" s="45"/>
      <x:c r="B18" s="45"/>
      <x:c r="C18" s="45"/>
      <x:c r="D18" s="45"/>
      <x:c r="E18" s="45"/>
      <x:c r="F18" s="45"/>
      <x:c r="G18" s="45"/>
      <x:c r="H18" s="45"/>
    </x:row>
    <x:row r="19" ht="23" customHeight="1">
      <x:c r="A19" s="45" t="str">
        <x:v>Mapa: abiertas y aperturas activas. Se muestran y cuentan por separado.</x:v>
      </x:c>
      <x:c r="B19" s="45"/>
      <x:c r="C19" s="45"/>
      <x:c r="D19" s="45"/>
      <x:c r="E19" s="45"/>
      <x:c r="F19" s="45"/>
      <x:c r="G19" s="45"/>
      <x:c r="H19" s="45"/>
    </x:row>
    <x:row r="20" ht="23" customHeight="1">
      <x:c r="A20" s="45"/>
      <x:c r="B20" s="45"/>
      <x:c r="C20" s="45"/>
      <x:c r="D20" s="45"/>
      <x:c r="E20" s="45"/>
      <x:c r="F20" s="45"/>
      <x:c r="G20" s="45"/>
      <x:c r="H20" s="45"/>
    </x:row>
    <x:row r="21" ht="23" customHeight="1">
      <x:c r="A21" s="45" t="str">
        <x:v>Se conserva Cierre Temporal de Ops en los ocho casos que difieren de Alsea.</x:v>
      </x:c>
      <x:c r="B21" s="45"/>
      <x:c r="C21" s="45"/>
      <x:c r="D21" s="45"/>
      <x:c r="E21" s="45"/>
      <x:c r="F21" s="45"/>
      <x:c r="G21" s="45"/>
      <x:c r="H21" s="45"/>
    </x:row>
    <x:row r="22" ht="23" customHeight="1">
      <x:c r="A22" s="45"/>
      <x:c r="B22" s="45"/>
      <x:c r="C22" s="45"/>
      <x:c r="D22" s="45"/>
      <x:c r="E22" s="45"/>
      <x:c r="F22" s="45"/>
      <x:c r="G22" s="45"/>
      <x:c r="H22" s="45"/>
    </x:row>
    <x:row r="23" ht="23" customHeight="1">
      <x:c r="A23" s="45" t="str">
        <x:v>Indicadores: Perfil de Tienda. Corte propio de operación y de ventas por CeCo.</x:v>
      </x:c>
      <x:c r="B23" s="45"/>
      <x:c r="C23" s="45"/>
      <x:c r="D23" s="45"/>
      <x:c r="E23" s="45"/>
      <x:c r="F23" s="45"/>
      <x:c r="G23" s="45"/>
      <x:c r="H23" s="45"/>
    </x:row>
    <x:row r="24" ht="23" customHeight="1">
      <x:c r="A24" s="45"/>
      <x:c r="B24" s="45"/>
      <x:c r="C24" s="45"/>
      <x:c r="D24" s="45"/>
      <x:c r="E24" s="45"/>
      <x:c r="F24" s="45"/>
      <x:c r="G24" s="45"/>
      <x:c r="H24" s="4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6241"/>
  </x:sheetPr>
  <x:sheetViews>
    <x:sheetView showGridLines="0" workbookViewId="0">
      <x:pane xSplit="4" ySplit="1" topLeftCell="E2" activePane="bottomRight" state="frozen"/>
    </x:sheetView>
  </x:sheetViews>
  <x:sheetFormatPr baseColWidth="10" defaultColWidth="8.6640625" defaultRowHeight="14"/>
  <x:cols>
    <x:col min="1" max="1" width="19" hidden="0" customWidth="1"/>
    <x:col min="2" max="2" width="32" hidden="0" customWidth="1"/>
    <x:col min="3" max="3" width="10" hidden="0" customWidth="1"/>
    <x:col min="4" max="4" width="39" hidden="0" customWidth="1"/>
    <x:col min="5" max="5" width="21" hidden="0" customWidth="1"/>
    <x:col min="6" max="6" width="16" hidden="0" customWidth="1"/>
    <x:col min="7" max="7" width="28" hidden="0" customWidth="1"/>
    <x:col min="8" max="8" width="23" hidden="0" customWidth="1"/>
    <x:col min="9" max="9" width="16" hidden="0" customWidth="1"/>
    <x:col min="10" max="10" width="16" hidden="0" customWidth="1"/>
    <x:col min="11" max="11" width="19" hidden="0" customWidth="1"/>
    <x:col min="12" max="12" width="24" hidden="0" customWidth="1"/>
    <x:col min="13" max="13" width="10" hidden="0" customWidth="1"/>
    <x:col min="14" max="14" width="10" hidden="0" customWidth="1"/>
    <x:col min="15" max="15" width="37" hidden="0" customWidth="1"/>
    <x:col min="16" max="16" width="45" hidden="0" customWidth="1"/>
    <x:col min="17" max="17" width="32" hidden="0" customWidth="1"/>
    <x:col min="18" max="18" width="21" hidden="0" customWidth="1"/>
    <x:col min="19" max="19" width="69" hidden="0" customWidth="1"/>
    <x:col min="20" max="20" width="12" hidden="0" customWidth="1"/>
  </x:cols>
  <x:sheetData>
    <x:row r="1" ht="34" customHeight="1">
      <x:c r="A1" s="84" t="str">
        <x:v>Región</x:v>
      </x:c>
      <x:c r="B1" s="84" t="str">
        <x:v>DM</x:v>
      </x:c>
      <x:c r="C1" s="84" t="str">
        <x:v>CC</x:v>
      </x:c>
      <x:c r="D1" s="84" t="str">
        <x:v>Nombre Tienda</x:v>
      </x:c>
      <x:c r="E1" s="84" t="str">
        <x:v>Estatus</x:v>
      </x:c>
      <x:c r="F1" s="84" t="str">
        <x:v>Fecha Apertura</x:v>
      </x:c>
      <x:c r="G1" s="84" t="str">
        <x:v>Municipio</x:v>
      </x:c>
      <x:c r="H1" s="84" t="str">
        <x:v>Cobertura</x:v>
      </x:c>
      <x:c r="I1" s="84" t="str">
        <x:v>Latitud</x:v>
      </x:c>
      <x:c r="J1" s="84" t="str">
        <x:v>Longitud</x:v>
      </x:c>
      <x:c r="K1" s="84" t="str">
        <x:v>Formato</x:v>
      </x:c>
      <x:c r="L1" s="84" t="str">
        <x:v>Formato Comercial</x:v>
      </x:c>
      <x:c r="M1" s="84" t="str">
        <x:v>Tier</x:v>
      </x:c>
      <x:c r="N1" s="84" t="str">
        <x:v>Activa</x:v>
      </x:c>
      <x:c r="O1" s="84" t="str">
        <x:v>DM Directorio</x:v>
      </x:c>
      <x:c r="P1" s="84" t="str">
        <x:v>Fuente Región DM</x:v>
      </x:c>
      <x:c r="Q1" s="84" t="str">
        <x:v>Fuente Coordenadas</x:v>
      </x:c>
      <x:c r="R1" s="84" t="str">
        <x:v>Estatus Alsea</x:v>
      </x:c>
      <x:c r="S1" s="84" t="str">
        <x:v>Observaciones</x:v>
      </x:c>
      <x:c r="T1" s="84" t="str">
        <x:v>En mapa</x:v>
      </x:c>
    </x:row>
    <x:row r="2" ht="23" customHeight="1">
      <x:c r="A2" s="45" t="str">
        <x:v>Centro Norte</x:v>
      </x:c>
      <x:c r="B2" s="45" t="str">
        <x:v>Enrique César</x:v>
      </x:c>
      <x:c r="C2" s="50" t="str">
        <x:v>38333</x:v>
      </x:c>
      <x:c r="D2" s="45" t="str">
        <x:v>Izcalli Mega</x:v>
      </x:c>
      <x:c r="E2" s="45" t="str">
        <x:v>Abierta</x:v>
      </x:c>
      <x:c r="F2" s="51" t="d">
        <x:v>2008-08-28T00:00:00.000Z</x:v>
      </x:c>
      <x:c r="G2" s="45" t="str">
        <x:v>Cuatitlan Izcalli</x:v>
      </x:c>
      <x:c r="H2" s="45" t="str">
        <x:v>Estado De México</x:v>
      </x:c>
      <x:c r="I2" s="52" t="n">
        <x:v>19.64697761</x:v>
      </x:c>
      <x:c r="J2" s="52" t="n">
        <x:v>-99.2071519</x:v>
      </x:c>
      <x:c r="K2" s="45" t="str">
        <x:v>Cafe</x:v>
      </x:c>
      <x:c r="L2" s="45" t="str">
        <x:v>Retail</x:v>
      </x:c>
      <x:c r="M2" s="45" t="str">
        <x:v>C2</x:v>
      </x:c>
      <x:c r="N2" s="45" t="str">
        <x:v>Sí</x:v>
      </x:c>
      <x:c r="O2" s="45" t="str">
        <x:v>Enrique Cesar Flores</x:v>
      </x:c>
      <x:c r="P2" s="45" t="str">
        <x:v>Ops y Directorio Alsea · octubre 2026</x:v>
      </x:c>
      <x:c r="Q2" s="45" t="str">
        <x:v>CMS anterior</x:v>
      </x:c>
      <x:c r="R2" s="45" t="str">
        <x:v>Abierta</x:v>
      </x:c>
      <x:c r="S2" s="45" t="str"/>
      <x:c r="T2" s="45" t="n">
        <x:f>IF(AND(OR(E2="Abierta",E2="Próxima Apertura"),N2="Sí",ISNUMBER(I2),ISNUMBER(J2),ABS(I2)&lt;=90,ABS(J2)&lt;=180),1,0)</x:f>
        <x:v>1</x:v>
      </x:c>
    </x:row>
    <x:row r="3" ht="23" customHeight="1">
      <x:c r="A3" s="45" t="str">
        <x:v>Centro Norte</x:v>
      </x:c>
      <x:c r="B3" s="45" t="str">
        <x:v>Enrique César</x:v>
      </x:c>
      <x:c r="C3" s="50" t="str">
        <x:v>38339</x:v>
      </x:c>
      <x:c r="D3" s="45" t="str">
        <x:v>San Marcos</x:v>
      </x:c>
      <x:c r="E3" s="45" t="str">
        <x:v>Abierta</x:v>
      </x:c>
      <x:c r="F3" s="51" t="d">
        <x:v>2008-09-27T00:00:00.000Z</x:v>
      </x:c>
      <x:c r="G3" s="45" t="str">
        <x:v>Cuatitlan Izcalli</x:v>
      </x:c>
      <x:c r="H3" s="45" t="str">
        <x:v>Estado De México</x:v>
      </x:c>
      <x:c r="I3" s="52" t="n">
        <x:v>19.67090726</x:v>
      </x:c>
      <x:c r="J3" s="52" t="n">
        <x:v>-99.20315596</x:v>
      </x:c>
      <x:c r="K3" s="45" t="str">
        <x:v>Cafe</x:v>
      </x:c>
      <x:c r="L3" s="45" t="str">
        <x:v>Retail</x:v>
      </x:c>
      <x:c r="M3" s="45" t="str">
        <x:v>C2</x:v>
      </x:c>
      <x:c r="N3" s="45" t="str">
        <x:v>Sí</x:v>
      </x:c>
      <x:c r="O3" s="45" t="str">
        <x:v>Enrique Cesar Flores</x:v>
      </x:c>
      <x:c r="P3" s="45" t="str">
        <x:v>Ops y Directorio Alsea · octubre 2026</x:v>
      </x:c>
      <x:c r="Q3" s="45" t="str">
        <x:v>CMS anterior</x:v>
      </x:c>
      <x:c r="R3" s="45" t="str">
        <x:v>Abierta</x:v>
      </x:c>
      <x:c r="S3" s="45" t="str"/>
      <x:c r="T3" s="45" t="n">
        <x:f>IF(AND(OR(E3="Abierta",E3="Próxima Apertura"),N3="Sí",ISNUMBER(I3),ISNUMBER(J3),ABS(I3)&lt;=90,ABS(J3)&lt;=180),1,0)</x:f>
        <x:v>1</x:v>
      </x:c>
    </x:row>
    <x:row r="4" ht="23" customHeight="1">
      <x:c r="A4" s="45" t="str">
        <x:v>Centro Norte</x:v>
      </x:c>
      <x:c r="B4" s="45" t="str">
        <x:v>Enrique César</x:v>
      </x:c>
      <x:c r="C4" s="50" t="str">
        <x:v>38368</x:v>
      </x:c>
      <x:c r="D4" s="45" t="str">
        <x:v>Luna Park</x:v>
      </x:c>
      <x:c r="E4" s="45" t="str">
        <x:v>Abierta</x:v>
      </x:c>
      <x:c r="F4" s="51" t="d">
        <x:v>2009-11-28T00:00:00.000Z</x:v>
      </x:c>
      <x:c r="G4" s="45" t="str">
        <x:v>Cuatitlan Izcalli</x:v>
      </x:c>
      <x:c r="H4" s="45" t="str">
        <x:v>Estado De México</x:v>
      </x:c>
      <x:c r="I4" s="52" t="n">
        <x:v>19.65740984</x:v>
      </x:c>
      <x:c r="J4" s="52" t="n">
        <x:v>-99.21026354</x:v>
      </x:c>
      <x:c r="K4" s="45" t="str">
        <x:v>Kiosko</x:v>
      </x:c>
      <x:c r="L4" s="45" t="str">
        <x:v>Retail</x:v>
      </x:c>
      <x:c r="M4" s="45" t="str">
        <x:v>C2</x:v>
      </x:c>
      <x:c r="N4" s="45" t="str">
        <x:v>Sí</x:v>
      </x:c>
      <x:c r="O4" s="45" t="str">
        <x:v>Enrique Cesar Flores</x:v>
      </x:c>
      <x:c r="P4" s="45" t="str">
        <x:v>Ops y Directorio Alsea · octubre 2026</x:v>
      </x:c>
      <x:c r="Q4" s="45" t="str">
        <x:v>CMS anterior</x:v>
      </x:c>
      <x:c r="R4" s="45" t="str">
        <x:v>Abierta</x:v>
      </x:c>
      <x:c r="S4" s="45" t="str"/>
      <x:c r="T4" s="45" t="n">
        <x:f>IF(AND(OR(E4="Abierta",E4="Próxima Apertura"),N4="Sí",ISNUMBER(I4),ISNUMBER(J4),ABS(I4)&lt;=90,ABS(J4)&lt;=180),1,0)</x:f>
        <x:v>1</x:v>
      </x:c>
    </x:row>
    <x:row r="5" ht="23" customHeight="1">
      <x:c r="A5" s="45" t="str">
        <x:v>Centro Norte</x:v>
      </x:c>
      <x:c r="B5" s="45" t="str">
        <x:v>Enrique César</x:v>
      </x:c>
      <x:c r="C5" s="50" t="str">
        <x:v>38401</x:v>
      </x:c>
      <x:c r="D5" s="45" t="str">
        <x:v>Coacalco</x:v>
      </x:c>
      <x:c r="E5" s="45" t="str">
        <x:v>Abierta</x:v>
      </x:c>
      <x:c r="F5" s="51" t="d">
        <x:v>2010-12-16T00:00:00.000Z</x:v>
      </x:c>
      <x:c r="G5" s="45" t="str">
        <x:v>Coacalco De Berriozábal</x:v>
      </x:c>
      <x:c r="H5" s="45" t="str">
        <x:v>Estado De México</x:v>
      </x:c>
      <x:c r="I5" s="52" t="n">
        <x:v>19.62872675</x:v>
      </x:c>
      <x:c r="J5" s="52" t="n">
        <x:v>-99.12410376</x:v>
      </x:c>
      <x:c r="K5" s="45" t="str">
        <x:v>Cafe</x:v>
      </x:c>
      <x:c r="L5" s="45" t="str">
        <x:v>Retail</x:v>
      </x:c>
      <x:c r="M5" s="45" t="str">
        <x:v>C2</x:v>
      </x:c>
      <x:c r="N5" s="45" t="str">
        <x:v>Sí</x:v>
      </x:c>
      <x:c r="O5" s="45" t="str">
        <x:v>Enrique Cesar Flores</x:v>
      </x:c>
      <x:c r="P5" s="45" t="str">
        <x:v>Ops y Directorio Alsea · octubre 2026</x:v>
      </x:c>
      <x:c r="Q5" s="45" t="str">
        <x:v>CMS anterior</x:v>
      </x:c>
      <x:c r="R5" s="45" t="str">
        <x:v>Abierta</x:v>
      </x:c>
      <x:c r="S5" s="45" t="str"/>
      <x:c r="T5" s="45" t="n">
        <x:f>IF(AND(OR(E5="Abierta",E5="Próxima Apertura"),N5="Sí",ISNUMBER(I5),ISNUMBER(J5),ABS(I5)&lt;=90,ABS(J5)&lt;=180),1,0)</x:f>
        <x:v>1</x:v>
      </x:c>
    </x:row>
    <x:row r="6" ht="23" customHeight="1">
      <x:c r="A6" s="45" t="str">
        <x:v>Centro Norte</x:v>
      </x:c>
      <x:c r="B6" s="45" t="str">
        <x:v>Enrique César</x:v>
      </x:c>
      <x:c r="C6" s="50" t="str">
        <x:v>38456</x:v>
      </x:c>
      <x:c r="D6" s="45" t="str">
        <x:v>Plaza las Flores</x:v>
      </x:c>
      <x:c r="E6" s="45" t="str">
        <x:v>Abierta</x:v>
      </x:c>
      <x:c r="F6" s="51" t="d">
        <x:v>2012-06-21T00:00:00.000Z</x:v>
      </x:c>
      <x:c r="G6" s="45" t="str">
        <x:v>Coacalco De Berriozábal</x:v>
      </x:c>
      <x:c r="H6" s="45" t="str">
        <x:v>Estado De México</x:v>
      </x:c>
      <x:c r="I6" s="52" t="n">
        <x:v>19.63640228</x:v>
      </x:c>
      <x:c r="J6" s="52" t="n">
        <x:v>-99.09608839</x:v>
      </x:c>
      <x:c r="K6" s="45" t="str">
        <x:v>Kiosko</x:v>
      </x:c>
      <x:c r="L6" s="45" t="str">
        <x:v>Retail</x:v>
      </x:c>
      <x:c r="M6" s="45" t="str">
        <x:v>C2</x:v>
      </x:c>
      <x:c r="N6" s="45" t="str">
        <x:v>Sí</x:v>
      </x:c>
      <x:c r="O6" s="45" t="str">
        <x:v>Enrique Cesar Flores</x:v>
      </x:c>
      <x:c r="P6" s="45" t="str">
        <x:v>Ops y Directorio Alsea · octubre 2026</x:v>
      </x:c>
      <x:c r="Q6" s="45" t="str">
        <x:v>CMS anterior</x:v>
      </x:c>
      <x:c r="R6" s="45" t="str">
        <x:v>Abierta</x:v>
      </x:c>
      <x:c r="S6" s="45" t="str"/>
      <x:c r="T6" s="45" t="n">
        <x:f>IF(AND(OR(E6="Abierta",E6="Próxima Apertura"),N6="Sí",ISNUMBER(I6),ISNUMBER(J6),ABS(I6)&lt;=90,ABS(J6)&lt;=180),1,0)</x:f>
        <x:v>1</x:v>
      </x:c>
    </x:row>
    <x:row r="7" ht="23" customHeight="1">
      <x:c r="A7" s="45" t="str">
        <x:v>Centro Norte</x:v>
      </x:c>
      <x:c r="B7" s="45" t="str">
        <x:v>Enrique César</x:v>
      </x:c>
      <x:c r="C7" s="50" t="str">
        <x:v>38515</x:v>
      </x:c>
      <x:c r="D7" s="45" t="str">
        <x:v>Patio Ecatepec</x:v>
      </x:c>
      <x:c r="E7" s="45" t="str">
        <x:v>Abierta</x:v>
      </x:c>
      <x:c r="F7" s="51" t="d">
        <x:v>2013-09-27T00:00:00.000Z</x:v>
      </x:c>
      <x:c r="G7" s="45" t="str">
        <x:v>Ecatepec De Morelos</x:v>
      </x:c>
      <x:c r="H7" s="45" t="str">
        <x:v>Estado De México</x:v>
      </x:c>
      <x:c r="I7" s="52" t="n">
        <x:v>19.60630467</x:v>
      </x:c>
      <x:c r="J7" s="52" t="n">
        <x:v>-99.04596739</x:v>
      </x:c>
      <x:c r="K7" s="45" t="str">
        <x:v>Cafe</x:v>
      </x:c>
      <x:c r="L7" s="45" t="str">
        <x:v>Retail</x:v>
      </x:c>
      <x:c r="M7" s="45" t="str">
        <x:v>C2</x:v>
      </x:c>
      <x:c r="N7" s="45" t="str">
        <x:v>Sí</x:v>
      </x:c>
      <x:c r="O7" s="45" t="str">
        <x:v>Enrique Cesar Flores</x:v>
      </x:c>
      <x:c r="P7" s="45" t="str">
        <x:v>Ops y Directorio Alsea · octubre 2026</x:v>
      </x:c>
      <x:c r="Q7" s="45" t="str">
        <x:v>CMS anterior</x:v>
      </x:c>
      <x:c r="R7" s="45" t="str">
        <x:v>Abierta</x:v>
      </x:c>
      <x:c r="S7" s="45" t="str"/>
      <x:c r="T7" s="45" t="n">
        <x:f>IF(AND(OR(E7="Abierta",E7="Próxima Apertura"),N7="Sí",ISNUMBER(I7),ISNUMBER(J7),ABS(I7)&lt;=90,ABS(J7)&lt;=180),1,0)</x:f>
        <x:v>1</x:v>
      </x:c>
    </x:row>
    <x:row r="8" ht="23" customHeight="1">
      <x:c r="A8" s="45" t="str">
        <x:v>Centro Norte</x:v>
      </x:c>
      <x:c r="B8" s="45" t="str">
        <x:v>Enrique César</x:v>
      </x:c>
      <x:c r="C8" s="50" t="str">
        <x:v>38604</x:v>
      </x:c>
      <x:c r="D8" s="45" t="str">
        <x:v>Cosmopol</x:v>
      </x:c>
      <x:c r="E8" s="45" t="str">
        <x:v>Abierta</x:v>
      </x:c>
      <x:c r="F8" s="51" t="d">
        <x:v>2015-09-10T00:00:00.000Z</x:v>
      </x:c>
      <x:c r="G8" s="45" t="str">
        <x:v>Coacalco De Berriozábal</x:v>
      </x:c>
      <x:c r="H8" s="45" t="str">
        <x:v>Estado De México</x:v>
      </x:c>
      <x:c r="I8" s="52" t="n">
        <x:v>19.63205575</x:v>
      </x:c>
      <x:c r="J8" s="52" t="n">
        <x:v>-99.1257806</x:v>
      </x:c>
      <x:c r="K8" s="45" t="str">
        <x:v>Kiosko</x:v>
      </x:c>
      <x:c r="L8" s="45" t="str">
        <x:v>Retail</x:v>
      </x:c>
      <x:c r="M8" s="45" t="str">
        <x:v>C1</x:v>
      </x:c>
      <x:c r="N8" s="45" t="str">
        <x:v>Sí</x:v>
      </x:c>
      <x:c r="O8" s="45" t="str">
        <x:v>Enrique Cesar Flores</x:v>
      </x:c>
      <x:c r="P8" s="45" t="str">
        <x:v>Ops y Directorio Alsea · octubre 2026</x:v>
      </x:c>
      <x:c r="Q8" s="45" t="str">
        <x:v>CMS anterior</x:v>
      </x:c>
      <x:c r="R8" s="45" t="str">
        <x:v>Abierta</x:v>
      </x:c>
      <x:c r="S8" s="45" t="str"/>
      <x:c r="T8" s="45" t="n">
        <x:f>IF(AND(OR(E8="Abierta",E8="Próxima Apertura"),N8="Sí",ISNUMBER(I8),ISNUMBER(J8),ABS(I8)&lt;=90,ABS(J8)&lt;=180),1,0)</x:f>
        <x:v>1</x:v>
      </x:c>
    </x:row>
    <x:row r="9" ht="23" customHeight="1">
      <x:c r="A9" s="45" t="str">
        <x:v>Centro Norte</x:v>
      </x:c>
      <x:c r="B9" s="45" t="str">
        <x:v>Enrique César</x:v>
      </x:c>
      <x:c r="C9" s="50" t="str">
        <x:v>38862</x:v>
      </x:c>
      <x:c r="D9" s="45" t="str">
        <x:v>San Miguel Izcalli</x:v>
      </x:c>
      <x:c r="E9" s="45" t="str">
        <x:v>Abierta</x:v>
      </x:c>
      <x:c r="F9" s="51" t="d">
        <x:v>2019-03-06T00:00:00.000Z</x:v>
      </x:c>
      <x:c r="G9" s="45" t="str">
        <x:v>Cuatitlan Izcalli</x:v>
      </x:c>
      <x:c r="H9" s="45" t="str">
        <x:v>Estado De México</x:v>
      </x:c>
      <x:c r="I9" s="52" t="n">
        <x:v>19.68836685</x:v>
      </x:c>
      <x:c r="J9" s="52" t="n">
        <x:v>-99.21400636</x:v>
      </x:c>
      <x:c r="K9" s="45" t="str">
        <x:v>Cafe</x:v>
      </x:c>
      <x:c r="L9" s="45" t="str">
        <x:v>Retail</x:v>
      </x:c>
      <x:c r="M9" s="45" t="str">
        <x:v>C2</x:v>
      </x:c>
      <x:c r="N9" s="45" t="str">
        <x:v>Sí</x:v>
      </x:c>
      <x:c r="O9" s="45" t="str">
        <x:v>Enrique Cesar Flores</x:v>
      </x:c>
      <x:c r="P9" s="45" t="str">
        <x:v>Ops y Directorio Alsea · octubre 2026</x:v>
      </x:c>
      <x:c r="Q9" s="45" t="str">
        <x:v>CMS anterior</x:v>
      </x:c>
      <x:c r="R9" s="45" t="str">
        <x:v>Abierta</x:v>
      </x:c>
      <x:c r="S9" s="45" t="str"/>
      <x:c r="T9" s="45" t="n">
        <x:f>IF(AND(OR(E9="Abierta",E9="Próxima Apertura"),N9="Sí",ISNUMBER(I9),ISNUMBER(J9),ABS(I9)&lt;=90,ABS(J9)&lt;=180),1,0)</x:f>
        <x:v>1</x:v>
      </x:c>
    </x:row>
    <x:row r="10" ht="23" customHeight="1">
      <x:c r="A10" s="45" t="str">
        <x:v>Centro Norte</x:v>
      </x:c>
      <x:c r="B10" s="45" t="str">
        <x:v>Enrique César</x:v>
      </x:c>
      <x:c r="C10" s="50" t="str">
        <x:v>38894</x:v>
      </x:c>
      <x:c r="D10" s="45" t="str">
        <x:v>Galerias Perinorte</x:v>
      </x:c>
      <x:c r="E10" s="45" t="str">
        <x:v>Abierta</x:v>
      </x:c>
      <x:c r="F10" s="51" t="d">
        <x:v>2020-12-17T00:00:00.000Z</x:v>
      </x:c>
      <x:c r="G10" s="45" t="str">
        <x:v>Cuatitlan Izcalli</x:v>
      </x:c>
      <x:c r="H10" s="45" t="str">
        <x:v>Estado De México</x:v>
      </x:c>
      <x:c r="I10" s="52" t="n">
        <x:v>19.60223727</x:v>
      </x:c>
      <x:c r="J10" s="52" t="n">
        <x:v>-99.1909696</x:v>
      </x:c>
      <x:c r="K10" s="45" t="str">
        <x:v>Cafe</x:v>
      </x:c>
      <x:c r="L10" s="45" t="str">
        <x:v>Retail</x:v>
      </x:c>
      <x:c r="M10" s="45" t="str">
        <x:v>C1</x:v>
      </x:c>
      <x:c r="N10" s="45" t="str">
        <x:v>Sí</x:v>
      </x:c>
      <x:c r="O10" s="45" t="str">
        <x:v>Enrique Cesar Flores</x:v>
      </x:c>
      <x:c r="P10" s="45" t="str">
        <x:v>Ops y Directorio Alsea · octubre 2026</x:v>
      </x:c>
      <x:c r="Q10" s="45" t="str">
        <x:v>CMS anterior</x:v>
      </x:c>
      <x:c r="R10" s="45" t="str">
        <x:v>Abierta</x:v>
      </x:c>
      <x:c r="S10" s="45" t="str"/>
      <x:c r="T10" s="45" t="n">
        <x:f>IF(AND(OR(E10="Abierta",E10="Próxima Apertura"),N10="Sí",ISNUMBER(I10),ISNUMBER(J10),ABS(I10)&lt;=90,ABS(J10)&lt;=180),1,0)</x:f>
        <x:v>1</x:v>
      </x:c>
    </x:row>
    <x:row r="11" ht="23" customHeight="1">
      <x:c r="A11" s="45" t="str">
        <x:v>Centro Norte</x:v>
      </x:c>
      <x:c r="B11" s="45" t="str">
        <x:v>Enrique César</x:v>
      </x:c>
      <x:c r="C11" s="50" t="str">
        <x:v>43193</x:v>
      </x:c>
      <x:c r="D11" s="45" t="str">
        <x:v>Cosmopol N1</x:v>
      </x:c>
      <x:c r="E11" s="45" t="str">
        <x:v>Abierta</x:v>
      </x:c>
      <x:c r="F11" s="51" t="d">
        <x:v>2025-12-16T00:00:00.000Z</x:v>
      </x:c>
      <x:c r="G11" s="45" t="str">
        <x:v>Coacalco De Berriozábal</x:v>
      </x:c>
      <x:c r="H11" s="45" t="str">
        <x:v>Estado De México</x:v>
      </x:c>
      <x:c r="I11" s="52" t="n">
        <x:v>19.63207203</x:v>
      </x:c>
      <x:c r="J11" s="52" t="n">
        <x:v>-99.12441873</x:v>
      </x:c>
      <x:c r="K11" s="45" t="str">
        <x:v>Kiosko</x:v>
      </x:c>
      <x:c r="L11" s="45" t="str">
        <x:v>Retail</x:v>
      </x:c>
      <x:c r="M11" s="45" t="str">
        <x:v>C1</x:v>
      </x:c>
      <x:c r="N11" s="45" t="str">
        <x:v>Sí</x:v>
      </x:c>
      <x:c r="O11" s="45" t="str">
        <x:v>Enrique Cesar Flores</x:v>
      </x:c>
      <x:c r="P11" s="45" t="str">
        <x:v>Ops y Directorio Alsea · octubre 2026</x:v>
      </x:c>
      <x:c r="Q11" s="45" t="str">
        <x:v>CMS anterior</x:v>
      </x:c>
      <x:c r="R11" s="45" t="str">
        <x:v>Abierta</x:v>
      </x:c>
      <x:c r="S11" s="45" t="str"/>
      <x:c r="T11" s="45" t="n">
        <x:f>IF(AND(OR(E11="Abierta",E11="Próxima Apertura"),N11="Sí",ISNUMBER(I11),ISNUMBER(J11),ABS(I11)&lt;=90,ABS(J11)&lt;=180),1,0)</x:f>
        <x:v>1</x:v>
      </x:c>
    </x:row>
    <x:row r="12" ht="23" customHeight="1">
      <x:c r="A12" s="45" t="str">
        <x:v>Centro Norte</x:v>
      </x:c>
      <x:c r="B12" s="45" t="str">
        <x:v>Enrique César</x:v>
      </x:c>
      <x:c r="C12" s="50" t="str">
        <x:v>43300</x:v>
      </x:c>
      <x:c r="D12" s="45" t="str">
        <x:v>GasoSur Dt</x:v>
      </x:c>
      <x:c r="E12" s="45" t="str">
        <x:v>Próxima Apertura</x:v>
      </x:c>
      <x:c r="F12" s="51"/>
      <x:c r="G12" s="45" t="str">
        <x:v>Tepotzotlan</x:v>
      </x:c>
      <x:c r="H12" s="45" t="str">
        <x:v>Estado De México</x:v>
      </x:c>
      <x:c r="I12" s="52" t="n">
        <x:v>19.7401032831063</x:v>
      </x:c>
      <x:c r="J12" s="52" t="n">
        <x:v>-99.2113318432939</x:v>
      </x:c>
      <x:c r="K12" s="45" t="str">
        <x:v>Drive_Thru</x:v>
      </x:c>
      <x:c r="L12" s="45" t="str">
        <x:v>Freeway</x:v>
      </x:c>
      <x:c r="M12" s="45" t="str">
        <x:v>C2</x:v>
      </x:c>
      <x:c r="N12" s="45" t="str">
        <x:v>Sí</x:v>
      </x:c>
      <x:c r="O12" s="45" t="str">
        <x:v>Enrique César</x:v>
      </x:c>
      <x:c r="P12" s="45" t="str">
        <x:v>CMS anterior</x:v>
      </x:c>
      <x:c r="Q12" s="45" t="str">
        <x:v>CMS anterior</x:v>
      </x:c>
      <x:c r="R12" s="45" t="str"/>
      <x:c r="S12" s="45" t="str"/>
      <x:c r="T12" s="45" t="n">
        <x:f>IF(AND(OR(E12="Abierta",E12="Próxima Apertura"),N12="Sí",ISNUMBER(I12),ISNUMBER(J12),ABS(I12)&lt;=90,ABS(J12)&lt;=180),1,0)</x:f>
        <x:v>1</x:v>
      </x:c>
    </x:row>
    <x:row r="13" ht="23" customHeight="1">
      <x:c r="A13" s="45" t="str">
        <x:v>Centro Norte</x:v>
      </x:c>
      <x:c r="B13" s="45" t="str">
        <x:v>Enrique César</x:v>
      </x:c>
      <x:c r="C13" s="50" t="str">
        <x:v>43301</x:v>
      </x:c>
      <x:c r="D13" s="45" t="str">
        <x:v>Plaza Centella</x:v>
      </x:c>
      <x:c r="E13" s="45" t="str">
        <x:v>Próxima Apertura</x:v>
      </x:c>
      <x:c r="F13" s="51"/>
      <x:c r="G13" s="45" t="str">
        <x:v>Cuatitlan Izcalli</x:v>
      </x:c>
      <x:c r="H13" s="45" t="str">
        <x:v>Estado De México</x:v>
      </x:c>
      <x:c r="I13" s="52" t="n">
        <x:v>19.6787707418715</x:v>
      </x:c>
      <x:c r="J13" s="52" t="n">
        <x:v>-99.1490913531444</x:v>
      </x:c>
      <x:c r="K13" s="45" t="str">
        <x:v>Cafe</x:v>
      </x:c>
      <x:c r="L13" s="45" t="str">
        <x:v>Hypermarket</x:v>
      </x:c>
      <x:c r="M13" s="45" t="str">
        <x:v>C2</x:v>
      </x:c>
      <x:c r="N13" s="45" t="str">
        <x:v>Sí</x:v>
      </x:c>
      <x:c r="O13" s="45" t="str">
        <x:v>Enrique César</x:v>
      </x:c>
      <x:c r="P13" s="45" t="str">
        <x:v>CMS anterior</x:v>
      </x:c>
      <x:c r="Q13" s="45" t="str">
        <x:v>CMS anterior</x:v>
      </x:c>
      <x:c r="R13" s="45" t="str"/>
      <x:c r="S13" s="45" t="str"/>
      <x:c r="T13" s="45" t="n">
        <x:f>IF(AND(OR(E13="Abierta",E13="Próxima Apertura"),N13="Sí",ISNUMBER(I13),ISNUMBER(J13),ABS(I13)&lt;=90,ABS(J13)&lt;=180),1,0)</x:f>
        <x:v>1</x:v>
      </x:c>
    </x:row>
    <x:row r="14" ht="23" customHeight="1">
      <x:c r="A14" s="45" t="str">
        <x:v>Centro Norte</x:v>
      </x:c>
      <x:c r="B14" s="45" t="str">
        <x:v>Nancy Rodríguez</x:v>
      </x:c>
      <x:c r="C14" s="50" t="str">
        <x:v>38136</x:v>
      </x:c>
      <x:c r="D14" s="45" t="str">
        <x:v>Punta Norte</x:v>
      </x:c>
      <x:c r="E14" s="45" t="str">
        <x:v>Abierta</x:v>
      </x:c>
      <x:c r="F14" s="51" t="d">
        <x:v>2004-12-09T00:00:00.000Z</x:v>
      </x:c>
      <x:c r="G14" s="45" t="str">
        <x:v>Cuatitlan Izcalli</x:v>
      </x:c>
      <x:c r="H14" s="45" t="str">
        <x:v>Estado De México</x:v>
      </x:c>
      <x:c r="I14" s="52" t="n">
        <x:v>19.6023276</x:v>
      </x:c>
      <x:c r="J14" s="52" t="n">
        <x:v>-99.19151696</x:v>
      </x:c>
      <x:c r="K14" s="45" t="str">
        <x:v>Cafe</x:v>
      </x:c>
      <x:c r="L14" s="45" t="str">
        <x:v>Retail</x:v>
      </x:c>
      <x:c r="M14" s="45" t="str">
        <x:v>C2</x:v>
      </x:c>
      <x:c r="N14" s="45" t="str">
        <x:v>Sí</x:v>
      </x:c>
      <x:c r="O14" s="45" t="str">
        <x:v>Nancy Carolina Rodriguez Medina</x:v>
      </x:c>
      <x:c r="P14" s="45" t="str">
        <x:v>Ops y Directorio Alsea · octubre 2026</x:v>
      </x:c>
      <x:c r="Q14" s="45" t="str">
        <x:v>CMS anterior</x:v>
      </x:c>
      <x:c r="R14" s="45" t="str">
        <x:v>Abierta</x:v>
      </x:c>
      <x:c r="S14" s="45" t="str"/>
      <x:c r="T14" s="45" t="n">
        <x:f>IF(AND(OR(E14="Abierta",E14="Próxima Apertura"),N14="Sí",ISNUMBER(I14),ISNUMBER(J14),ABS(I14)&lt;=90,ABS(J14)&lt;=180),1,0)</x:f>
        <x:v>1</x:v>
      </x:c>
    </x:row>
    <x:row r="15" ht="23" customHeight="1">
      <x:c r="A15" s="45" t="str">
        <x:v>Centro Norte</x:v>
      </x:c>
      <x:c r="B15" s="45" t="str">
        <x:v>Nancy Rodríguez</x:v>
      </x:c>
      <x:c r="C15" s="50" t="str">
        <x:v>38186</x:v>
      </x:c>
      <x:c r="D15" s="45" t="str">
        <x:v>Arboledas</x:v>
      </x:c>
      <x:c r="E15" s="45" t="str">
        <x:v>Abierta</x:v>
      </x:c>
      <x:c r="F15" s="51" t="d">
        <x:v>2006-05-17T00:00:00.000Z</x:v>
      </x:c>
      <x:c r="G15" s="45" t="str">
        <x:v>Atizapan De Zaragoza</x:v>
      </x:c>
      <x:c r="H15" s="45" t="str">
        <x:v>Estado De México</x:v>
      </x:c>
      <x:c r="I15" s="52" t="n">
        <x:v>19.55995694</x:v>
      </x:c>
      <x:c r="J15" s="52" t="n">
        <x:v>-99.22014176</x:v>
      </x:c>
      <x:c r="K15" s="45" t="str">
        <x:v>Cafe</x:v>
      </x:c>
      <x:c r="L15" s="45" t="str">
        <x:v>Neighborhood</x:v>
      </x:c>
      <x:c r="M15" s="45" t="str">
        <x:v>C1</x:v>
      </x:c>
      <x:c r="N15" s="45" t="str">
        <x:v>Sí</x:v>
      </x:c>
      <x:c r="O15" s="45" t="str">
        <x:v>Nancy Carolina Rodriguez Medina</x:v>
      </x:c>
      <x:c r="P15" s="45" t="str">
        <x:v>Ops y Directorio Alsea · octubre 2026</x:v>
      </x:c>
      <x:c r="Q15" s="45" t="str">
        <x:v>CMS anterior</x:v>
      </x:c>
      <x:c r="R15" s="45" t="str">
        <x:v>Abierta</x:v>
      </x:c>
      <x:c r="S15" s="45" t="str"/>
      <x:c r="T15" s="45" t="n">
        <x:f>IF(AND(OR(E15="Abierta",E15="Próxima Apertura"),N15="Sí",ISNUMBER(I15),ISNUMBER(J15),ABS(I15)&lt;=90,ABS(J15)&lt;=180),1,0)</x:f>
        <x:v>1</x:v>
      </x:c>
    </x:row>
    <x:row r="16" ht="23" customHeight="1">
      <x:c r="A16" s="45" t="str">
        <x:v>Centro Norte</x:v>
      </x:c>
      <x:c r="B16" s="45" t="str">
        <x:v>Nancy Rodríguez</x:v>
      </x:c>
      <x:c r="C16" s="50" t="str">
        <x:v>38230</x:v>
      </x:c>
      <x:c r="D16" s="45" t="str">
        <x:v>ITEMS Edo de Mexico</x:v>
      </x:c>
      <x:c r="E16" s="45" t="str">
        <x:v>Abierta</x:v>
      </x:c>
      <x:c r="F16" s="51" t="d">
        <x:v>2007-05-07T00:00:00.000Z</x:v>
      </x:c>
      <x:c r="G16" s="45" t="str">
        <x:v>Atizapan De Zaragoza</x:v>
      </x:c>
      <x:c r="H16" s="45" t="str">
        <x:v>Estado De México</x:v>
      </x:c>
      <x:c r="I16" s="52" t="n">
        <x:v>19.59795983</x:v>
      </x:c>
      <x:c r="J16" s="52" t="n">
        <x:v>-99.22645569</x:v>
      </x:c>
      <x:c r="K16" s="45" t="str">
        <x:v>Cafe</x:v>
      </x:c>
      <x:c r="L16" s="45" t="str">
        <x:v>Institution</x:v>
      </x:c>
      <x:c r="M16" s="45" t="str">
        <x:v>C1</x:v>
      </x:c>
      <x:c r="N16" s="45" t="str">
        <x:v>Sí</x:v>
      </x:c>
      <x:c r="O16" s="45" t="str">
        <x:v>Nancy Carolina Rodriguez Medina</x:v>
      </x:c>
      <x:c r="P16" s="45" t="str">
        <x:v>Ops y Directorio Alsea · octubre 2026</x:v>
      </x:c>
      <x:c r="Q16" s="45" t="str">
        <x:v>CMS anterior</x:v>
      </x:c>
      <x:c r="R16" s="45" t="str">
        <x:v>Abierta</x:v>
      </x:c>
      <x:c r="S16" s="45" t="str"/>
      <x:c r="T16" s="45" t="n">
        <x:f>IF(AND(OR(E16="Abierta",E16="Próxima Apertura"),N16="Sí",ISNUMBER(I16),ISNUMBER(J16),ABS(I16)&lt;=90,ABS(J16)&lt;=180),1,0)</x:f>
        <x:v>1</x:v>
      </x:c>
    </x:row>
    <x:row r="17" ht="23" customHeight="1">
      <x:c r="A17" s="45" t="str">
        <x:v>Centro Norte</x:v>
      </x:c>
      <x:c r="B17" s="45" t="str">
        <x:v>Nancy Rodríguez</x:v>
      </x:c>
      <x:c r="C17" s="50" t="str">
        <x:v>38374</x:v>
      </x:c>
      <x:c r="D17" s="45" t="str">
        <x:v>Valle Dorado</x:v>
      </x:c>
      <x:c r="E17" s="45" t="str">
        <x:v>Abierta</x:v>
      </x:c>
      <x:c r="F17" s="51" t="d">
        <x:v>2010-03-28T00:00:00.000Z</x:v>
      </x:c>
      <x:c r="G17" s="45" t="str">
        <x:v>Tlalnepantla</x:v>
      </x:c>
      <x:c r="H17" s="45" t="str">
        <x:v>Estado De México</x:v>
      </x:c>
      <x:c r="I17" s="52" t="n">
        <x:v>19.54745096</x:v>
      </x:c>
      <x:c r="J17" s="52" t="n">
        <x:v>-99.21034463</x:v>
      </x:c>
      <x:c r="K17" s="45" t="str">
        <x:v>Cafe</x:v>
      </x:c>
      <x:c r="L17" s="45" t="str">
        <x:v>Retail</x:v>
      </x:c>
      <x:c r="M17" s="45" t="str">
        <x:v>C2</x:v>
      </x:c>
      <x:c r="N17" s="45" t="str">
        <x:v>Sí</x:v>
      </x:c>
      <x:c r="O17" s="45" t="str">
        <x:v>Nancy Carolina Rodriguez Medina</x:v>
      </x:c>
      <x:c r="P17" s="45" t="str">
        <x:v>Ops y Directorio Alsea · octubre 2026</x:v>
      </x:c>
      <x:c r="Q17" s="45" t="str">
        <x:v>CMS anterior</x:v>
      </x:c>
      <x:c r="R17" s="45" t="str">
        <x:v>Abierta</x:v>
      </x:c>
      <x:c r="S17" s="45" t="str"/>
      <x:c r="T17" s="45" t="n">
        <x:f>IF(AND(OR(E17="Abierta",E17="Próxima Apertura"),N17="Sí",ISNUMBER(I17),ISNUMBER(J17),ABS(I17)&lt;=90,ABS(J17)&lt;=180),1,0)</x:f>
        <x:v>1</x:v>
      </x:c>
    </x:row>
    <x:row r="18" ht="23" customHeight="1">
      <x:c r="A18" s="45" t="str">
        <x:v>Centro Norte</x:v>
      </x:c>
      <x:c r="B18" s="45" t="str">
        <x:v>Nancy Rodríguez</x:v>
      </x:c>
      <x:c r="C18" s="50" t="str">
        <x:v>38442</x:v>
      </x:c>
      <x:c r="D18" s="45" t="str">
        <x:v>Sor Juana</x:v>
      </x:c>
      <x:c r="E18" s="45" t="str">
        <x:v>Abierta</x:v>
      </x:c>
      <x:c r="F18" s="51" t="d">
        <x:v>2011-12-19T00:00:00.000Z</x:v>
      </x:c>
      <x:c r="G18" s="45" t="str">
        <x:v>Tlalnepantla</x:v>
      </x:c>
      <x:c r="H18" s="45" t="str">
        <x:v>Estado De México</x:v>
      </x:c>
      <x:c r="I18" s="52" t="n">
        <x:v>19.53858646</x:v>
      </x:c>
      <x:c r="J18" s="52" t="n">
        <x:v>-99.19931536</x:v>
      </x:c>
      <x:c r="K18" s="45" t="str">
        <x:v>Cafe</x:v>
      </x:c>
      <x:c r="L18" s="45" t="str">
        <x:v>Retail</x:v>
      </x:c>
      <x:c r="M18" s="45" t="str">
        <x:v>C2</x:v>
      </x:c>
      <x:c r="N18" s="45" t="str">
        <x:v>Sí</x:v>
      </x:c>
      <x:c r="O18" s="45" t="str">
        <x:v>Nancy Carolina Rodriguez Medina</x:v>
      </x:c>
      <x:c r="P18" s="45" t="str">
        <x:v>Ops y Directorio Alsea · octubre 2026</x:v>
      </x:c>
      <x:c r="Q18" s="45" t="str">
        <x:v>CMS anterior</x:v>
      </x:c>
      <x:c r="R18" s="45" t="str">
        <x:v>Abierta</x:v>
      </x:c>
      <x:c r="S18" s="45" t="str"/>
      <x:c r="T18" s="45" t="n">
        <x:f>IF(AND(OR(E18="Abierta",E18="Próxima Apertura"),N18="Sí",ISNUMBER(I18),ISNUMBER(J18),ABS(I18)&lt;=90,ABS(J18)&lt;=180),1,0)</x:f>
        <x:v>1</x:v>
      </x:c>
    </x:row>
    <x:row r="19" ht="23" customHeight="1">
      <x:c r="A19" s="45" t="str">
        <x:v>Centro Norte</x:v>
      </x:c>
      <x:c r="B19" s="45" t="str">
        <x:v>Nancy Rodríguez</x:v>
      </x:c>
      <x:c r="C19" s="50" t="str">
        <x:v>38460</x:v>
      </x:c>
      <x:c r="D19" s="45" t="str">
        <x:v>Santa Monica</x:v>
      </x:c>
      <x:c r="E19" s="45" t="str">
        <x:v>Abierta</x:v>
      </x:c>
      <x:c r="F19" s="51" t="d">
        <x:v>2012-08-23T00:00:00.000Z</x:v>
      </x:c>
      <x:c r="G19" s="45" t="str">
        <x:v>Tlalnepantla</x:v>
      </x:c>
      <x:c r="H19" s="45" t="str">
        <x:v>Estado De México</x:v>
      </x:c>
      <x:c r="I19" s="52" t="n">
        <x:v>19.52812104</x:v>
      </x:c>
      <x:c r="J19" s="52" t="n">
        <x:v>-99.22818709</x:v>
      </x:c>
      <x:c r="K19" s="45" t="str">
        <x:v>Cafe</x:v>
      </x:c>
      <x:c r="L19" s="45" t="str">
        <x:v>Neighborhood</x:v>
      </x:c>
      <x:c r="M19" s="45" t="str">
        <x:v>C2</x:v>
      </x:c>
      <x:c r="N19" s="45" t="str">
        <x:v>Sí</x:v>
      </x:c>
      <x:c r="O19" s="45" t="str">
        <x:v>Nancy Carolina Rodriguez Medina</x:v>
      </x:c>
      <x:c r="P19" s="45" t="str">
        <x:v>Ops y Directorio Alsea · octubre 2026</x:v>
      </x:c>
      <x:c r="Q19" s="45" t="str">
        <x:v>CMS anterior</x:v>
      </x:c>
      <x:c r="R19" s="45" t="str">
        <x:v>Abierta</x:v>
      </x:c>
      <x:c r="S19" s="45" t="str"/>
      <x:c r="T19" s="45" t="n">
        <x:f>IF(AND(OR(E19="Abierta",E19="Próxima Apertura"),N19="Sí",ISNUMBER(I19),ISNUMBER(J19),ABS(I19)&lt;=90,ABS(J19)&lt;=180),1,0)</x:f>
        <x:v>1</x:v>
      </x:c>
    </x:row>
    <x:row r="20" ht="23" customHeight="1">
      <x:c r="A20" s="45" t="str">
        <x:v>Centro Norte</x:v>
      </x:c>
      <x:c r="B20" s="45" t="str">
        <x:v>Nancy Rodríguez</x:v>
      </x:c>
      <x:c r="C20" s="50" t="str">
        <x:v>38606</x:v>
      </x:c>
      <x:c r="D20" s="45" t="str">
        <x:v>TlalnepantlaCarso</x:v>
      </x:c>
      <x:c r="E20" s="45" t="str">
        <x:v>Abierta</x:v>
      </x:c>
      <x:c r="F20" s="51" t="d">
        <x:v>2015-09-08T00:00:00.000Z</x:v>
      </x:c>
      <x:c r="G20" s="45" t="str">
        <x:v>Tlalnepantla</x:v>
      </x:c>
      <x:c r="H20" s="45" t="str">
        <x:v>Estado De México</x:v>
      </x:c>
      <x:c r="I20" s="52" t="n">
        <x:v>19.53820969</x:v>
      </x:c>
      <x:c r="J20" s="52" t="n">
        <x:v>-99.20631362</x:v>
      </x:c>
      <x:c r="K20" s="45" t="str">
        <x:v>Cafe</x:v>
      </x:c>
      <x:c r="L20" s="45" t="str">
        <x:v>Retail</x:v>
      </x:c>
      <x:c r="M20" s="45" t="str">
        <x:v>C1</x:v>
      </x:c>
      <x:c r="N20" s="45" t="str">
        <x:v>Sí</x:v>
      </x:c>
      <x:c r="O20" s="45" t="str">
        <x:v>Nancy Carolina Rodriguez Medina</x:v>
      </x:c>
      <x:c r="P20" s="45" t="str">
        <x:v>Ops y Directorio Alsea · octubre 2026</x:v>
      </x:c>
      <x:c r="Q20" s="45" t="str">
        <x:v>CMS anterior</x:v>
      </x:c>
      <x:c r="R20" s="45" t="str">
        <x:v>Abierta</x:v>
      </x:c>
      <x:c r="S20" s="45" t="str"/>
      <x:c r="T20" s="45" t="n">
        <x:f>IF(AND(OR(E20="Abierta",E20="Próxima Apertura"),N20="Sí",ISNUMBER(I20),ISNUMBER(J20),ABS(I20)&lt;=90,ABS(J20)&lt;=180),1,0)</x:f>
        <x:v>1</x:v>
      </x:c>
    </x:row>
    <x:row r="21" ht="23" customHeight="1">
      <x:c r="A21" s="45" t="str">
        <x:v>Centro Norte</x:v>
      </x:c>
      <x:c r="B21" s="45" t="str">
        <x:v>Nancy Rodríguez</x:v>
      </x:c>
      <x:c r="C21" s="50" t="str">
        <x:v>38661</x:v>
      </x:c>
      <x:c r="D21" s="45" t="str">
        <x:v>Jinetes</x:v>
      </x:c>
      <x:c r="E21" s="45" t="str">
        <x:v>Abierta</x:v>
      </x:c>
      <x:c r="F21" s="51" t="d">
        <x:v>2016-08-12T00:00:00.000Z</x:v>
      </x:c>
      <x:c r="G21" s="45" t="str">
        <x:v>Atizapan De Zaragoza</x:v>
      </x:c>
      <x:c r="H21" s="45" t="str">
        <x:v>Estado De México</x:v>
      </x:c>
      <x:c r="I21" s="52" t="n">
        <x:v>19.55998726</x:v>
      </x:c>
      <x:c r="J21" s="52" t="n">
        <x:v>-99.22017395</x:v>
      </x:c>
      <x:c r="K21" s="45" t="str">
        <x:v>Cafe</x:v>
      </x:c>
      <x:c r="L21" s="45" t="str">
        <x:v>Neighborhood</x:v>
      </x:c>
      <x:c r="M21" s="45" t="str">
        <x:v>C1</x:v>
      </x:c>
      <x:c r="N21" s="45" t="str">
        <x:v>Sí</x:v>
      </x:c>
      <x:c r="O21" s="45" t="str">
        <x:v>Nancy Carolina Rodriguez Medina</x:v>
      </x:c>
      <x:c r="P21" s="45" t="str">
        <x:v>Ops y Directorio Alsea · octubre 2026</x:v>
      </x:c>
      <x:c r="Q21" s="45" t="str">
        <x:v>CMS anterior</x:v>
      </x:c>
      <x:c r="R21" s="45" t="str">
        <x:v>Abierta</x:v>
      </x:c>
      <x:c r="S21" s="45" t="str"/>
      <x:c r="T21" s="45" t="n">
        <x:f>IF(AND(OR(E21="Abierta",E21="Próxima Apertura"),N21="Sí",ISNUMBER(I21),ISNUMBER(J21),ABS(I21)&lt;=90,ABS(J21)&lt;=180),1,0)</x:f>
        <x:v>1</x:v>
      </x:c>
    </x:row>
    <x:row r="22" ht="23" customHeight="1">
      <x:c r="A22" s="45" t="str">
        <x:v>Centro Norte</x:v>
      </x:c>
      <x:c r="B22" s="45" t="str">
        <x:v>Nancy Rodríguez</x:v>
      </x:c>
      <x:c r="C22" s="50" t="str">
        <x:v>38674</x:v>
      </x:c>
      <x:c r="D22" s="45" t="str">
        <x:v>Mundo E</x:v>
      </x:c>
      <x:c r="E22" s="45" t="str">
        <x:v>Abierta</x:v>
      </x:c>
      <x:c r="F22" s="51" t="d">
        <x:v>2016-09-19T00:00:00.000Z</x:v>
      </x:c>
      <x:c r="G22" s="45" t="str">
        <x:v>Tlalnepantla</x:v>
      </x:c>
      <x:c r="H22" s="45" t="str">
        <x:v>Estado De México</x:v>
      </x:c>
      <x:c r="I22" s="52" t="n">
        <x:v>19.52606457</x:v>
      </x:c>
      <x:c r="J22" s="52" t="n">
        <x:v>-99.22811955</x:v>
      </x:c>
      <x:c r="K22" s="45" t="str">
        <x:v>Cafe</x:v>
      </x:c>
      <x:c r="L22" s="45" t="str">
        <x:v>Retail</x:v>
      </x:c>
      <x:c r="M22" s="45" t="str">
        <x:v>C1</x:v>
      </x:c>
      <x:c r="N22" s="45" t="str">
        <x:v>Sí</x:v>
      </x:c>
      <x:c r="O22" s="45" t="str">
        <x:v>Nancy Carolina Rodriguez Medina</x:v>
      </x:c>
      <x:c r="P22" s="45" t="str">
        <x:v>Ops y Directorio Alsea · octubre 2026</x:v>
      </x:c>
      <x:c r="Q22" s="45" t="str">
        <x:v>CMS anterior</x:v>
      </x:c>
      <x:c r="R22" s="45" t="str">
        <x:v>Abierta</x:v>
      </x:c>
      <x:c r="S22" s="45" t="str"/>
      <x:c r="T22" s="45" t="n">
        <x:f>IF(AND(OR(E22="Abierta",E22="Próxima Apertura"),N22="Sí",ISNUMBER(I22),ISNUMBER(J22),ABS(I22)&lt;=90,ABS(J22)&lt;=180),1,0)</x:f>
        <x:v>1</x:v>
      </x:c>
    </x:row>
    <x:row r="23" ht="23" customHeight="1">
      <x:c r="A23" s="45" t="str">
        <x:v>Centro Norte</x:v>
      </x:c>
      <x:c r="B23" s="45" t="str">
        <x:v>Nancy Rodríguez</x:v>
      </x:c>
      <x:c r="C23" s="50" t="str">
        <x:v>38694</x:v>
      </x:c>
      <x:c r="D23" s="45" t="str">
        <x:v>Villas de la Hacienda</x:v>
      </x:c>
      <x:c r="E23" s="45" t="str">
        <x:v>Abierta</x:v>
      </x:c>
      <x:c r="F23" s="51" t="d">
        <x:v>2016-12-17T00:00:00.000Z</x:v>
      </x:c>
      <x:c r="G23" s="45" t="str">
        <x:v>Atizapan De Zaragoza</x:v>
      </x:c>
      <x:c r="H23" s="45" t="str">
        <x:v>Estado De México</x:v>
      </x:c>
      <x:c r="I23" s="52" t="n">
        <x:v>19.60704127</x:v>
      </x:c>
      <x:c r="J23" s="52" t="n">
        <x:v>-99.22930698</x:v>
      </x:c>
      <x:c r="K23" s="45" t="str">
        <x:v>Cafe</x:v>
      </x:c>
      <x:c r="L23" s="45" t="str">
        <x:v>Retail</x:v>
      </x:c>
      <x:c r="M23" s="45" t="str">
        <x:v>C2</x:v>
      </x:c>
      <x:c r="N23" s="45" t="str">
        <x:v>Sí</x:v>
      </x:c>
      <x:c r="O23" s="45" t="str">
        <x:v>Nancy Carolina Rodriguez Medina</x:v>
      </x:c>
      <x:c r="P23" s="45" t="str">
        <x:v>Ops y Directorio Alsea · octubre 2026</x:v>
      </x:c>
      <x:c r="Q23" s="45" t="str">
        <x:v>CMS anterior</x:v>
      </x:c>
      <x:c r="R23" s="45" t="str">
        <x:v>Abierta</x:v>
      </x:c>
      <x:c r="S23" s="45" t="str"/>
      <x:c r="T23" s="45" t="n">
        <x:f>IF(AND(OR(E23="Abierta",E23="Próxima Apertura"),N23="Sí",ISNUMBER(I23),ISNUMBER(J23),ABS(I23)&lt;=90,ABS(J23)&lt;=180),1,0)</x:f>
        <x:v>1</x:v>
      </x:c>
    </x:row>
    <x:row r="24" ht="23" customHeight="1">
      <x:c r="A24" s="45" t="str">
        <x:v>Centro Norte</x:v>
      </x:c>
      <x:c r="B24" s="45" t="str">
        <x:v>Nancy Rodríguez</x:v>
      </x:c>
      <x:c r="C24" s="50" t="str">
        <x:v>38792</x:v>
      </x:c>
      <x:c r="D24" s="45" t="str">
        <x:v>Pasaje Tlanepantla</x:v>
      </x:c>
      <x:c r="E24" s="45" t="str">
        <x:v>Abierta</x:v>
      </x:c>
      <x:c r="F24" s="51" t="d">
        <x:v>2018-05-15T00:00:00.000Z</x:v>
      </x:c>
      <x:c r="G24" s="45" t="str">
        <x:v>Tlalnepantla</x:v>
      </x:c>
      <x:c r="H24" s="45" t="str">
        <x:v>Estado De México</x:v>
      </x:c>
      <x:c r="I24" s="52" t="n">
        <x:v>19.54010506</x:v>
      </x:c>
      <x:c r="J24" s="52" t="n">
        <x:v>-99.21541073</x:v>
      </x:c>
      <x:c r="K24" s="45" t="str">
        <x:v>Cafe</x:v>
      </x:c>
      <x:c r="L24" s="45" t="str">
        <x:v>Retail</x:v>
      </x:c>
      <x:c r="M24" s="45" t="str">
        <x:v>C1</x:v>
      </x:c>
      <x:c r="N24" s="45" t="str">
        <x:v>Sí</x:v>
      </x:c>
      <x:c r="O24" s="45" t="str">
        <x:v>Nancy Carolina Rodriguez Medina</x:v>
      </x:c>
      <x:c r="P24" s="45" t="str">
        <x:v>Ops y Directorio Alsea · octubre 2026</x:v>
      </x:c>
      <x:c r="Q24" s="45" t="str">
        <x:v>CMS anterior</x:v>
      </x:c>
      <x:c r="R24" s="45" t="str">
        <x:v>Abierta</x:v>
      </x:c>
      <x:c r="S24" s="45" t="str"/>
      <x:c r="T24" s="45" t="n">
        <x:f>IF(AND(OR(E24="Abierta",E24="Próxima Apertura"),N24="Sí",ISNUMBER(I24),ISNUMBER(J24),ABS(I24)&lt;=90,ABS(J24)&lt;=180),1,0)</x:f>
        <x:v>1</x:v>
      </x:c>
    </x:row>
    <x:row r="25" ht="23" customHeight="1">
      <x:c r="A25" s="45" t="str">
        <x:v>Centro Norte</x:v>
      </x:c>
      <x:c r="B25" s="45" t="str">
        <x:v>Nancy Rodríguez</x:v>
      </x:c>
      <x:c r="C25" s="50" t="str">
        <x:v>38845</x:v>
      </x:c>
      <x:c r="D25" s="45" t="str">
        <x:v>Mundo E II</x:v>
      </x:c>
      <x:c r="E25" s="45" t="str">
        <x:v>Abierta</x:v>
      </x:c>
      <x:c r="F25" s="51" t="d">
        <x:v>2018-12-08T00:00:00.000Z</x:v>
      </x:c>
      <x:c r="G25" s="45" t="str">
        <x:v>Tlalnepantla</x:v>
      </x:c>
      <x:c r="H25" s="45" t="str">
        <x:v>Estado De México</x:v>
      </x:c>
      <x:c r="I25" s="52" t="n">
        <x:v>19.52497104</x:v>
      </x:c>
      <x:c r="J25" s="52" t="n">
        <x:v>-99.22911025</x:v>
      </x:c>
      <x:c r="K25" s="45" t="str">
        <x:v>Kiosko</x:v>
      </x:c>
      <x:c r="L25" s="45" t="str">
        <x:v>Retail</x:v>
      </x:c>
      <x:c r="M25" s="45" t="str">
        <x:v>C1</x:v>
      </x:c>
      <x:c r="N25" s="45" t="str">
        <x:v>Sí</x:v>
      </x:c>
      <x:c r="O25" s="45" t="str">
        <x:v>Nancy Carolina Rodriguez Medina</x:v>
      </x:c>
      <x:c r="P25" s="45" t="str">
        <x:v>Ops y Directorio Alsea · octubre 2026</x:v>
      </x:c>
      <x:c r="Q25" s="45" t="str">
        <x:v>CMS anterior</x:v>
      </x:c>
      <x:c r="R25" s="45" t="str">
        <x:v>Abierta</x:v>
      </x:c>
      <x:c r="S25" s="45" t="str"/>
      <x:c r="T25" s="45" t="n">
        <x:f>IF(AND(OR(E25="Abierta",E25="Próxima Apertura"),N25="Sí",ISNUMBER(I25),ISNUMBER(J25),ABS(I25)&lt;=90,ABS(J25)&lt;=180),1,0)</x:f>
        <x:v>1</x:v>
      </x:c>
    </x:row>
    <x:row r="26" ht="23" customHeight="1">
      <x:c r="A26" s="45" t="str">
        <x:v>Centro Norte</x:v>
      </x:c>
      <x:c r="B26" s="45" t="str">
        <x:v>Nancy Rodríguez</x:v>
      </x:c>
      <x:c r="C26" s="50" t="str">
        <x:v>43261</x:v>
      </x:c>
      <x:c r="D26" s="45" t="str">
        <x:v>Encuentro Tlanepantla</x:v>
      </x:c>
      <x:c r="E26" s="45" t="str">
        <x:v>Abierta</x:v>
      </x:c>
      <x:c r="F26" s="51" t="d">
        <x:v>2026-09-26T00:00:00.000Z</x:v>
      </x:c>
      <x:c r="G26" s="45" t="str">
        <x:v>Tlalnepantla</x:v>
      </x:c>
      <x:c r="H26" s="45" t="str">
        <x:v>Estado De México</x:v>
      </x:c>
      <x:c r="I26" s="52" t="n">
        <x:v>19.5327648421521</x:v>
      </x:c>
      <x:c r="J26" s="52" t="n">
        <x:v>-99.1727897635039</x:v>
      </x:c>
      <x:c r="K26" s="45" t="str">
        <x:v>Kiosko</x:v>
      </x:c>
      <x:c r="L26" s="45" t="str">
        <x:v>Retail</x:v>
      </x:c>
      <x:c r="M26" s="45" t="str">
        <x:v>C2</x:v>
      </x:c>
      <x:c r="N26" s="45" t="str">
        <x:v>Sí</x:v>
      </x:c>
      <x:c r="O26" s="45" t="str">
        <x:v>Nancy Carolina Rodriguez Medina</x:v>
      </x:c>
      <x:c r="P26" s="45" t="str">
        <x:v>Ops y Directorio Alsea · octubre 2026</x:v>
      </x:c>
      <x:c r="Q26" s="45" t="str">
        <x:v>CMS anterior</x:v>
      </x:c>
      <x:c r="R26" s="45" t="str">
        <x:v>Abierta</x:v>
      </x:c>
      <x:c r="S26" s="45" t="str"/>
      <x:c r="T26" s="45" t="n">
        <x:f>IF(AND(OR(E26="Abierta",E26="Próxima Apertura"),N26="Sí",ISNUMBER(I26),ISNUMBER(J26),ABS(I26)&lt;=90,ABS(J26)&lt;=180),1,0)</x:f>
        <x:v>1</x:v>
      </x:c>
    </x:row>
    <x:row r="27" ht="23" customHeight="1">
      <x:c r="A27" s="45" t="str">
        <x:v>Centro Norte</x:v>
      </x:c>
      <x:c r="B27" s="45" t="str">
        <x:v>Vanessa Carreño</x:v>
      </x:c>
      <x:c r="C27" s="50" t="str">
        <x:v>38205</x:v>
      </x:c>
      <x:c r="D27" s="45" t="str">
        <x:v>Lindavista</x:v>
      </x:c>
      <x:c r="E27" s="45" t="str">
        <x:v>Abierta</x:v>
      </x:c>
      <x:c r="F27" s="51" t="d">
        <x:v>2006-11-18T00:00:00.000Z</x:v>
      </x:c>
      <x:c r="G27" s="45" t="str">
        <x:v>Gustavo A. Madero</x:v>
      </x:c>
      <x:c r="H27" s="45" t="str">
        <x:v>Ciudad De México</x:v>
      </x:c>
      <x:c r="I27" s="52" t="n">
        <x:v>19.4864747</x:v>
      </x:c>
      <x:c r="J27" s="52" t="n">
        <x:v>-99.1306705</x:v>
      </x:c>
      <x:c r="K27" s="45" t="str">
        <x:v>Cafe</x:v>
      </x:c>
      <x:c r="L27" s="45" t="str">
        <x:v>Retail</x:v>
      </x:c>
      <x:c r="M27" s="45" t="str">
        <x:v>C2</x:v>
      </x:c>
      <x:c r="N27" s="45" t="str">
        <x:v>Sí</x:v>
      </x:c>
      <x:c r="O27" s="45" t="str">
        <x:v>Vanessa Carreño Rios</x:v>
      </x:c>
      <x:c r="P27" s="45" t="str">
        <x:v>Ops y Directorio Alsea · octubre 2026</x:v>
      </x:c>
      <x:c r="Q27" s="45" t="str">
        <x:v>CMS anterior</x:v>
      </x:c>
      <x:c r="R27" s="45" t="str">
        <x:v>Abierta</x:v>
      </x:c>
      <x:c r="S27" s="45" t="str"/>
      <x:c r="T27" s="45" t="n">
        <x:f>IF(AND(OR(E27="Abierta",E27="Próxima Apertura"),N27="Sí",ISNUMBER(I27),ISNUMBER(J27),ABS(I27)&lt;=90,ABS(J27)&lt;=180),1,0)</x:f>
        <x:v>1</x:v>
      </x:c>
    </x:row>
    <x:row r="28" ht="23" customHeight="1">
      <x:c r="A28" s="45" t="str">
        <x:v>Centro Norte</x:v>
      </x:c>
      <x:c r="B28" s="45" t="str">
        <x:v>Vanessa Carreño</x:v>
      </x:c>
      <x:c r="C28" s="50" t="str">
        <x:v>38207</x:v>
      </x:c>
      <x:c r="D28" s="45" t="str">
        <x:v>Lindavista II</x:v>
      </x:c>
      <x:c r="E28" s="45" t="str">
        <x:v>Abierta</x:v>
      </x:c>
      <x:c r="F28" s="51" t="d">
        <x:v>2006-11-21T00:00:00.000Z</x:v>
      </x:c>
      <x:c r="G28" s="45" t="str">
        <x:v>Gustavo A. Madero</x:v>
      </x:c>
      <x:c r="H28" s="45" t="str">
        <x:v>Ciudad De México</x:v>
      </x:c>
      <x:c r="I28" s="52" t="n">
        <x:v>19.48641994</x:v>
      </x:c>
      <x:c r="J28" s="52" t="n">
        <x:v>-99.13145725</x:v>
      </x:c>
      <x:c r="K28" s="45" t="str">
        <x:v>Kiosko</x:v>
      </x:c>
      <x:c r="L28" s="45" t="str">
        <x:v>Retail</x:v>
      </x:c>
      <x:c r="M28" s="45" t="str">
        <x:v>C2</x:v>
      </x:c>
      <x:c r="N28" s="45" t="str">
        <x:v>Sí</x:v>
      </x:c>
      <x:c r="O28" s="45" t="str">
        <x:v>Vanessa Carreño Rios</x:v>
      </x:c>
      <x:c r="P28" s="45" t="str">
        <x:v>Ops y Directorio Alsea · octubre 2026</x:v>
      </x:c>
      <x:c r="Q28" s="45" t="str">
        <x:v>CMS anterior</x:v>
      </x:c>
      <x:c r="R28" s="45" t="str">
        <x:v>Abierta</x:v>
      </x:c>
      <x:c r="S28" s="45" t="str"/>
      <x:c r="T28" s="45" t="n">
        <x:f>IF(AND(OR(E28="Abierta",E28="Próxima Apertura"),N28="Sí",ISNUMBER(I28),ISNUMBER(J28),ABS(I28)&lt;=90,ABS(J28)&lt;=180),1,0)</x:f>
        <x:v>1</x:v>
      </x:c>
    </x:row>
    <x:row r="29" ht="23" customHeight="1">
      <x:c r="A29" s="45" t="str">
        <x:v>Centro Norte</x:v>
      </x:c>
      <x:c r="B29" s="45" t="str">
        <x:v>Vanessa Carreño</x:v>
      </x:c>
      <x:c r="C29" s="50" t="str">
        <x:v>38371</x:v>
      </x:c>
      <x:c r="D29" s="45" t="str">
        <x:v>Montevideo DT</x:v>
      </x:c>
      <x:c r="E29" s="45" t="str">
        <x:v>Abierta</x:v>
      </x:c>
      <x:c r="F29" s="51" t="d">
        <x:v>2009-12-22T00:00:00.000Z</x:v>
      </x:c>
      <x:c r="G29" s="45" t="str">
        <x:v>Gustavo A. Madero</x:v>
      </x:c>
      <x:c r="H29" s="45" t="str">
        <x:v>Ciudad De México</x:v>
      </x:c>
      <x:c r="I29" s="52" t="n">
        <x:v>19.4898201</x:v>
      </x:c>
      <x:c r="J29" s="52" t="n">
        <x:v>-99.13027292</x:v>
      </x:c>
      <x:c r="K29" s="45" t="str">
        <x:v>Drive_Thru</x:v>
      </x:c>
      <x:c r="L29" s="45" t="str">
        <x:v>Neighborhood</x:v>
      </x:c>
      <x:c r="M29" s="45" t="str">
        <x:v>C2</x:v>
      </x:c>
      <x:c r="N29" s="45" t="str">
        <x:v>Sí</x:v>
      </x:c>
      <x:c r="O29" s="45" t="str">
        <x:v>Vanessa Carreño Rios</x:v>
      </x:c>
      <x:c r="P29" s="45" t="str">
        <x:v>Ops y Directorio Alsea · octubre 2026</x:v>
      </x:c>
      <x:c r="Q29" s="45" t="str">
        <x:v>CMS anterior</x:v>
      </x:c>
      <x:c r="R29" s="45" t="str">
        <x:v>Abierta</x:v>
      </x:c>
      <x:c r="S29" s="45" t="str"/>
      <x:c r="T29" s="45" t="n">
        <x:f>IF(AND(OR(E29="Abierta",E29="Próxima Apertura"),N29="Sí",ISNUMBER(I29),ISNUMBER(J29),ABS(I29)&lt;=90,ABS(J29)&lt;=180),1,0)</x:f>
        <x:v>1</x:v>
      </x:c>
    </x:row>
    <x:row r="30" ht="23" customHeight="1">
      <x:c r="A30" s="45" t="str">
        <x:v>Centro Norte</x:v>
      </x:c>
      <x:c r="B30" s="45" t="str">
        <x:v>Vanessa Carreño</x:v>
      </x:c>
      <x:c r="C30" s="50" t="str">
        <x:v>38411</x:v>
      </x:c>
      <x:c r="D30" s="45" t="str">
        <x:v>Torres Lindavista</x:v>
      </x:c>
      <x:c r="E30" s="45" t="str">
        <x:v>Abierta</x:v>
      </x:c>
      <x:c r="F30" s="51" t="d">
        <x:v>2011-04-03T00:00:00.000Z</x:v>
      </x:c>
      <x:c r="G30" s="45" t="str">
        <x:v>Gustavo A. Madero</x:v>
      </x:c>
      <x:c r="H30" s="45" t="str">
        <x:v>Ciudad De México</x:v>
      </x:c>
      <x:c r="I30" s="52" t="n">
        <x:v>19.50647617</x:v>
      </x:c>
      <x:c r="J30" s="52" t="n">
        <x:v>-99.1441572</x:v>
      </x:c>
      <x:c r="K30" s="45" t="str">
        <x:v>Cafe</x:v>
      </x:c>
      <x:c r="L30" s="45" t="str">
        <x:v>Retail</x:v>
      </x:c>
      <x:c r="M30" s="45" t="str">
        <x:v>C2</x:v>
      </x:c>
      <x:c r="N30" s="45" t="str">
        <x:v>Sí</x:v>
      </x:c>
      <x:c r="O30" s="45" t="str">
        <x:v>Vanessa Carreño Rios</x:v>
      </x:c>
      <x:c r="P30" s="45" t="str">
        <x:v>Ops y Directorio Alsea · octubre 2026</x:v>
      </x:c>
      <x:c r="Q30" s="45" t="str">
        <x:v>CMS anterior</x:v>
      </x:c>
      <x:c r="R30" s="45" t="str">
        <x:v>Abierta</x:v>
      </x:c>
      <x:c r="S30" s="45" t="str"/>
      <x:c r="T30" s="45" t="n">
        <x:f>IF(AND(OR(E30="Abierta",E30="Próxima Apertura"),N30="Sí",ISNUMBER(I30),ISNUMBER(J30),ABS(I30)&lt;=90,ABS(J30)&lt;=180),1,0)</x:f>
        <x:v>1</x:v>
      </x:c>
    </x:row>
    <x:row r="31" ht="23" customHeight="1">
      <x:c r="A31" s="45" t="str">
        <x:v>Centro Norte</x:v>
      </x:c>
      <x:c r="B31" s="45" t="str">
        <x:v>Vanessa Carreño</x:v>
      </x:c>
      <x:c r="C31" s="50" t="str">
        <x:v>38527</x:v>
      </x:c>
      <x:c r="D31" s="45" t="str">
        <x:v>Camarones</x:v>
      </x:c>
      <x:c r="E31" s="45" t="str">
        <x:v>Abierta</x:v>
      </x:c>
      <x:c r="F31" s="51" t="d">
        <x:v>2014-01-10T00:00:00.000Z</x:v>
      </x:c>
      <x:c r="G31" s="45" t="str">
        <x:v>Azcapotzalco</x:v>
      </x:c>
      <x:c r="H31" s="45" t="str">
        <x:v>Ciudad De México</x:v>
      </x:c>
      <x:c r="I31" s="52" t="n">
        <x:v>19.47180993</x:v>
      </x:c>
      <x:c r="J31" s="52" t="n">
        <x:v>-99.1800422</x:v>
      </x:c>
      <x:c r="K31" s="45" t="str">
        <x:v>Drive_Thru</x:v>
      </x:c>
      <x:c r="L31" s="45" t="str">
        <x:v>Neighborhood</x:v>
      </x:c>
      <x:c r="M31" s="45" t="str">
        <x:v>C2</x:v>
      </x:c>
      <x:c r="N31" s="45" t="str">
        <x:v>Sí</x:v>
      </x:c>
      <x:c r="O31" s="45" t="str">
        <x:v>Vanessa Carreño Rios</x:v>
      </x:c>
      <x:c r="P31" s="45" t="str">
        <x:v>Ops y Directorio Alsea · octubre 2026</x:v>
      </x:c>
      <x:c r="Q31" s="45" t="str">
        <x:v>CMS anterior</x:v>
      </x:c>
      <x:c r="R31" s="45" t="str">
        <x:v>Abierta</x:v>
      </x:c>
      <x:c r="S31" s="45" t="str"/>
      <x:c r="T31" s="45" t="n">
        <x:f>IF(AND(OR(E31="Abierta",E31="Próxima Apertura"),N31="Sí",ISNUMBER(I31),ISNUMBER(J31),ABS(I31)&lt;=90,ABS(J31)&lt;=180),1,0)</x:f>
        <x:v>1</x:v>
      </x:c>
    </x:row>
    <x:row r="32" ht="23" customHeight="1">
      <x:c r="A32" s="45" t="str">
        <x:v>Centro Norte</x:v>
      </x:c>
      <x:c r="B32" s="45" t="str">
        <x:v>Vanessa Carreño</x:v>
      </x:c>
      <x:c r="C32" s="50" t="str">
        <x:v>38546</x:v>
      </x:c>
      <x:c r="D32" s="45" t="str">
        <x:v>Patio Claveria</x:v>
      </x:c>
      <x:c r="E32" s="45" t="str">
        <x:v>Abierta</x:v>
      </x:c>
      <x:c r="F32" s="51" t="d">
        <x:v>2014-09-23T00:00:00.000Z</x:v>
      </x:c>
      <x:c r="G32" s="45" t="str">
        <x:v>Azcapotzalco</x:v>
      </x:c>
      <x:c r="H32" s="45" t="str">
        <x:v>Ciudad De México</x:v>
      </x:c>
      <x:c r="I32" s="52" t="n">
        <x:v>19.46372479</x:v>
      </x:c>
      <x:c r="J32" s="52" t="n">
        <x:v>-99.18212386</x:v>
      </x:c>
      <x:c r="K32" s="45" t="str">
        <x:v>Cafe</x:v>
      </x:c>
      <x:c r="L32" s="45" t="str">
        <x:v>Retail</x:v>
      </x:c>
      <x:c r="M32" s="45" t="str">
        <x:v>C2</x:v>
      </x:c>
      <x:c r="N32" s="45" t="str">
        <x:v>Sí</x:v>
      </x:c>
      <x:c r="O32" s="45" t="str">
        <x:v>Vanessa Carreño Rios</x:v>
      </x:c>
      <x:c r="P32" s="45" t="str">
        <x:v>Ops y Directorio Alsea · octubre 2026</x:v>
      </x:c>
      <x:c r="Q32" s="45" t="str">
        <x:v>CMS anterior</x:v>
      </x:c>
      <x:c r="R32" s="45" t="str">
        <x:v>Abierta</x:v>
      </x:c>
      <x:c r="S32" s="45" t="str"/>
      <x:c r="T32" s="45" t="n">
        <x:f>IF(AND(OR(E32="Abierta",E32="Próxima Apertura"),N32="Sí",ISNUMBER(I32),ISNUMBER(J32),ABS(I32)&lt;=90,ABS(J32)&lt;=180),1,0)</x:f>
        <x:v>1</x:v>
      </x:c>
    </x:row>
    <x:row r="33" ht="23" customHeight="1">
      <x:c r="A33" s="45" t="str">
        <x:v>Centro Norte</x:v>
      </x:c>
      <x:c r="B33" s="45" t="str">
        <x:v>Vanessa Carreño</x:v>
      </x:c>
      <x:c r="C33" s="50" t="str">
        <x:v>38651</x:v>
      </x:c>
      <x:c r="D33" s="45" t="str">
        <x:v>Via Vallejo</x:v>
      </x:c>
      <x:c r="E33" s="45" t="str">
        <x:v>Abierta</x:v>
      </x:c>
      <x:c r="F33" s="51" t="d">
        <x:v>2016-06-24T00:00:00.000Z</x:v>
      </x:c>
      <x:c r="G33" s="45" t="str">
        <x:v>Azcapotzalco</x:v>
      </x:c>
      <x:c r="H33" s="45" t="str">
        <x:v>Ciudad De México</x:v>
      </x:c>
      <x:c r="I33" s="52" t="n">
        <x:v>19.48725287</x:v>
      </x:c>
      <x:c r="J33" s="52" t="n">
        <x:v>-99.15168203</x:v>
      </x:c>
      <x:c r="K33" s="45" t="str">
        <x:v>Cafe</x:v>
      </x:c>
      <x:c r="L33" s="45" t="str">
        <x:v>Retail</x:v>
      </x:c>
      <x:c r="M33" s="45" t="str">
        <x:v>C1</x:v>
      </x:c>
      <x:c r="N33" s="45" t="str">
        <x:v>Sí</x:v>
      </x:c>
      <x:c r="O33" s="45" t="str">
        <x:v>Vanessa Carreño Rios</x:v>
      </x:c>
      <x:c r="P33" s="45" t="str">
        <x:v>Ops y Directorio Alsea · octubre 2026</x:v>
      </x:c>
      <x:c r="Q33" s="45" t="str">
        <x:v>CMS anterior</x:v>
      </x:c>
      <x:c r="R33" s="45" t="str">
        <x:v>Abierta</x:v>
      </x:c>
      <x:c r="S33" s="45" t="str"/>
      <x:c r="T33" s="45" t="n">
        <x:f>IF(AND(OR(E33="Abierta",E33="Próxima Apertura"),N33="Sí",ISNUMBER(I33),ISNUMBER(J33),ABS(I33)&lt;=90,ABS(J33)&lt;=180),1,0)</x:f>
        <x:v>1</x:v>
      </x:c>
    </x:row>
    <x:row r="34" ht="23" customHeight="1">
      <x:c r="A34" s="45" t="str">
        <x:v>Centro Norte</x:v>
      </x:c>
      <x:c r="B34" s="45" t="str">
        <x:v>Vanessa Carreño</x:v>
      </x:c>
      <x:c r="C34" s="50" t="str">
        <x:v>38677</x:v>
      </x:c>
      <x:c r="D34" s="45" t="str">
        <x:v>Patio la Raza</x:v>
      </x:c>
      <x:c r="E34" s="45" t="str">
        <x:v>Abierta</x:v>
      </x:c>
      <x:c r="F34" s="51" t="d">
        <x:v>2016-12-14T00:00:00.000Z</x:v>
      </x:c>
      <x:c r="G34" s="45" t="str">
        <x:v>Azcapotzalco</x:v>
      </x:c>
      <x:c r="H34" s="45" t="str">
        <x:v>Ciudad De México</x:v>
      </x:c>
      <x:c r="I34" s="52" t="n">
        <x:v>19.46811471</x:v>
      </x:c>
      <x:c r="J34" s="52" t="n">
        <x:v>-99.14467073</x:v>
      </x:c>
      <x:c r="K34" s="45" t="str">
        <x:v>Cafe</x:v>
      </x:c>
      <x:c r="L34" s="45" t="str">
        <x:v>Retail</x:v>
      </x:c>
      <x:c r="M34" s="45" t="str">
        <x:v>C1</x:v>
      </x:c>
      <x:c r="N34" s="45" t="str">
        <x:v>Sí</x:v>
      </x:c>
      <x:c r="O34" s="45" t="str">
        <x:v>Vanessa Carreño Rios</x:v>
      </x:c>
      <x:c r="P34" s="45" t="str">
        <x:v>Ops y Directorio Alsea · octubre 2026</x:v>
      </x:c>
      <x:c r="Q34" s="45" t="str">
        <x:v>CMS anterior</x:v>
      </x:c>
      <x:c r="R34" s="45" t="str">
        <x:v>Abierta</x:v>
      </x:c>
      <x:c r="S34" s="45" t="str"/>
      <x:c r="T34" s="45" t="n">
        <x:f>IF(AND(OR(E34="Abierta",E34="Próxima Apertura"),N34="Sí",ISNUMBER(I34),ISNUMBER(J34),ABS(I34)&lt;=90,ABS(J34)&lt;=180),1,0)</x:f>
        <x:v>1</x:v>
      </x:c>
    </x:row>
    <x:row r="35" ht="23" customHeight="1">
      <x:c r="A35" s="45" t="str">
        <x:v>Centro Norte</x:v>
      </x:c>
      <x:c r="B35" s="45" t="str">
        <x:v>Vanessa Carreño</x:v>
      </x:c>
      <x:c r="C35" s="50" t="str">
        <x:v>38837</x:v>
      </x:c>
      <x:c r="D35" s="45" t="str">
        <x:v>Centenario Azcapotzalco</x:v>
      </x:c>
      <x:c r="E35" s="45" t="str">
        <x:v>Abierta</x:v>
      </x:c>
      <x:c r="F35" s="51" t="d">
        <x:v>2018-11-29T00:00:00.000Z</x:v>
      </x:c>
      <x:c r="G35" s="45" t="str">
        <x:v>Azcapotzalco</x:v>
      </x:c>
      <x:c r="H35" s="45" t="str">
        <x:v>Ciudad De México</x:v>
      </x:c>
      <x:c r="I35" s="52" t="n">
        <x:v>19.47849506</x:v>
      </x:c>
      <x:c r="J35" s="52" t="n">
        <x:v>-99.18850073</x:v>
      </x:c>
      <x:c r="K35" s="45" t="str">
        <x:v>Cafe</x:v>
      </x:c>
      <x:c r="L35" s="45" t="str">
        <x:v>Retail</x:v>
      </x:c>
      <x:c r="M35" s="45" t="str">
        <x:v>C2</x:v>
      </x:c>
      <x:c r="N35" s="45" t="str">
        <x:v>Sí</x:v>
      </x:c>
      <x:c r="O35" s="45" t="str">
        <x:v>Vanessa Carreño Rios</x:v>
      </x:c>
      <x:c r="P35" s="45" t="str">
        <x:v>Ops y Directorio Alsea · octubre 2026</x:v>
      </x:c>
      <x:c r="Q35" s="45" t="str">
        <x:v>CMS anterior</x:v>
      </x:c>
      <x:c r="R35" s="45" t="str">
        <x:v>Abierta</x:v>
      </x:c>
      <x:c r="S35" s="45" t="str"/>
      <x:c r="T35" s="45" t="n">
        <x:f>IF(AND(OR(E35="Abierta",E35="Próxima Apertura"),N35="Sí",ISNUMBER(I35),ISNUMBER(J35),ABS(I35)&lt;=90,ABS(J35)&lt;=180),1,0)</x:f>
        <x:v>1</x:v>
      </x:c>
    </x:row>
    <x:row r="36" ht="23" customHeight="1">
      <x:c r="A36" s="45" t="str">
        <x:v>Centro Norte</x:v>
      </x:c>
      <x:c r="B36" s="45" t="str">
        <x:v>Vanessa Carreño</x:v>
      </x:c>
      <x:c r="C36" s="50" t="str">
        <x:v>43111</x:v>
      </x:c>
      <x:c r="D36" s="45" t="str">
        <x:v>Montevideo Insurgentes</x:v>
      </x:c>
      <x:c r="E36" s="45" t="str">
        <x:v>Abierta</x:v>
      </x:c>
      <x:c r="F36" s="51" t="d">
        <x:v>2025-04-14T00:00:00.000Z</x:v>
      </x:c>
      <x:c r="G36" s="45" t="str">
        <x:v>Gustavo A. Madero</x:v>
      </x:c>
      <x:c r="H36" s="45" t="str">
        <x:v>Ciudad De México</x:v>
      </x:c>
      <x:c r="I36" s="52" t="n">
        <x:v>19.48767471</x:v>
      </x:c>
      <x:c r="J36" s="52" t="n">
        <x:v>-99.1245027</x:v>
      </x:c>
      <x:c r="K36" s="45" t="str">
        <x:v>Cafe</x:v>
      </x:c>
      <x:c r="L36" s="45" t="str">
        <x:v>Transfers</x:v>
      </x:c>
      <x:c r="M36" s="45" t="str">
        <x:v>C2</x:v>
      </x:c>
      <x:c r="N36" s="45" t="str">
        <x:v>Sí</x:v>
      </x:c>
      <x:c r="O36" s="45" t="str">
        <x:v>Vanessa Carreño Rios</x:v>
      </x:c>
      <x:c r="P36" s="45" t="str">
        <x:v>Ops y Directorio Alsea · octubre 2026</x:v>
      </x:c>
      <x:c r="Q36" s="45" t="str">
        <x:v>CMS anterior</x:v>
      </x:c>
      <x:c r="R36" s="45" t="str">
        <x:v>Abierta</x:v>
      </x:c>
      <x:c r="S36" s="45" t="str"/>
      <x:c r="T36" s="45" t="n">
        <x:f>IF(AND(OR(E36="Abierta",E36="Próxima Apertura"),N36="Sí",ISNUMBER(I36),ISNUMBER(J36),ABS(I36)&lt;=90,ABS(J36)&lt;=180),1,0)</x:f>
        <x:v>1</x:v>
      </x:c>
    </x:row>
    <x:row r="37" ht="23" customHeight="1">
      <x:c r="A37" s="45" t="str">
        <x:v>Centro Norte</x:v>
      </x:c>
      <x:c r="B37" s="45" t="str">
        <x:v>Vanessa Carreño</x:v>
      </x:c>
      <x:c r="C37" s="50" t="str">
        <x:v>43132</x:v>
      </x:c>
      <x:c r="D37" s="45" t="str">
        <x:v>Plaza Vista Norte</x:v>
      </x:c>
      <x:c r="E37" s="45" t="str">
        <x:v>Abierta</x:v>
      </x:c>
      <x:c r="F37" s="51" t="d">
        <x:v>2024-12-29T00:00:00.000Z</x:v>
      </x:c>
      <x:c r="G37" s="45" t="str">
        <x:v>Gustavo A. Madero</x:v>
      </x:c>
      <x:c r="H37" s="45" t="str">
        <x:v>Ciudad De México</x:v>
      </x:c>
      <x:c r="I37" s="52" t="n">
        <x:v>19.50161364</x:v>
      </x:c>
      <x:c r="J37" s="52" t="n">
        <x:v>-99.12125306</x:v>
      </x:c>
      <x:c r="K37" s="45" t="str">
        <x:v>Cafe</x:v>
      </x:c>
      <x:c r="L37" s="45" t="str">
        <x:v>Retail</x:v>
      </x:c>
      <x:c r="M37" s="45" t="str">
        <x:v>C2</x:v>
      </x:c>
      <x:c r="N37" s="45" t="str">
        <x:v>Sí</x:v>
      </x:c>
      <x:c r="O37" s="45" t="str">
        <x:v>Vanessa Carreño Rios</x:v>
      </x:c>
      <x:c r="P37" s="45" t="str">
        <x:v>Ops y Directorio Alsea · octubre 2026</x:v>
      </x:c>
      <x:c r="Q37" s="45" t="str">
        <x:v>CMS anterior</x:v>
      </x:c>
      <x:c r="R37" s="45" t="str">
        <x:v>Abierta</x:v>
      </x:c>
      <x:c r="S37" s="45" t="str"/>
      <x:c r="T37" s="45" t="n">
        <x:f>IF(AND(OR(E37="Abierta",E37="Próxima Apertura"),N37="Sí",ISNUMBER(I37),ISNUMBER(J37),ABS(I37)&lt;=90,ABS(J37)&lt;=180),1,0)</x:f>
        <x:v>1</x:v>
      </x:c>
    </x:row>
    <x:row r="38" ht="23" customHeight="1">
      <x:c r="A38" s="45" t="str">
        <x:v>Centro Norte</x:v>
      </x:c>
      <x:c r="B38" s="45" t="str">
        <x:v>Vanessa Carreño</x:v>
      </x:c>
      <x:c r="C38" s="50" t="str">
        <x:v>43194</x:v>
      </x:c>
      <x:c r="D38" s="45" t="str">
        <x:v>Atana Lindavista</x:v>
      </x:c>
      <x:c r="E38" s="45" t="str">
        <x:v>Abierta</x:v>
      </x:c>
      <x:c r="F38" s="51" t="d">
        <x:v>2026-01-25T00:00:00.000Z</x:v>
      </x:c>
      <x:c r="G38" s="45" t="str">
        <x:v>Gustavo A. Madero</x:v>
      </x:c>
      <x:c r="H38" s="45" t="str">
        <x:v>Ciudad De México</x:v>
      </x:c>
      <x:c r="I38" s="52" t="n">
        <x:v>19.51739925</x:v>
      </x:c>
      <x:c r="J38" s="52" t="n">
        <x:v>-99.14272428</x:v>
      </x:c>
      <x:c r="K38" s="45" t="str">
        <x:v>Kiosko</x:v>
      </x:c>
      <x:c r="L38" s="45" t="str">
        <x:v>Retail</x:v>
      </x:c>
      <x:c r="M38" s="45" t="str">
        <x:v>C2</x:v>
      </x:c>
      <x:c r="N38" s="45" t="str">
        <x:v>Sí</x:v>
      </x:c>
      <x:c r="O38" s="45" t="str">
        <x:v>Vanessa Carreño Rios</x:v>
      </x:c>
      <x:c r="P38" s="45" t="str">
        <x:v>Ops y Directorio Alsea · octubre 2026</x:v>
      </x:c>
      <x:c r="Q38" s="45" t="str">
        <x:v>CMS anterior</x:v>
      </x:c>
      <x:c r="R38" s="45" t="str">
        <x:v>Abierta</x:v>
      </x:c>
      <x:c r="S38" s="45" t="str"/>
      <x:c r="T38" s="45" t="n">
        <x:f>IF(AND(OR(E38="Abierta",E38="Próxima Apertura"),N38="Sí",ISNUMBER(I38),ISNUMBER(J38),ABS(I38)&lt;=90,ABS(J38)&lt;=180),1,0)</x:f>
        <x:v>1</x:v>
      </x:c>
    </x:row>
    <x:row r="39" ht="23" customHeight="1">
      <x:c r="A39" s="45" t="str">
        <x:v>Centro Norte</x:v>
      </x:c>
      <x:c r="B39" s="45" t="str">
        <x:v>Vanessa Carreño</x:v>
      </x:c>
      <x:c r="C39" s="50" t="str">
        <x:v>43195</x:v>
      </x:c>
      <x:c r="D39" s="45" t="str">
        <x:v>Parque Jadin kiosko</x:v>
      </x:c>
      <x:c r="E39" s="45" t="str">
        <x:v>Abierta</x:v>
      </x:c>
      <x:c r="F39" s="51" t="d">
        <x:v>2025-12-16T00:00:00.000Z</x:v>
      </x:c>
      <x:c r="G39" s="45" t="str">
        <x:v>Azcapotzalco</x:v>
      </x:c>
      <x:c r="H39" s="45" t="str">
        <x:v>Ciudad De México</x:v>
      </x:c>
      <x:c r="I39" s="52" t="n">
        <x:v>19.46900437</x:v>
      </x:c>
      <x:c r="J39" s="52" t="n">
        <x:v>-99.1594926</x:v>
      </x:c>
      <x:c r="K39" s="45" t="str">
        <x:v>Kiosko</x:v>
      </x:c>
      <x:c r="L39" s="45" t="str">
        <x:v>Retail</x:v>
      </x:c>
      <x:c r="M39" s="45" t="str">
        <x:v>C2</x:v>
      </x:c>
      <x:c r="N39" s="45" t="str">
        <x:v>Sí</x:v>
      </x:c>
      <x:c r="O39" s="45" t="str">
        <x:v>Vanessa Carreño Rios</x:v>
      </x:c>
      <x:c r="P39" s="45" t="str">
        <x:v>Ops y Directorio Alsea · octubre 2026</x:v>
      </x:c>
      <x:c r="Q39" s="45" t="str">
        <x:v>CMS anterior</x:v>
      </x:c>
      <x:c r="R39" s="45" t="str">
        <x:v>Abierta</x:v>
      </x:c>
      <x:c r="S39" s="45" t="str"/>
      <x:c r="T39" s="45" t="n">
        <x:f>IF(AND(OR(E39="Abierta",E39="Próxima Apertura"),N39="Sí",ISNUMBER(I39),ISNUMBER(J39),ABS(I39)&lt;=90,ABS(J39)&lt;=180),1,0)</x:f>
        <x:v>1</x:v>
      </x:c>
    </x:row>
    <x:row r="40" ht="23" customHeight="1">
      <x:c r="A40" s="45" t="str">
        <x:v>Centro Norte</x:v>
      </x:c>
      <x:c r="B40" s="45" t="str">
        <x:v>Veronica García</x:v>
      </x:c>
      <x:c r="C40" s="50" t="str">
        <x:v>38431</x:v>
      </x:c>
      <x:c r="D40" s="45" t="str">
        <x:v>Eduardo Molina</x:v>
      </x:c>
      <x:c r="E40" s="45" t="str">
        <x:v>Abierta</x:v>
      </x:c>
      <x:c r="F40" s="51" t="d">
        <x:v>2011-12-07T00:00:00.000Z</x:v>
      </x:c>
      <x:c r="G40" s="45" t="str">
        <x:v>Gustavo A. Madero</x:v>
      </x:c>
      <x:c r="H40" s="45" t="str">
        <x:v>Ciudad De México</x:v>
      </x:c>
      <x:c r="I40" s="52" t="n">
        <x:v>19.47958733</x:v>
      </x:c>
      <x:c r="J40" s="52" t="n">
        <x:v>-99.09604871</x:v>
      </x:c>
      <x:c r="K40" s="45" t="str">
        <x:v>Cafe</x:v>
      </x:c>
      <x:c r="L40" s="45" t="str">
        <x:v>Retail</x:v>
      </x:c>
      <x:c r="M40" s="45" t="str">
        <x:v>C1</x:v>
      </x:c>
      <x:c r="N40" s="45" t="str">
        <x:v>Sí</x:v>
      </x:c>
      <x:c r="O40" s="45" t="str">
        <x:v>Veronica Garcia Ortega</x:v>
      </x:c>
      <x:c r="P40" s="45" t="str">
        <x:v>Ops y Directorio Alsea · octubre 2026</x:v>
      </x:c>
      <x:c r="Q40" s="45" t="str">
        <x:v>CMS anterior</x:v>
      </x:c>
      <x:c r="R40" s="45" t="str">
        <x:v>Abierta</x:v>
      </x:c>
      <x:c r="S40" s="45" t="str"/>
      <x:c r="T40" s="45" t="n">
        <x:f>IF(AND(OR(E40="Abierta",E40="Próxima Apertura"),N40="Sí",ISNUMBER(I40),ISNUMBER(J40),ABS(I40)&lt;=90,ABS(J40)&lt;=180),1,0)</x:f>
        <x:v>1</x:v>
      </x:c>
    </x:row>
    <x:row r="41" ht="23" customHeight="1">
      <x:c r="A41" s="45" t="str">
        <x:v>Centro Norte</x:v>
      </x:c>
      <x:c r="B41" s="45" t="str">
        <x:v>Veronica García</x:v>
      </x:c>
      <x:c r="C41" s="50" t="str">
        <x:v>38529</x:v>
      </x:c>
      <x:c r="D41" s="45" t="str">
        <x:v>Bosques de Aragon</x:v>
      </x:c>
      <x:c r="E41" s="45" t="str">
        <x:v>Abierta</x:v>
      </x:c>
      <x:c r="F41" s="51" t="d">
        <x:v>2014-02-19T00:00:00.000Z</x:v>
      </x:c>
      <x:c r="G41" s="45" t="str">
        <x:v>Gustavo A. Madero</x:v>
      </x:c>
      <x:c r="H41" s="45" t="str">
        <x:v>Ciudad De México</x:v>
      </x:c>
      <x:c r="I41" s="52" t="n">
        <x:v>19.46560093</x:v>
      </x:c>
      <x:c r="J41" s="52" t="n">
        <x:v>-99.08451316</x:v>
      </x:c>
      <x:c r="K41" s="45" t="str">
        <x:v>Cafe</x:v>
      </x:c>
      <x:c r="L41" s="45" t="str">
        <x:v>Retail</x:v>
      </x:c>
      <x:c r="M41" s="45" t="str">
        <x:v>C2</x:v>
      </x:c>
      <x:c r="N41" s="45" t="str">
        <x:v>Sí</x:v>
      </x:c>
      <x:c r="O41" s="45" t="str">
        <x:v>Veronica Garcia Ortega</x:v>
      </x:c>
      <x:c r="P41" s="45" t="str">
        <x:v>Ops y Directorio Alsea · octubre 2026</x:v>
      </x:c>
      <x:c r="Q41" s="45" t="str">
        <x:v>CMS anterior</x:v>
      </x:c>
      <x:c r="R41" s="45" t="str">
        <x:v>Abierta</x:v>
      </x:c>
      <x:c r="S41" s="45" t="str"/>
      <x:c r="T41" s="45" t="n">
        <x:f>IF(AND(OR(E41="Abierta",E41="Próxima Apertura"),N41="Sí",ISNUMBER(I41),ISNUMBER(J41),ABS(I41)&lt;=90,ABS(J41)&lt;=180),1,0)</x:f>
        <x:v>1</x:v>
      </x:c>
    </x:row>
    <x:row r="42" ht="23" customHeight="1">
      <x:c r="A42" s="45" t="str">
        <x:v>Centro Norte</x:v>
      </x:c>
      <x:c r="B42" s="45" t="str">
        <x:v>Veronica García</x:v>
      </x:c>
      <x:c r="C42" s="50" t="str">
        <x:v>38719</x:v>
      </x:c>
      <x:c r="D42" s="45" t="str">
        <x:v>Plaza Fortuna</x:v>
      </x:c>
      <x:c r="E42" s="45" t="str">
        <x:v>Abierta</x:v>
      </x:c>
      <x:c r="F42" s="51" t="d">
        <x:v>2017-03-27T00:00:00.000Z</x:v>
      </x:c>
      <x:c r="G42" s="45" t="str">
        <x:v>Gustavo A. Madero</x:v>
      </x:c>
      <x:c r="H42" s="45" t="str">
        <x:v>Ciudad De México</x:v>
      </x:c>
      <x:c r="I42" s="52" t="n">
        <x:v>19.48354117</x:v>
      </x:c>
      <x:c r="J42" s="52" t="n">
        <x:v>-99.13327892</x:v>
      </x:c>
      <x:c r="K42" s="45" t="str">
        <x:v>Cafe</x:v>
      </x:c>
      <x:c r="L42" s="45" t="str">
        <x:v>Retail</x:v>
      </x:c>
      <x:c r="M42" s="45" t="str">
        <x:v>C1</x:v>
      </x:c>
      <x:c r="N42" s="45" t="str">
        <x:v>Sí</x:v>
      </x:c>
      <x:c r="O42" s="45" t="str">
        <x:v>Veronica Garcia Ortega</x:v>
      </x:c>
      <x:c r="P42" s="45" t="str">
        <x:v>Ops y Directorio Alsea · octubre 2026</x:v>
      </x:c>
      <x:c r="Q42" s="45" t="str">
        <x:v>CMS anterior</x:v>
      </x:c>
      <x:c r="R42" s="45" t="str">
        <x:v>Abierta</x:v>
      </x:c>
      <x:c r="S42" s="45" t="str"/>
      <x:c r="T42" s="45" t="n">
        <x:f>IF(AND(OR(E42="Abierta",E42="Próxima Apertura"),N42="Sí",ISNUMBER(I42),ISNUMBER(J42),ABS(I42)&lt;=90,ABS(J42)&lt;=180),1,0)</x:f>
        <x:v>1</x:v>
      </x:c>
    </x:row>
    <x:row r="43" ht="23" customHeight="1">
      <x:c r="A43" s="45" t="str">
        <x:v>Centro Norte</x:v>
      </x:c>
      <x:c r="B43" s="45" t="str">
        <x:v>Veronica García</x:v>
      </x:c>
      <x:c r="C43" s="50" t="str">
        <x:v>38811</x:v>
      </x:c>
      <x:c r="D43" s="45" t="str">
        <x:v>Plaza Tepeyac</x:v>
      </x:c>
      <x:c r="E43" s="45" t="str">
        <x:v>Abierta</x:v>
      </x:c>
      <x:c r="F43" s="51" t="d">
        <x:v>2018-06-18T00:00:00.000Z</x:v>
      </x:c>
      <x:c r="G43" s="45" t="str">
        <x:v>Gustavo A. Madero</x:v>
      </x:c>
      <x:c r="H43" s="45" t="str">
        <x:v>Ciudad De México</x:v>
      </x:c>
      <x:c r="I43" s="52" t="n">
        <x:v>19.47171664</x:v>
      </x:c>
      <x:c r="J43" s="52" t="n">
        <x:v>-99.1193661</x:v>
      </x:c>
      <x:c r="K43" s="45" t="str">
        <x:v>Kiosko</x:v>
      </x:c>
      <x:c r="L43" s="45" t="str">
        <x:v>Retail</x:v>
      </x:c>
      <x:c r="M43" s="45" t="str">
        <x:v>C2</x:v>
      </x:c>
      <x:c r="N43" s="45" t="str">
        <x:v>Sí</x:v>
      </x:c>
      <x:c r="O43" s="45" t="str">
        <x:v>Veronica Garcia Ortega</x:v>
      </x:c>
      <x:c r="P43" s="45" t="str">
        <x:v>Ops y Directorio Alsea · octubre 2026</x:v>
      </x:c>
      <x:c r="Q43" s="45" t="str">
        <x:v>CMS anterior</x:v>
      </x:c>
      <x:c r="R43" s="45" t="str">
        <x:v>Abierta</x:v>
      </x:c>
      <x:c r="S43" s="45" t="str"/>
      <x:c r="T43" s="45" t="n">
        <x:f>IF(AND(OR(E43="Abierta",E43="Próxima Apertura"),N43="Sí",ISNUMBER(I43),ISNUMBER(J43),ABS(I43)&lt;=90,ABS(J43)&lt;=180),1,0)</x:f>
        <x:v>1</x:v>
      </x:c>
    </x:row>
    <x:row r="44" ht="23" customHeight="1">
      <x:c r="A44" s="45" t="str">
        <x:v>Centro Norte</x:v>
      </x:c>
      <x:c r="B44" s="45" t="str">
        <x:v>Veronica García</x:v>
      </x:c>
      <x:c r="C44" s="50" t="str">
        <x:v>38903</x:v>
      </x:c>
      <x:c r="D44" s="45" t="str">
        <x:v>Encuentro Oceania</x:v>
      </x:c>
      <x:c r="E44" s="45" t="str">
        <x:v>Abierta</x:v>
      </x:c>
      <x:c r="F44" s="51" t="d">
        <x:v>2021-12-23T00:00:00.000Z</x:v>
      </x:c>
      <x:c r="G44" s="45" t="str">
        <x:v>Venustiano Carranza</x:v>
      </x:c>
      <x:c r="H44" s="45" t="str">
        <x:v>Ciudad De México</x:v>
      </x:c>
      <x:c r="I44" s="52" t="n">
        <x:v>19.44013166</x:v>
      </x:c>
      <x:c r="J44" s="52" t="n">
        <x:v>-99.0941487</x:v>
      </x:c>
      <x:c r="K44" s="45" t="str">
        <x:v>Cafe</x:v>
      </x:c>
      <x:c r="L44" s="45" t="str">
        <x:v>Retail</x:v>
      </x:c>
      <x:c r="M44" s="45" t="str">
        <x:v>C1</x:v>
      </x:c>
      <x:c r="N44" s="45" t="str">
        <x:v>Sí</x:v>
      </x:c>
      <x:c r="O44" s="45" t="str">
        <x:v>Veronica Garcia Ortega</x:v>
      </x:c>
      <x:c r="P44" s="45" t="str">
        <x:v>Ops y Directorio Alsea · octubre 2026</x:v>
      </x:c>
      <x:c r="Q44" s="45" t="str">
        <x:v>CMS anterior</x:v>
      </x:c>
      <x:c r="R44" s="45" t="str">
        <x:v>Abierta</x:v>
      </x:c>
      <x:c r="S44" s="45" t="str"/>
      <x:c r="T44" s="45" t="n">
        <x:f>IF(AND(OR(E44="Abierta",E44="Próxima Apertura"),N44="Sí",ISNUMBER(I44),ISNUMBER(J44),ABS(I44)&lt;=90,ABS(J44)&lt;=180),1,0)</x:f>
        <x:v>1</x:v>
      </x:c>
    </x:row>
    <x:row r="45" ht="23" customHeight="1">
      <x:c r="A45" s="45" t="str">
        <x:v>Centro Norte</x:v>
      </x:c>
      <x:c r="B45" s="45" t="str">
        <x:v>Veronica García</x:v>
      </x:c>
      <x:c r="C45" s="50" t="str">
        <x:v>38924</x:v>
      </x:c>
      <x:c r="D45" s="45" t="str">
        <x:v>Plaza Aeropuerto</x:v>
      </x:c>
      <x:c r="E45" s="45" t="str">
        <x:v>Abierta</x:v>
      </x:c>
      <x:c r="F45" s="51" t="d">
        <x:v>2022-09-24T00:00:00.000Z</x:v>
      </x:c>
      <x:c r="G45" s="45" t="str">
        <x:v>Venustiano Carranza</x:v>
      </x:c>
      <x:c r="H45" s="45" t="str">
        <x:v>Ciudad De México</x:v>
      </x:c>
      <x:c r="I45" s="52" t="n">
        <x:v>19.42118392</x:v>
      </x:c>
      <x:c r="J45" s="52" t="n">
        <x:v>-99.0966938</x:v>
      </x:c>
      <x:c r="K45" s="45" t="str">
        <x:v>Kiosko</x:v>
      </x:c>
      <x:c r="L45" s="45" t="str">
        <x:v>Retail</x:v>
      </x:c>
      <x:c r="M45" s="45" t="str">
        <x:v>C2</x:v>
      </x:c>
      <x:c r="N45" s="45" t="str">
        <x:v>Sí</x:v>
      </x:c>
      <x:c r="O45" s="45" t="str">
        <x:v>Veronica Garcia Ortega</x:v>
      </x:c>
      <x:c r="P45" s="45" t="str">
        <x:v>Ops y Directorio Alsea · octubre 2026</x:v>
      </x:c>
      <x:c r="Q45" s="45" t="str">
        <x:v>CMS anterior</x:v>
      </x:c>
      <x:c r="R45" s="45" t="str">
        <x:v>Abierta</x:v>
      </x:c>
      <x:c r="S45" s="45" t="str"/>
      <x:c r="T45" s="45" t="n">
        <x:f>IF(AND(OR(E45="Abierta",E45="Próxima Apertura"),N45="Sí",ISNUMBER(I45),ISNUMBER(J45),ABS(I45)&lt;=90,ABS(J45)&lt;=180),1,0)</x:f>
        <x:v>1</x:v>
      </x:c>
    </x:row>
    <x:row r="46" ht="23" customHeight="1">
      <x:c r="A46" s="45" t="str">
        <x:v>Centro Norte</x:v>
      </x:c>
      <x:c r="B46" s="45" t="str">
        <x:v>Veronica García</x:v>
      </x:c>
      <x:c r="C46" s="50" t="str">
        <x:v>38930</x:v>
      </x:c>
      <x:c r="D46" s="45" t="str">
        <x:v>Blvd. Aeropuerto dt</x:v>
      </x:c>
      <x:c r="E46" s="45" t="str">
        <x:v>Abierta</x:v>
      </x:c>
      <x:c r="F46" s="51" t="d">
        <x:v>2022-09-29T00:00:00.000Z</x:v>
      </x:c>
      <x:c r="G46" s="45" t="str">
        <x:v>Venustiano Carranza</x:v>
      </x:c>
      <x:c r="H46" s="45" t="str">
        <x:v>Ciudad De México</x:v>
      </x:c>
      <x:c r="I46" s="52" t="n">
        <x:v>19.4246878</x:v>
      </x:c>
      <x:c r="J46" s="52" t="n">
        <x:v>-99.09329076</x:v>
      </x:c>
      <x:c r="K46" s="45" t="str">
        <x:v>Drive_Thru</x:v>
      </x:c>
      <x:c r="L46" s="45" t="str">
        <x:v>Transfers</x:v>
      </x:c>
      <x:c r="M46" s="45" t="str">
        <x:v>C2</x:v>
      </x:c>
      <x:c r="N46" s="45" t="str">
        <x:v>Sí</x:v>
      </x:c>
      <x:c r="O46" s="45" t="str">
        <x:v>Veronica Garcia Ortega</x:v>
      </x:c>
      <x:c r="P46" s="45" t="str">
        <x:v>Ops y Directorio Alsea · octubre 2026</x:v>
      </x:c>
      <x:c r="Q46" s="45" t="str">
        <x:v>CMS anterior</x:v>
      </x:c>
      <x:c r="R46" s="45" t="str">
        <x:v>Abierta</x:v>
      </x:c>
      <x:c r="S46" s="45" t="str"/>
      <x:c r="T46" s="45" t="n">
        <x:f>IF(AND(OR(E46="Abierta",E46="Próxima Apertura"),N46="Sí",ISNUMBER(I46),ISNUMBER(J46),ABS(I46)&lt;=90,ABS(J46)&lt;=180),1,0)</x:f>
        <x:v>1</x:v>
      </x:c>
    </x:row>
    <x:row r="47" ht="23" customHeight="1">
      <x:c r="A47" s="45" t="str">
        <x:v>Centro Norte</x:v>
      </x:c>
      <x:c r="B47" s="45" t="str">
        <x:v>Veronica García</x:v>
      </x:c>
      <x:c r="C47" s="50" t="str">
        <x:v>38937</x:v>
      </x:c>
      <x:c r="D47" s="45" t="str">
        <x:v>Parque Tepeyac Piso 1</x:v>
      </x:c>
      <x:c r="E47" s="45" t="str">
        <x:v>Abierta</x:v>
      </x:c>
      <x:c r="F47" s="51" t="d">
        <x:v>2022-11-10T00:00:00.000Z</x:v>
      </x:c>
      <x:c r="G47" s="45" t="str">
        <x:v>Gustavo A. Madero</x:v>
      </x:c>
      <x:c r="H47" s="45" t="str">
        <x:v>Ciudad De México</x:v>
      </x:c>
      <x:c r="I47" s="52" t="n">
        <x:v>19.47774424</x:v>
      </x:c>
      <x:c r="J47" s="52" t="n">
        <x:v>-99.09910405</x:v>
      </x:c>
      <x:c r="K47" s="45" t="str">
        <x:v>Cafe</x:v>
      </x:c>
      <x:c r="L47" s="45" t="str">
        <x:v>Retail</x:v>
      </x:c>
      <x:c r="M47" s="45" t="str">
        <x:v>C2</x:v>
      </x:c>
      <x:c r="N47" s="45" t="str">
        <x:v>Sí</x:v>
      </x:c>
      <x:c r="O47" s="45" t="str">
        <x:v>Veronica Garcia Ortega</x:v>
      </x:c>
      <x:c r="P47" s="45" t="str">
        <x:v>Ops y Directorio Alsea · octubre 2026</x:v>
      </x:c>
      <x:c r="Q47" s="45" t="str">
        <x:v>CMS anterior</x:v>
      </x:c>
      <x:c r="R47" s="45" t="str">
        <x:v>Abierta</x:v>
      </x:c>
      <x:c r="S47" s="45" t="str"/>
      <x:c r="T47" s="45" t="n">
        <x:f>IF(AND(OR(E47="Abierta",E47="Próxima Apertura"),N47="Sí",ISNUMBER(I47),ISNUMBER(J47),ABS(I47)&lt;=90,ABS(J47)&lt;=180),1,0)</x:f>
        <x:v>1</x:v>
      </x:c>
    </x:row>
    <x:row r="48" ht="23" customHeight="1">
      <x:c r="A48" s="45" t="str">
        <x:v>Centro Norte</x:v>
      </x:c>
      <x:c r="B48" s="45" t="str">
        <x:v>Veronica García</x:v>
      </x:c>
      <x:c r="C48" s="50" t="str">
        <x:v>38965</x:v>
      </x:c>
      <x:c r="D48" s="45" t="str">
        <x:v>Parque Tepeyac Piso 2</x:v>
      </x:c>
      <x:c r="E48" s="45" t="str">
        <x:v>Abierta</x:v>
      </x:c>
      <x:c r="F48" s="51" t="d">
        <x:v>2023-09-14T00:00:00.000Z</x:v>
      </x:c>
      <x:c r="G48" s="45" t="str">
        <x:v>Gustavo A. Madero</x:v>
      </x:c>
      <x:c r="H48" s="45" t="str">
        <x:v>Ciudad De México</x:v>
      </x:c>
      <x:c r="I48" s="52" t="n">
        <x:v>19.47784704</x:v>
      </x:c>
      <x:c r="J48" s="52" t="n">
        <x:v>-99.09905673</x:v>
      </x:c>
      <x:c r="K48" s="45" t="str">
        <x:v>Cafe</x:v>
      </x:c>
      <x:c r="L48" s="45" t="str">
        <x:v>Retail</x:v>
      </x:c>
      <x:c r="M48" s="45" t="str">
        <x:v>C2</x:v>
      </x:c>
      <x:c r="N48" s="45" t="str">
        <x:v>Sí</x:v>
      </x:c>
      <x:c r="O48" s="45" t="str">
        <x:v>Veronica Garcia Ortega</x:v>
      </x:c>
      <x:c r="P48" s="45" t="str">
        <x:v>Ops y Directorio Alsea · octubre 2026</x:v>
      </x:c>
      <x:c r="Q48" s="45" t="str">
        <x:v>CMS anterior</x:v>
      </x:c>
      <x:c r="R48" s="45" t="str">
        <x:v>Abierta</x:v>
      </x:c>
      <x:c r="S48" s="45" t="str"/>
      <x:c r="T48" s="45" t="n">
        <x:f>IF(AND(OR(E48="Abierta",E48="Próxima Apertura"),N48="Sí",ISNUMBER(I48),ISNUMBER(J48),ABS(I48)&lt;=90,ABS(J48)&lt;=180),1,0)</x:f>
        <x:v>1</x:v>
      </x:c>
    </x:row>
    <x:row r="49" ht="23" customHeight="1">
      <x:c r="A49" s="45" t="str">
        <x:v>Centro Norte</x:v>
      </x:c>
      <x:c r="B49" s="45" t="str">
        <x:v>Veronica García</x:v>
      </x:c>
      <x:c r="C49" s="50" t="str">
        <x:v>38992</x:v>
      </x:c>
      <x:c r="D49" s="45" t="str">
        <x:v>Tapo Puerta Oriente</x:v>
      </x:c>
      <x:c r="E49" s="45" t="str">
        <x:v>Abierta</x:v>
      </x:c>
      <x:c r="F49" s="51" t="d">
        <x:v>2023-12-30T00:00:00.000Z</x:v>
      </x:c>
      <x:c r="G49" s="45" t="str">
        <x:v>Venustiano Carranza</x:v>
      </x:c>
      <x:c r="H49" s="45" t="str">
        <x:v>Ciudad De México</x:v>
      </x:c>
      <x:c r="I49" s="52" t="n">
        <x:v>19.43085206</x:v>
      </x:c>
      <x:c r="J49" s="52" t="n">
        <x:v>-99.11476917</x:v>
      </x:c>
      <x:c r="K49" s="45" t="str">
        <x:v>Cafe</x:v>
      </x:c>
      <x:c r="L49" s="45" t="str">
        <x:v>Travel_and_Channel</x:v>
      </x:c>
      <x:c r="M49" s="45" t="str">
        <x:v>C2</x:v>
      </x:c>
      <x:c r="N49" s="45" t="str">
        <x:v>Sí</x:v>
      </x:c>
      <x:c r="O49" s="45" t="str">
        <x:v>Veronica Garcia Ortega</x:v>
      </x:c>
      <x:c r="P49" s="45" t="str">
        <x:v>Ops y Directorio Alsea · octubre 2026</x:v>
      </x:c>
      <x:c r="Q49" s="45" t="str">
        <x:v>CMS anterior</x:v>
      </x:c>
      <x:c r="R49" s="45" t="str">
        <x:v>Abierta</x:v>
      </x:c>
      <x:c r="S49" s="45" t="str"/>
      <x:c r="T49" s="45" t="n">
        <x:f>IF(AND(OR(E49="Abierta",E49="Próxima Apertura"),N49="Sí",ISNUMBER(I49),ISNUMBER(J49),ABS(I49)&lt;=90,ABS(J49)&lt;=180),1,0)</x:f>
        <x:v>1</x:v>
      </x:c>
    </x:row>
    <x:row r="50" ht="23" customHeight="1">
      <x:c r="A50" s="45" t="str">
        <x:v>Centro Norte</x:v>
      </x:c>
      <x:c r="B50" s="45" t="str">
        <x:v>Veronica García</x:v>
      </x:c>
      <x:c r="C50" s="50" t="str">
        <x:v>38995</x:v>
      </x:c>
      <x:c r="D50" s="45" t="str">
        <x:v>Encuentro Oceania II</x:v>
      </x:c>
      <x:c r="E50" s="45" t="str">
        <x:v>Abierta</x:v>
      </x:c>
      <x:c r="F50" s="51" t="d">
        <x:v>2023-10-31T00:00:00.000Z</x:v>
      </x:c>
      <x:c r="G50" s="45" t="str">
        <x:v>Venustiano Carranza</x:v>
      </x:c>
      <x:c r="H50" s="45" t="str">
        <x:v>Ciudad De México</x:v>
      </x:c>
      <x:c r="I50" s="52" t="n">
        <x:v>19.43896908</x:v>
      </x:c>
      <x:c r="J50" s="52" t="n">
        <x:v>-99.09459811</x:v>
      </x:c>
      <x:c r="K50" s="45" t="str">
        <x:v>Cafe</x:v>
      </x:c>
      <x:c r="L50" s="45" t="str">
        <x:v>Retail</x:v>
      </x:c>
      <x:c r="M50" s="45" t="str">
        <x:v>C1</x:v>
      </x:c>
      <x:c r="N50" s="45" t="str">
        <x:v>Sí</x:v>
      </x:c>
      <x:c r="O50" s="45" t="str">
        <x:v>Veronica Garcia Ortega</x:v>
      </x:c>
      <x:c r="P50" s="45" t="str">
        <x:v>Ops y Directorio Alsea · octubre 2026</x:v>
      </x:c>
      <x:c r="Q50" s="45" t="str">
        <x:v>CMS anterior</x:v>
      </x:c>
      <x:c r="R50" s="45" t="str">
        <x:v>Abierta</x:v>
      </x:c>
      <x:c r="S50" s="45" t="str"/>
      <x:c r="T50" s="45" t="n">
        <x:f>IF(AND(OR(E50="Abierta",E50="Próxima Apertura"),N50="Sí",ISNUMBER(I50),ISNUMBER(J50),ABS(I50)&lt;=90,ABS(J50)&lt;=180),1,0)</x:f>
        <x:v>1</x:v>
      </x:c>
    </x:row>
    <x:row r="51" ht="23" customHeight="1">
      <x:c r="A51" s="45" t="str">
        <x:v>Centro Norte</x:v>
      </x:c>
      <x:c r="B51" s="45" t="str">
        <x:v>Yazmin Chabela</x:v>
      </x:c>
      <x:c r="C51" s="50" t="str">
        <x:v>38117</x:v>
      </x:c>
      <x:c r="D51" s="45" t="str">
        <x:v>Satelite</x:v>
      </x:c>
      <x:c r="E51" s="45" t="str">
        <x:v>Abierta</x:v>
      </x:c>
      <x:c r="F51" s="51" t="d">
        <x:v>2003-09-28T00:00:00.000Z</x:v>
      </x:c>
      <x:c r="G51" s="45" t="str">
        <x:v>Naucalpan</x:v>
      </x:c>
      <x:c r="H51" s="45" t="str">
        <x:v>Estado De México</x:v>
      </x:c>
      <x:c r="I51" s="52" t="n">
        <x:v>19.50687435</x:v>
      </x:c>
      <x:c r="J51" s="52" t="n">
        <x:v>-99.23383088</x:v>
      </x:c>
      <x:c r="K51" s="45" t="str">
        <x:v>Cafe</x:v>
      </x:c>
      <x:c r="L51" s="45" t="str">
        <x:v>Retail</x:v>
      </x:c>
      <x:c r="M51" s="45" t="str">
        <x:v>C1</x:v>
      </x:c>
      <x:c r="N51" s="45" t="str">
        <x:v>Sí</x:v>
      </x:c>
      <x:c r="O51" s="45" t="str">
        <x:v>Yazmin Chabela Guadarrama</x:v>
      </x:c>
      <x:c r="P51" s="45" t="str">
        <x:v>Ops y Directorio Alsea · octubre 2026</x:v>
      </x:c>
      <x:c r="Q51" s="45" t="str">
        <x:v>CMS anterior</x:v>
      </x:c>
      <x:c r="R51" s="45" t="str">
        <x:v>Abierta</x:v>
      </x:c>
      <x:c r="S51" s="45" t="str"/>
      <x:c r="T51" s="45" t="n">
        <x:f>IF(AND(OR(E51="Abierta",E51="Próxima Apertura"),N51="Sí",ISNUMBER(I51),ISNUMBER(J51),ABS(I51)&lt;=90,ABS(J51)&lt;=180),1,0)</x:f>
        <x:v>1</x:v>
      </x:c>
    </x:row>
    <x:row r="52" ht="23" customHeight="1">
      <x:c r="A52" s="45" t="str">
        <x:v>Centro Norte</x:v>
      </x:c>
      <x:c r="B52" s="45" t="str">
        <x:v>Yazmin Chabela</x:v>
      </x:c>
      <x:c r="C52" s="50" t="str">
        <x:v>38176</x:v>
      </x:c>
      <x:c r="D52" s="45" t="str">
        <x:v>Periferico Satélite DT</x:v>
      </x:c>
      <x:c r="E52" s="45" t="str">
        <x:v>Abierta</x:v>
      </x:c>
      <x:c r="F52" s="51" t="d">
        <x:v>2022-05-23T00:00:00.000Z</x:v>
      </x:c>
      <x:c r="G52" s="45" t="str">
        <x:v>Naucalpan</x:v>
      </x:c>
      <x:c r="H52" s="45" t="str">
        <x:v>Estado De México</x:v>
      </x:c>
      <x:c r="I52" s="52" t="n">
        <x:v>19.50731704</x:v>
      </x:c>
      <x:c r="J52" s="52" t="n">
        <x:v>-99.23714076</x:v>
      </x:c>
      <x:c r="K52" s="45" t="str">
        <x:v>Drive_Thru</x:v>
      </x:c>
      <x:c r="L52" s="45" t="str">
        <x:v>Transfers</x:v>
      </x:c>
      <x:c r="M52" s="45" t="str">
        <x:v>C2</x:v>
      </x:c>
      <x:c r="N52" s="45" t="str">
        <x:v>Sí</x:v>
      </x:c>
      <x:c r="O52" s="45" t="str">
        <x:v>Yazmin Chabela Guadarrama</x:v>
      </x:c>
      <x:c r="P52" s="45" t="str">
        <x:v>Ops y Directorio Alsea · octubre 2026</x:v>
      </x:c>
      <x:c r="Q52" s="45" t="str">
        <x:v>CMS anterior</x:v>
      </x:c>
      <x:c r="R52" s="45" t="str">
        <x:v>Abierta</x:v>
      </x:c>
      <x:c r="S52" s="45" t="str"/>
      <x:c r="T52" s="45" t="n">
        <x:f>IF(AND(OR(E52="Abierta",E52="Próxima Apertura"),N52="Sí",ISNUMBER(I52),ISNUMBER(J52),ABS(I52)&lt;=90,ABS(J52)&lt;=180),1,0)</x:f>
        <x:v>1</x:v>
      </x:c>
    </x:row>
    <x:row r="53" ht="23" customHeight="1">
      <x:c r="A53" s="45" t="str">
        <x:v>Centro Norte</x:v>
      </x:c>
      <x:c r="B53" s="45" t="str">
        <x:v>Yazmin Chabela</x:v>
      </x:c>
      <x:c r="C53" s="50" t="str">
        <x:v>38197</x:v>
      </x:c>
      <x:c r="D53" s="45" t="str">
        <x:v>Echegaray</x:v>
      </x:c>
      <x:c r="E53" s="45" t="str">
        <x:v>Abierta</x:v>
      </x:c>
      <x:c r="F53" s="51" t="d">
        <x:v>2006-09-05T00:00:00.000Z</x:v>
      </x:c>
      <x:c r="G53" s="45" t="str">
        <x:v>Naucalpan</x:v>
      </x:c>
      <x:c r="H53" s="45" t="str">
        <x:v>Estado De México</x:v>
      </x:c>
      <x:c r="I53" s="52" t="n">
        <x:v>19.48699554</x:v>
      </x:c>
      <x:c r="J53" s="52" t="n">
        <x:v>-99.2329265</x:v>
      </x:c>
      <x:c r="K53" s="45" t="str">
        <x:v>Cafe</x:v>
      </x:c>
      <x:c r="L53" s="45" t="str">
        <x:v>Neighborhood</x:v>
      </x:c>
      <x:c r="M53" s="45" t="str">
        <x:v>C2</x:v>
      </x:c>
      <x:c r="N53" s="45" t="str">
        <x:v>Sí</x:v>
      </x:c>
      <x:c r="O53" s="45" t="str">
        <x:v>Yazmin Chabela Guadarrama</x:v>
      </x:c>
      <x:c r="P53" s="45" t="str">
        <x:v>Ops y Directorio Alsea · octubre 2026</x:v>
      </x:c>
      <x:c r="Q53" s="45" t="str">
        <x:v>CMS anterior</x:v>
      </x:c>
      <x:c r="R53" s="45" t="str">
        <x:v>Abierta</x:v>
      </x:c>
      <x:c r="S53" s="45" t="str"/>
      <x:c r="T53" s="45" t="n">
        <x:f>IF(AND(OR(E53="Abierta",E53="Próxima Apertura"),N53="Sí",ISNUMBER(I53),ISNUMBER(J53),ABS(I53)&lt;=90,ABS(J53)&lt;=180),1,0)</x:f>
        <x:v>1</x:v>
      </x:c>
    </x:row>
    <x:row r="54" ht="23" customHeight="1">
      <x:c r="A54" s="45" t="str">
        <x:v>Centro Norte</x:v>
      </x:c>
      <x:c r="B54" s="45" t="str">
        <x:v>Yazmin Chabela</x:v>
      </x:c>
      <x:c r="C54" s="50" t="str">
        <x:v>38427</x:v>
      </x:c>
      <x:c r="D54" s="45" t="str">
        <x:v>Plaza Satelite</x:v>
      </x:c>
      <x:c r="E54" s="45" t="str">
        <x:v>Abierta</x:v>
      </x:c>
      <x:c r="F54" s="51" t="d">
        <x:v>2011-11-12T00:00:00.000Z</x:v>
      </x:c>
      <x:c r="G54" s="45" t="str">
        <x:v>Naucalpan</x:v>
      </x:c>
      <x:c r="H54" s="45" t="str">
        <x:v>Estado De México</x:v>
      </x:c>
      <x:c r="I54" s="52" t="n">
        <x:v>19.51106961</x:v>
      </x:c>
      <x:c r="J54" s="52" t="n">
        <x:v>-99.23339456</x:v>
      </x:c>
      <x:c r="K54" s="45" t="str">
        <x:v>Cafe</x:v>
      </x:c>
      <x:c r="L54" s="45" t="str">
        <x:v>Retail</x:v>
      </x:c>
      <x:c r="M54" s="45" t="str">
        <x:v>C2</x:v>
      </x:c>
      <x:c r="N54" s="45" t="str">
        <x:v>Sí</x:v>
      </x:c>
      <x:c r="O54" s="45" t="str">
        <x:v>Yazmin Chabela Guadarrama</x:v>
      </x:c>
      <x:c r="P54" s="45" t="str">
        <x:v>Ops y Directorio Alsea · octubre 2026</x:v>
      </x:c>
      <x:c r="Q54" s="45" t="str">
        <x:v>CMS anterior</x:v>
      </x:c>
      <x:c r="R54" s="45" t="str">
        <x:v>Abierta</x:v>
      </x:c>
      <x:c r="S54" s="45" t="str"/>
      <x:c r="T54" s="45" t="n">
        <x:f>IF(AND(OR(E54="Abierta",E54="Próxima Apertura"),N54="Sí",ISNUMBER(I54),ISNUMBER(J54),ABS(I54)&lt;=90,ABS(J54)&lt;=180),1,0)</x:f>
        <x:v>1</x:v>
      </x:c>
    </x:row>
    <x:row r="55" ht="23" customHeight="1">
      <x:c r="A55" s="45" t="str">
        <x:v>Centro Norte</x:v>
      </x:c>
      <x:c r="B55" s="45" t="str">
        <x:v>Yazmin Chabela</x:v>
      </x:c>
      <x:c r="C55" s="50" t="str">
        <x:v>38458</x:v>
      </x:c>
      <x:c r="D55" s="45" t="str">
        <x:v>El Rosario</x:v>
      </x:c>
      <x:c r="E55" s="45" t="str">
        <x:v>Abierta</x:v>
      </x:c>
      <x:c r="F55" s="51" t="d">
        <x:v>2012-06-28T00:00:00.000Z</x:v>
      </x:c>
      <x:c r="G55" s="45" t="str">
        <x:v>Azcapotzalco</x:v>
      </x:c>
      <x:c r="H55" s="45" t="str">
        <x:v>Ciudad De México</x:v>
      </x:c>
      <x:c r="I55" s="52" t="n">
        <x:v>19.50335206</x:v>
      </x:c>
      <x:c r="J55" s="52" t="n">
        <x:v>-99.2034101</x:v>
      </x:c>
      <x:c r="K55" s="45" t="str">
        <x:v>Kiosko</x:v>
      </x:c>
      <x:c r="L55" s="45" t="str">
        <x:v>Retail</x:v>
      </x:c>
      <x:c r="M55" s="45" t="str">
        <x:v>C1</x:v>
      </x:c>
      <x:c r="N55" s="45" t="str">
        <x:v>Sí</x:v>
      </x:c>
      <x:c r="O55" s="45" t="str">
        <x:v>Yazmin Chabela Guadarrama</x:v>
      </x:c>
      <x:c r="P55" s="45" t="str">
        <x:v>Ops y Directorio Alsea · octubre 2026</x:v>
      </x:c>
      <x:c r="Q55" s="45" t="str">
        <x:v>CMS anterior</x:v>
      </x:c>
      <x:c r="R55" s="45" t="str">
        <x:v>Abierta</x:v>
      </x:c>
      <x:c r="S55" s="45" t="str"/>
      <x:c r="T55" s="45" t="n">
        <x:f>IF(AND(OR(E55="Abierta",E55="Próxima Apertura"),N55="Sí",ISNUMBER(I55),ISNUMBER(J55),ABS(I55)&lt;=90,ABS(J55)&lt;=180),1,0)</x:f>
        <x:v>1</x:v>
      </x:c>
    </x:row>
    <x:row r="56" ht="23" customHeight="1">
      <x:c r="A56" s="45" t="str">
        <x:v>Centro Norte</x:v>
      </x:c>
      <x:c r="B56" s="45" t="str">
        <x:v>Yazmin Chabela</x:v>
      </x:c>
      <x:c r="C56" s="50" t="str">
        <x:v>38475</x:v>
      </x:c>
      <x:c r="D56" s="45" t="str">
        <x:v>Satelite Centro Civico</x:v>
      </x:c>
      <x:c r="E56" s="45" t="str">
        <x:v>Abierta</x:v>
      </x:c>
      <x:c r="F56" s="51" t="d">
        <x:v>2012-12-06T00:00:00.000Z</x:v>
      </x:c>
      <x:c r="G56" s="45" t="str">
        <x:v>Naucalpan</x:v>
      </x:c>
      <x:c r="H56" s="45" t="str">
        <x:v>Estado De México</x:v>
      </x:c>
      <x:c r="I56" s="52" t="n">
        <x:v>19.51066846</x:v>
      </x:c>
      <x:c r="J56" s="52" t="n">
        <x:v>-99.22947256</x:v>
      </x:c>
      <x:c r="K56" s="45" t="str">
        <x:v>Cafe</x:v>
      </x:c>
      <x:c r="L56" s="45" t="str">
        <x:v>Neighborhood</x:v>
      </x:c>
      <x:c r="M56" s="45" t="str">
        <x:v>C1</x:v>
      </x:c>
      <x:c r="N56" s="45" t="str">
        <x:v>Sí</x:v>
      </x:c>
      <x:c r="O56" s="45" t="str">
        <x:v>Yazmin Chabela Guadarrama</x:v>
      </x:c>
      <x:c r="P56" s="45" t="str">
        <x:v>Ops y Directorio Alsea · octubre 2026</x:v>
      </x:c>
      <x:c r="Q56" s="45" t="str">
        <x:v>CMS anterior</x:v>
      </x:c>
      <x:c r="R56" s="45" t="str">
        <x:v>Abierta</x:v>
      </x:c>
      <x:c r="S56" s="45" t="str"/>
      <x:c r="T56" s="45" t="n">
        <x:f>IF(AND(OR(E56="Abierta",E56="Próxima Apertura"),N56="Sí",ISNUMBER(I56),ISNUMBER(J56),ABS(I56)&lt;=90,ABS(J56)&lt;=180),1,0)</x:f>
        <x:v>1</x:v>
      </x:c>
    </x:row>
    <x:row r="57" ht="23" customHeight="1">
      <x:c r="A57" s="45" t="str">
        <x:v>Centro Norte</x:v>
      </x:c>
      <x:c r="B57" s="45" t="str">
        <x:v>Yazmin Chabela</x:v>
      </x:c>
      <x:c r="C57" s="50" t="str">
        <x:v>38561</x:v>
      </x:c>
      <x:c r="D57" s="45" t="str">
        <x:v>Parque Toreo</x:v>
      </x:c>
      <x:c r="E57" s="45" t="str">
        <x:v>Abierta</x:v>
      </x:c>
      <x:c r="F57" s="51" t="d">
        <x:v>2014-11-28T00:00:00.000Z</x:v>
      </x:c>
      <x:c r="G57" s="45" t="str">
        <x:v>Naucalpan</x:v>
      </x:c>
      <x:c r="H57" s="45" t="str">
        <x:v>Estado De México</x:v>
      </x:c>
      <x:c r="I57" s="52" t="n">
        <x:v>19.45468934</x:v>
      </x:c>
      <x:c r="J57" s="52" t="n">
        <x:v>-99.21902146</x:v>
      </x:c>
      <x:c r="K57" s="45" t="str">
        <x:v>Cafe</x:v>
      </x:c>
      <x:c r="L57" s="45" t="str">
        <x:v>Retail</x:v>
      </x:c>
      <x:c r="M57" s="45" t="str">
        <x:v>C2</x:v>
      </x:c>
      <x:c r="N57" s="45" t="str">
        <x:v>Sí</x:v>
      </x:c>
      <x:c r="O57" s="45" t="str">
        <x:v>Yazmin Chabela Guadarrama</x:v>
      </x:c>
      <x:c r="P57" s="45" t="str">
        <x:v>Ops y Directorio Alsea · octubre 2026</x:v>
      </x:c>
      <x:c r="Q57" s="45" t="str">
        <x:v>CMS anterior</x:v>
      </x:c>
      <x:c r="R57" s="45" t="str">
        <x:v>Abierta</x:v>
      </x:c>
      <x:c r="S57" s="45" t="str"/>
      <x:c r="T57" s="45" t="n">
        <x:f>IF(AND(OR(E57="Abierta",E57="Próxima Apertura"),N57="Sí",ISNUMBER(I57),ISNUMBER(J57),ABS(I57)&lt;=90,ABS(J57)&lt;=180),1,0)</x:f>
        <x:v>1</x:v>
      </x:c>
    </x:row>
    <x:row r="58" ht="23" customHeight="1">
      <x:c r="A58" s="45" t="str">
        <x:v>Centro Norte</x:v>
      </x:c>
      <x:c r="B58" s="45" t="str">
        <x:v>Yazmin Chabela</x:v>
      </x:c>
      <x:c r="C58" s="50" t="str">
        <x:v>38590</x:v>
      </x:c>
      <x:c r="D58" s="45" t="str">
        <x:v>Parque Toreo II</x:v>
      </x:c>
      <x:c r="E58" s="45" t="str">
        <x:v>Abierta</x:v>
      </x:c>
      <x:c r="F58" s="51" t="d">
        <x:v>2015-08-29T00:00:00.000Z</x:v>
      </x:c>
      <x:c r="G58" s="45" t="str">
        <x:v>Naucalpan</x:v>
      </x:c>
      <x:c r="H58" s="45" t="str">
        <x:v>Estado De México</x:v>
      </x:c>
      <x:c r="I58" s="52" t="n">
        <x:v>19.45465704</x:v>
      </x:c>
      <x:c r="J58" s="52" t="n">
        <x:v>-99.219035</x:v>
      </x:c>
      <x:c r="K58" s="45" t="str">
        <x:v>Kiosko</x:v>
      </x:c>
      <x:c r="L58" s="45" t="str">
        <x:v>Retail</x:v>
      </x:c>
      <x:c r="M58" s="45" t="str">
        <x:v>C2</x:v>
      </x:c>
      <x:c r="N58" s="45" t="str">
        <x:v>Sí</x:v>
      </x:c>
      <x:c r="O58" s="45" t="str">
        <x:v>Yazmin Chabela Guadarrama</x:v>
      </x:c>
      <x:c r="P58" s="45" t="str">
        <x:v>Ops y Directorio Alsea · octubre 2026</x:v>
      </x:c>
      <x:c r="Q58" s="45" t="str">
        <x:v>CMS anterior</x:v>
      </x:c>
      <x:c r="R58" s="45" t="str">
        <x:v>Abierta</x:v>
      </x:c>
      <x:c r="S58" s="45" t="str"/>
      <x:c r="T58" s="45" t="n">
        <x:f>IF(AND(OR(E58="Abierta",E58="Próxima Apertura"),N58="Sí",ISNUMBER(I58),ISNUMBER(J58),ABS(I58)&lt;=90,ABS(J58)&lt;=180),1,0)</x:f>
        <x:v>1</x:v>
      </x:c>
    </x:row>
    <x:row r="59" ht="23" customHeight="1">
      <x:c r="A59" s="45" t="str">
        <x:v>Centro Norte</x:v>
      </x:c>
      <x:c r="B59" s="45" t="str">
        <x:v>Yazmin Chabela</x:v>
      </x:c>
      <x:c r="C59" s="50" t="str">
        <x:v>38656</x:v>
      </x:c>
      <x:c r="D59" s="45" t="str">
        <x:v>Viveros de la Loma</x:v>
      </x:c>
      <x:c r="E59" s="45" t="str">
        <x:v>Abierta</x:v>
      </x:c>
      <x:c r="F59" s="51" t="d">
        <x:v>2016-07-28T00:00:00.000Z</x:v>
      </x:c>
      <x:c r="G59" s="45" t="str">
        <x:v>Tlalnepantla</x:v>
      </x:c>
      <x:c r="H59" s="45" t="str">
        <x:v>Estado De México</x:v>
      </x:c>
      <x:c r="I59" s="52" t="n">
        <x:v>19.52537517</x:v>
      </x:c>
      <x:c r="J59" s="52" t="n">
        <x:v>-99.22494146</x:v>
      </x:c>
      <x:c r="K59" s="45" t="str">
        <x:v>Drive_Thru</x:v>
      </x:c>
      <x:c r="L59" s="45" t="str">
        <x:v>Neighborhood</x:v>
      </x:c>
      <x:c r="M59" s="45" t="str">
        <x:v>C2</x:v>
      </x:c>
      <x:c r="N59" s="45" t="str">
        <x:v>Sí</x:v>
      </x:c>
      <x:c r="O59" s="45" t="str">
        <x:v>Yazmin Chabela Guadarrama</x:v>
      </x:c>
      <x:c r="P59" s="45" t="str">
        <x:v>Ops y Directorio Alsea · octubre 2026</x:v>
      </x:c>
      <x:c r="Q59" s="45" t="str">
        <x:v>CMS anterior</x:v>
      </x:c>
      <x:c r="R59" s="45" t="str">
        <x:v>Abierta</x:v>
      </x:c>
      <x:c r="S59" s="45" t="str"/>
      <x:c r="T59" s="45" t="n">
        <x:f>IF(AND(OR(E59="Abierta",E59="Próxima Apertura"),N59="Sí",ISNUMBER(I59),ISNUMBER(J59),ABS(I59)&lt;=90,ABS(J59)&lt;=180),1,0)</x:f>
        <x:v>1</x:v>
      </x:c>
    </x:row>
    <x:row r="60" ht="23" customHeight="1">
      <x:c r="A60" s="45" t="str">
        <x:v>Centro Norte</x:v>
      </x:c>
      <x:c r="B60" s="45" t="str">
        <x:v>Yazmin Chabela</x:v>
      </x:c>
      <x:c r="C60" s="50" t="str">
        <x:v>38695</x:v>
      </x:c>
      <x:c r="D60" s="45" t="str">
        <x:v>Cetram 4 Caminos</x:v>
      </x:c>
      <x:c r="E60" s="45" t="str">
        <x:v>Abierta</x:v>
      </x:c>
      <x:c r="F60" s="51" t="d">
        <x:v>2016-12-09T00:00:00.000Z</x:v>
      </x:c>
      <x:c r="G60" s="45" t="str">
        <x:v>Naucalpan</x:v>
      </x:c>
      <x:c r="H60" s="45" t="str">
        <x:v>Estado De México</x:v>
      </x:c>
      <x:c r="I60" s="52" t="n">
        <x:v>19.46049483</x:v>
      </x:c>
      <x:c r="J60" s="52" t="n">
        <x:v>-99.21517073</x:v>
      </x:c>
      <x:c r="K60" s="45" t="str">
        <x:v>Cafe</x:v>
      </x:c>
      <x:c r="L60" s="45" t="str">
        <x:v>Travel_and_Channel</x:v>
      </x:c>
      <x:c r="M60" s="45" t="str">
        <x:v>C1</x:v>
      </x:c>
      <x:c r="N60" s="45" t="str">
        <x:v>Sí</x:v>
      </x:c>
      <x:c r="O60" s="45" t="str">
        <x:v>Yazmin Chabela Guadarrama</x:v>
      </x:c>
      <x:c r="P60" s="45" t="str">
        <x:v>Ops y Directorio Alsea · octubre 2026</x:v>
      </x:c>
      <x:c r="Q60" s="45" t="str">
        <x:v>CMS anterior</x:v>
      </x:c>
      <x:c r="R60" s="45" t="str">
        <x:v>Abierta</x:v>
      </x:c>
      <x:c r="S60" s="45" t="str"/>
      <x:c r="T60" s="45" t="n">
        <x:f>IF(AND(OR(E60="Abierta",E60="Próxima Apertura"),N60="Sí",ISNUMBER(I60),ISNUMBER(J60),ABS(I60)&lt;=90,ABS(J60)&lt;=180),1,0)</x:f>
        <x:v>1</x:v>
      </x:c>
    </x:row>
    <x:row r="61" ht="23" customHeight="1">
      <x:c r="A61" s="45" t="str">
        <x:v>Centro Norte</x:v>
      </x:c>
      <x:c r="B61" s="45" t="str">
        <x:v>Yazmin Chabela</x:v>
      </x:c>
      <x:c r="C61" s="50" t="str">
        <x:v>38770</x:v>
      </x:c>
      <x:c r="D61" s="45" t="str">
        <x:v>Gustavo Baz 29</x:v>
      </x:c>
      <x:c r="E61" s="45" t="str">
        <x:v>Abierta</x:v>
      </x:c>
      <x:c r="F61" s="51" t="d">
        <x:v>2018-02-04T00:00:00.000Z</x:v>
      </x:c>
      <x:c r="G61" s="45" t="str">
        <x:v>Tlalnepantla</x:v>
      </x:c>
      <x:c r="H61" s="45" t="str">
        <x:v>Estado De México</x:v>
      </x:c>
      <x:c r="I61" s="52" t="n">
        <x:v>19.50908671</x:v>
      </x:c>
      <x:c r="J61" s="52" t="n">
        <x:v>-99.21982398</x:v>
      </x:c>
      <x:c r="K61" s="45" t="str">
        <x:v>Cafe</x:v>
      </x:c>
      <x:c r="L61" s="45" t="str">
        <x:v>Retail</x:v>
      </x:c>
      <x:c r="M61" s="45" t="str">
        <x:v>C1</x:v>
      </x:c>
      <x:c r="N61" s="45" t="str">
        <x:v>Sí</x:v>
      </x:c>
      <x:c r="O61" s="45" t="str">
        <x:v>Yazmin Chabela Guadarrama</x:v>
      </x:c>
      <x:c r="P61" s="45" t="str">
        <x:v>Ops y Directorio Alsea · octubre 2026</x:v>
      </x:c>
      <x:c r="Q61" s="45" t="str">
        <x:v>CMS anterior</x:v>
      </x:c>
      <x:c r="R61" s="45" t="str">
        <x:v>Abierta</x:v>
      </x:c>
      <x:c r="S61" s="45" t="str"/>
      <x:c r="T61" s="45" t="n">
        <x:f>IF(AND(OR(E61="Abierta",E61="Próxima Apertura"),N61="Sí",ISNUMBER(I61),ISNUMBER(J61),ABS(I61)&lt;=90,ABS(J61)&lt;=180),1,0)</x:f>
        <x:v>1</x:v>
      </x:c>
    </x:row>
    <x:row r="62" ht="23" customHeight="1">
      <x:c r="A62" s="45" t="str">
        <x:v>Centro Norte</x:v>
      </x:c>
      <x:c r="B62" s="45" t="str">
        <x:v>Yazmin Chabela</x:v>
      </x:c>
      <x:c r="C62" s="50" t="str">
        <x:v>38859</x:v>
      </x:c>
      <x:c r="D62" s="45" t="str">
        <x:v>Plaza Satelite II N1</x:v>
      </x:c>
      <x:c r="E62" s="45" t="str">
        <x:v>Abierta</x:v>
      </x:c>
      <x:c r="F62" s="51" t="d">
        <x:v>2019-02-11T00:00:00.000Z</x:v>
      </x:c>
      <x:c r="G62" s="45" t="str">
        <x:v>Naucalpan</x:v>
      </x:c>
      <x:c r="H62" s="45" t="str">
        <x:v>Estado De México</x:v>
      </x:c>
      <x:c r="I62" s="52" t="n">
        <x:v>19.51026426</x:v>
      </x:c>
      <x:c r="J62" s="52" t="n">
        <x:v>-99.23423103</x:v>
      </x:c>
      <x:c r="K62" s="45" t="str">
        <x:v>Cafe</x:v>
      </x:c>
      <x:c r="L62" s="45" t="str">
        <x:v>Retail</x:v>
      </x:c>
      <x:c r="M62" s="45" t="str">
        <x:v>C2</x:v>
      </x:c>
      <x:c r="N62" s="45" t="str">
        <x:v>Sí</x:v>
      </x:c>
      <x:c r="O62" s="45" t="str">
        <x:v>Yazmin Chabela Guadarrama</x:v>
      </x:c>
      <x:c r="P62" s="45" t="str">
        <x:v>Ops y Directorio Alsea · octubre 2026</x:v>
      </x:c>
      <x:c r="Q62" s="45" t="str">
        <x:v>CMS anterior</x:v>
      </x:c>
      <x:c r="R62" s="45" t="str">
        <x:v>Abierta</x:v>
      </x:c>
      <x:c r="S62" s="45" t="str"/>
      <x:c r="T62" s="45" t="n">
        <x:f>IF(AND(OR(E62="Abierta",E62="Próxima Apertura"),N62="Sí",ISNUMBER(I62),ISNUMBER(J62),ABS(I62)&lt;=90,ABS(J62)&lt;=180),1,0)</x:f>
        <x:v>1</x:v>
      </x:c>
    </x:row>
    <x:row r="63" ht="23" customHeight="1">
      <x:c r="A63" s="45" t="str">
        <x:v>Centro Norte</x:v>
      </x:c>
      <x:c r="B63" s="45" t="str">
        <x:v>Yazmin Chabela</x:v>
      </x:c>
      <x:c r="C63" s="50" t="str">
        <x:v>43152</x:v>
      </x:c>
      <x:c r="D63" s="45" t="str">
        <x:v>Samara Satélite</x:v>
      </x:c>
      <x:c r="E63" s="45" t="str">
        <x:v>Abierta</x:v>
      </x:c>
      <x:c r="F63" s="51" t="d">
        <x:v>2025-08-26T00:00:00.000Z</x:v>
      </x:c>
      <x:c r="G63" s="45" t="str">
        <x:v>Naucalpan</x:v>
      </x:c>
      <x:c r="H63" s="45" t="str">
        <x:v>Estado De México</x:v>
      </x:c>
      <x:c r="I63" s="52" t="n">
        <x:v>19.50621108</x:v>
      </x:c>
      <x:c r="J63" s="52" t="n">
        <x:v>-99.23568797</x:v>
      </x:c>
      <x:c r="K63" s="45" t="str">
        <x:v>Cafe</x:v>
      </x:c>
      <x:c r="L63" s="45" t="str">
        <x:v>Retail</x:v>
      </x:c>
      <x:c r="M63" s="45" t="str">
        <x:v>C1</x:v>
      </x:c>
      <x:c r="N63" s="45" t="str">
        <x:v>Sí</x:v>
      </x:c>
      <x:c r="O63" s="45" t="str">
        <x:v>Yazmin Chabela Guadarrama</x:v>
      </x:c>
      <x:c r="P63" s="45" t="str">
        <x:v>Ops y Directorio Alsea · octubre 2026</x:v>
      </x:c>
      <x:c r="Q63" s="45" t="str">
        <x:v>CMS anterior</x:v>
      </x:c>
      <x:c r="R63" s="45" t="str">
        <x:v>Abierta</x:v>
      </x:c>
      <x:c r="S63" s="45" t="str"/>
      <x:c r="T63" s="45" t="n">
        <x:f>IF(AND(OR(E63="Abierta",E63="Próxima Apertura"),N63="Sí",ISNUMBER(I63),ISNUMBER(J63),ABS(I63)&lt;=90,ABS(J63)&lt;=180),1,0)</x:f>
        <x:v>1</x:v>
      </x:c>
    </x:row>
    <x:row r="64" ht="23" customHeight="1">
      <x:c r="A64" s="45" t="str">
        <x:v>Centro Norte</x:v>
      </x:c>
      <x:c r="B64" s="45" t="str">
        <x:v>Yazmin Chabela</x:v>
      </x:c>
      <x:c r="C64" s="50" t="str">
        <x:v>43302</x:v>
      </x:c>
      <x:c r="D64" s="45" t="str">
        <x:v>Toreo Waltmar</x:v>
      </x:c>
      <x:c r="E64" s="45" t="str">
        <x:v>Próxima Apertura</x:v>
      </x:c>
      <x:c r="F64" s="51"/>
      <x:c r="G64" s="45" t="str">
        <x:v>Naucalpan</x:v>
      </x:c>
      <x:c r="H64" s="45" t="str">
        <x:v>Estado De México</x:v>
      </x:c>
      <x:c r="I64" s="52" t="n">
        <x:v>19.4506098125196</x:v>
      </x:c>
      <x:c r="J64" s="52" t="n">
        <x:v>-99.2180774805589</x:v>
      </x:c>
      <x:c r="K64" s="45" t="str">
        <x:v>Kiosko</x:v>
      </x:c>
      <x:c r="L64" s="45" t="str">
        <x:v>Hypermarket</x:v>
      </x:c>
      <x:c r="M64" s="45" t="str">
        <x:v>C2</x:v>
      </x:c>
      <x:c r="N64" s="45" t="str">
        <x:v>Sí</x:v>
      </x:c>
      <x:c r="O64" s="45" t="str">
        <x:v>Yazmin Chabela</x:v>
      </x:c>
      <x:c r="P64" s="45" t="str">
        <x:v>CMS anterior</x:v>
      </x:c>
      <x:c r="Q64" s="45" t="str">
        <x:v>Confirmada por el Regional</x:v>
      </x:c>
      <x:c r="R64" s="45" t="str"/>
      <x:c r="S64" s="45" t="str"/>
      <x:c r="T64" s="45" t="n">
        <x:f>IF(AND(OR(E64="Abierta",E64="Próxima Apertura"),N64="Sí",ISNUMBER(I64),ISNUMBER(J64),ABS(I64)&lt;=90,ABS(J64)&lt;=180),1,0)</x:f>
        <x:v>1</x:v>
      </x:c>
    </x:row>
    <x:row r="65" ht="23" customHeight="1">
      <x:c r="A65" s="45" t="str">
        <x:v>Centro Norte</x:v>
      </x:c>
      <x:c r="B65" s="45" t="str">
        <x:v>Yazmin García</x:v>
      </x:c>
      <x:c r="C65" s="50" t="str">
        <x:v>38115</x:v>
      </x:c>
      <x:c r="D65" s="45" t="str">
        <x:v>Zona Azul</x:v>
      </x:c>
      <x:c r="E65" s="45" t="str">
        <x:v>Abierta</x:v>
      </x:c>
      <x:c r="F65" s="51" t="d">
        <x:v>2003-08-15T00:00:00.000Z</x:v>
      </x:c>
      <x:c r="G65" s="45" t="str">
        <x:v>Naucalpan</x:v>
      </x:c>
      <x:c r="H65" s="45" t="str">
        <x:v>Estado De México</x:v>
      </x:c>
      <x:c r="I65" s="52" t="n">
        <x:v>19.50634876</x:v>
      </x:c>
      <x:c r="J65" s="52" t="n">
        <x:v>-99.24655516</x:v>
      </x:c>
      <x:c r="K65" s="45" t="str">
        <x:v>Cafe</x:v>
      </x:c>
      <x:c r="L65" s="45" t="str">
        <x:v>Neighborhood</x:v>
      </x:c>
      <x:c r="M65" s="45" t="str">
        <x:v>C1</x:v>
      </x:c>
      <x:c r="N65" s="45" t="str">
        <x:v>Sí</x:v>
      </x:c>
      <x:c r="O65" s="45" t="str">
        <x:v>Yazmín Haydee Garcia González</x:v>
      </x:c>
      <x:c r="P65" s="45" t="str">
        <x:v>Ops y Directorio Alsea · octubre 2026</x:v>
      </x:c>
      <x:c r="Q65" s="45" t="str">
        <x:v>CMS anterior</x:v>
      </x:c>
      <x:c r="R65" s="45" t="str">
        <x:v>Abierta</x:v>
      </x:c>
      <x:c r="S65" s="45" t="str"/>
      <x:c r="T65" s="45" t="n">
        <x:f>IF(AND(OR(E65="Abierta",E65="Próxima Apertura"),N65="Sí",ISNUMBER(I65),ISNUMBER(J65),ABS(I65)&lt;=90,ABS(J65)&lt;=180),1,0)</x:f>
        <x:v>1</x:v>
      </x:c>
    </x:row>
    <x:row r="66" ht="23" customHeight="1">
      <x:c r="A66" s="45" t="str">
        <x:v>Centro Norte</x:v>
      </x:c>
      <x:c r="B66" s="45" t="str">
        <x:v>Yazmin García</x:v>
      </x:c>
      <x:c r="C66" s="50" t="str">
        <x:v>38119</x:v>
      </x:c>
      <x:c r="D66" s="45" t="str">
        <x:v>Lomas Verdes</x:v>
      </x:c>
      <x:c r="E66" s="45" t="str">
        <x:v>Abierta</x:v>
      </x:c>
      <x:c r="F66" s="51" t="d">
        <x:v>2003-10-31T00:00:00.000Z</x:v>
      </x:c>
      <x:c r="G66" s="45" t="str">
        <x:v>Naucalpan</x:v>
      </x:c>
      <x:c r="H66" s="45" t="str">
        <x:v>Estado De México</x:v>
      </x:c>
      <x:c r="I66" s="52" t="n">
        <x:v>19.50654087</x:v>
      </x:c>
      <x:c r="J66" s="52" t="n">
        <x:v>-99.25921766</x:v>
      </x:c>
      <x:c r="K66" s="45" t="str">
        <x:v>Cafe</x:v>
      </x:c>
      <x:c r="L66" s="45" t="str">
        <x:v>Retail</x:v>
      </x:c>
      <x:c r="M66" s="45" t="str">
        <x:v>C1</x:v>
      </x:c>
      <x:c r="N66" s="45" t="str">
        <x:v>Sí</x:v>
      </x:c>
      <x:c r="O66" s="45" t="str">
        <x:v>Yazmín Haydee Garcia González</x:v>
      </x:c>
      <x:c r="P66" s="45" t="str">
        <x:v>Ops y Directorio Alsea · octubre 2026</x:v>
      </x:c>
      <x:c r="Q66" s="45" t="str">
        <x:v>CMS anterior</x:v>
      </x:c>
      <x:c r="R66" s="45" t="str">
        <x:v>Abierta</x:v>
      </x:c>
      <x:c r="S66" s="45" t="str"/>
      <x:c r="T66" s="45" t="n">
        <x:f>IF(AND(OR(E66="Abierta",E66="Próxima Apertura"),N66="Sí",ISNUMBER(I66),ISNUMBER(J66),ABS(I66)&lt;=90,ABS(J66)&lt;=180),1,0)</x:f>
        <x:v>1</x:v>
      </x:c>
    </x:row>
    <x:row r="67" ht="23" customHeight="1">
      <x:c r="A67" s="45" t="str">
        <x:v>Centro Norte</x:v>
      </x:c>
      <x:c r="B67" s="45" t="str">
        <x:v>Yazmin García</x:v>
      </x:c>
      <x:c r="C67" s="50" t="str">
        <x:v>38142</x:v>
      </x:c>
      <x:c r="D67" s="45" t="str">
        <x:v>Zona Esmeralda</x:v>
      </x:c>
      <x:c r="E67" s="45" t="str">
        <x:v>Abierta</x:v>
      </x:c>
      <x:c r="F67" s="51" t="d">
        <x:v>2004-12-17T00:00:00.000Z</x:v>
      </x:c>
      <x:c r="G67" s="45" t="str">
        <x:v>Atizapan De Zaragoza</x:v>
      </x:c>
      <x:c r="H67" s="45" t="str">
        <x:v>Estado De México</x:v>
      </x:c>
      <x:c r="I67" s="52" t="n">
        <x:v>19.55907624</x:v>
      </x:c>
      <x:c r="J67" s="52" t="n">
        <x:v>-99.29683123</x:v>
      </x:c>
      <x:c r="K67" s="45" t="str">
        <x:v>Cafe</x:v>
      </x:c>
      <x:c r="L67" s="45" t="str">
        <x:v>Retail</x:v>
      </x:c>
      <x:c r="M67" s="45" t="str">
        <x:v>C2</x:v>
      </x:c>
      <x:c r="N67" s="45" t="str">
        <x:v>Sí</x:v>
      </x:c>
      <x:c r="O67" s="45" t="str">
        <x:v>Yazmín Haydee Garcia González</x:v>
      </x:c>
      <x:c r="P67" s="45" t="str">
        <x:v>Ops y Directorio Alsea · octubre 2026</x:v>
      </x:c>
      <x:c r="Q67" s="45" t="str">
        <x:v>CMS anterior</x:v>
      </x:c>
      <x:c r="R67" s="45" t="str">
        <x:v>Abierta</x:v>
      </x:c>
      <x:c r="S67" s="45" t="str"/>
      <x:c r="T67" s="45" t="n">
        <x:f>IF(AND(OR(E67="Abierta",E67="Próxima Apertura"),N67="Sí",ISNUMBER(I67),ISNUMBER(J67),ABS(I67)&lt;=90,ABS(J67)&lt;=180),1,0)</x:f>
        <x:v>1</x:v>
      </x:c>
    </x:row>
    <x:row r="68" ht="23" customHeight="1">
      <x:c r="A68" s="45" t="str">
        <x:v>Centro Norte</x:v>
      </x:c>
      <x:c r="B68" s="45" t="str">
        <x:v>Yazmin García</x:v>
      </x:c>
      <x:c r="C68" s="50" t="str">
        <x:v>38149</x:v>
      </x:c>
      <x:c r="D68" s="45" t="str">
        <x:v>Bellavista</x:v>
      </x:c>
      <x:c r="E68" s="45" t="str">
        <x:v>Abierta</x:v>
      </x:c>
      <x:c r="F68" s="51" t="d">
        <x:v>2005-03-31T00:00:00.000Z</x:v>
      </x:c>
      <x:c r="G68" s="45" t="str">
        <x:v>Tlalnepantla</x:v>
      </x:c>
      <x:c r="H68" s="45" t="str">
        <x:v>Estado De México</x:v>
      </x:c>
      <x:c r="I68" s="52" t="n">
        <x:v>19.51894704</x:v>
      </x:c>
      <x:c r="J68" s="52" t="n">
        <x:v>-99.24687786</x:v>
      </x:c>
      <x:c r="K68" s="45" t="str">
        <x:v>Cafe</x:v>
      </x:c>
      <x:c r="L68" s="45" t="str">
        <x:v>Retail</x:v>
      </x:c>
      <x:c r="M68" s="45" t="str">
        <x:v>C2</x:v>
      </x:c>
      <x:c r="N68" s="45" t="str">
        <x:v>Sí</x:v>
      </x:c>
      <x:c r="O68" s="45" t="str">
        <x:v>Yazmín Haydee Garcia González</x:v>
      </x:c>
      <x:c r="P68" s="45" t="str">
        <x:v>Ops y Directorio Alsea · octubre 2026</x:v>
      </x:c>
      <x:c r="Q68" s="45" t="str">
        <x:v>CMS anterior</x:v>
      </x:c>
      <x:c r="R68" s="45" t="str">
        <x:v>Abierta</x:v>
      </x:c>
      <x:c r="S68" s="45" t="str"/>
      <x:c r="T68" s="45" t="n">
        <x:f>IF(AND(OR(E68="Abierta",E68="Próxima Apertura"),N68="Sí",ISNUMBER(I68),ISNUMBER(J68),ABS(I68)&lt;=90,ABS(J68)&lt;=180),1,0)</x:f>
        <x:v>1</x:v>
      </x:c>
    </x:row>
    <x:row r="69" ht="23" customHeight="1">
      <x:c r="A69" s="45" t="str">
        <x:v>Centro Norte</x:v>
      </x:c>
      <x:c r="B69" s="45" t="str">
        <x:v>Yazmin García</x:v>
      </x:c>
      <x:c r="C69" s="50" t="str">
        <x:v>38266</x:v>
      </x:c>
      <x:c r="D69" s="45" t="str">
        <x:v>San Mateo</x:v>
      </x:c>
      <x:c r="E69" s="45" t="str">
        <x:v>Abierta</x:v>
      </x:c>
      <x:c r="F69" s="51" t="d">
        <x:v>2007-10-31T00:00:00.000Z</x:v>
      </x:c>
      <x:c r="G69" s="45" t="str">
        <x:v>Naucalpan</x:v>
      </x:c>
      <x:c r="H69" s="45" t="str">
        <x:v>Estado De México</x:v>
      </x:c>
      <x:c r="I69" s="52" t="n">
        <x:v>19.48381649</x:v>
      </x:c>
      <x:c r="J69" s="52" t="n">
        <x:v>-99.249929</x:v>
      </x:c>
      <x:c r="K69" s="45" t="str">
        <x:v>Cafe</x:v>
      </x:c>
      <x:c r="L69" s="45" t="str">
        <x:v>Retail</x:v>
      </x:c>
      <x:c r="M69" s="45" t="str">
        <x:v>C1</x:v>
      </x:c>
      <x:c r="N69" s="45" t="str">
        <x:v>Sí</x:v>
      </x:c>
      <x:c r="O69" s="45" t="str">
        <x:v>Yazmín Haydee Garcia González</x:v>
      </x:c>
      <x:c r="P69" s="45" t="str">
        <x:v>Ops y Directorio Alsea · octubre 2026</x:v>
      </x:c>
      <x:c r="Q69" s="45" t="str">
        <x:v>CMS anterior</x:v>
      </x:c>
      <x:c r="R69" s="45" t="str">
        <x:v>Abierta</x:v>
      </x:c>
      <x:c r="S69" s="45" t="str"/>
      <x:c r="T69" s="45" t="n">
        <x:f>IF(AND(OR(E69="Abierta",E69="Próxima Apertura"),N69="Sí",ISNUMBER(I69),ISNUMBER(J69),ABS(I69)&lt;=90,ABS(J69)&lt;=180),1,0)</x:f>
        <x:v>1</x:v>
      </x:c>
    </x:row>
    <x:row r="70" ht="23" customHeight="1">
      <x:c r="A70" s="45" t="str">
        <x:v>Centro Norte</x:v>
      </x:c>
      <x:c r="B70" s="45" t="str">
        <x:v>Yazmin García</x:v>
      </x:c>
      <x:c r="C70" s="50" t="str">
        <x:v>38270</x:v>
      </x:c>
      <x:c r="D70" s="45" t="str">
        <x:v>Lomas Verdes II</x:v>
      </x:c>
      <x:c r="E70" s="45" t="str">
        <x:v>Abierta</x:v>
      </x:c>
      <x:c r="F70" s="51" t="d">
        <x:v>2007-11-15T00:00:00.000Z</x:v>
      </x:c>
      <x:c r="G70" s="45" t="str">
        <x:v>Naucalpan</x:v>
      </x:c>
      <x:c r="H70" s="45" t="str">
        <x:v>Estado De México</x:v>
      </x:c>
      <x:c r="I70" s="52" t="n">
        <x:v>19.51505213</x:v>
      </x:c>
      <x:c r="J70" s="52" t="n">
        <x:v>-99.26625577</x:v>
      </x:c>
      <x:c r="K70" s="45" t="str">
        <x:v>Cafe</x:v>
      </x:c>
      <x:c r="L70" s="45" t="str">
        <x:v>Retail</x:v>
      </x:c>
      <x:c r="M70" s="45" t="str">
        <x:v>C2</x:v>
      </x:c>
      <x:c r="N70" s="45" t="str">
        <x:v>Sí</x:v>
      </x:c>
      <x:c r="O70" s="45" t="str">
        <x:v>Yazmín Haydee Garcia González</x:v>
      </x:c>
      <x:c r="P70" s="45" t="str">
        <x:v>Ops y Directorio Alsea · octubre 2026</x:v>
      </x:c>
      <x:c r="Q70" s="45" t="str">
        <x:v>CMS anterior</x:v>
      </x:c>
      <x:c r="R70" s="45" t="str">
        <x:v>Abierta</x:v>
      </x:c>
      <x:c r="S70" s="45" t="str"/>
      <x:c r="T70" s="45" t="n">
        <x:f>IF(AND(OR(E70="Abierta",E70="Próxima Apertura"),N70="Sí",ISNUMBER(I70),ISNUMBER(J70),ABS(I70)&lt;=90,ABS(J70)&lt;=180),1,0)</x:f>
        <x:v>1</x:v>
      </x:c>
    </x:row>
    <x:row r="71" ht="23" customHeight="1">
      <x:c r="A71" s="45" t="str">
        <x:v>Centro Norte</x:v>
      </x:c>
      <x:c r="B71" s="45" t="str">
        <x:v>Yazmin García</x:v>
      </x:c>
      <x:c r="C71" s="50" t="str">
        <x:v>38363</x:v>
      </x:c>
      <x:c r="D71" s="45" t="str">
        <x:v>Galerias Atizapan</x:v>
      </x:c>
      <x:c r="E71" s="45" t="str">
        <x:v>Abierta</x:v>
      </x:c>
      <x:c r="F71" s="51" t="d">
        <x:v>2009-03-20T00:00:00.000Z</x:v>
      </x:c>
      <x:c r="G71" s="45" t="str">
        <x:v>Atizapan De Zaragoza</x:v>
      </x:c>
      <x:c r="H71" s="45" t="str">
        <x:v>Estado De México</x:v>
      </x:c>
      <x:c r="I71" s="52" t="n">
        <x:v>19.54919506</x:v>
      </x:c>
      <x:c r="J71" s="52" t="n">
        <x:v>-99.27443927</x:v>
      </x:c>
      <x:c r="K71" s="45" t="str">
        <x:v>Cafe</x:v>
      </x:c>
      <x:c r="L71" s="45" t="str">
        <x:v>Retail</x:v>
      </x:c>
      <x:c r="M71" s="45" t="str">
        <x:v>C2</x:v>
      </x:c>
      <x:c r="N71" s="45" t="str">
        <x:v>Sí</x:v>
      </x:c>
      <x:c r="O71" s="45" t="str">
        <x:v>Yazmín Haydee Garcia González</x:v>
      </x:c>
      <x:c r="P71" s="45" t="str">
        <x:v>Ops y Directorio Alsea · octubre 2026</x:v>
      </x:c>
      <x:c r="Q71" s="45" t="str">
        <x:v>CMS anterior</x:v>
      </x:c>
      <x:c r="R71" s="45" t="str">
        <x:v>Abierta</x:v>
      </x:c>
      <x:c r="S71" s="45" t="str"/>
      <x:c r="T71" s="45" t="n">
        <x:f>IF(AND(OR(E71="Abierta",E71="Próxima Apertura"),N71="Sí",ISNUMBER(I71),ISNUMBER(J71),ABS(I71)&lt;=90,ABS(J71)&lt;=180),1,0)</x:f>
        <x:v>1</x:v>
      </x:c>
    </x:row>
    <x:row r="72" ht="23" customHeight="1">
      <x:c r="A72" s="45" t="str">
        <x:v>Centro Norte</x:v>
      </x:c>
      <x:c r="B72" s="45" t="str">
        <x:v>Yazmin García</x:v>
      </x:c>
      <x:c r="C72" s="50" t="str">
        <x:v>38394</x:v>
      </x:c>
      <x:c r="D72" s="45" t="str">
        <x:v>Centro Comercial Lomas Verdes</x:v>
      </x:c>
      <x:c r="E72" s="45" t="str">
        <x:v>Abierta</x:v>
      </x:c>
      <x:c r="F72" s="51" t="d">
        <x:v>2010-11-12T00:00:00.000Z</x:v>
      </x:c>
      <x:c r="G72" s="45" t="str">
        <x:v>Naucalpan</x:v>
      </x:c>
      <x:c r="H72" s="45" t="str">
        <x:v>Estado De México</x:v>
      </x:c>
      <x:c r="I72" s="52" t="n">
        <x:v>19.49609752</x:v>
      </x:c>
      <x:c r="J72" s="52" t="n">
        <x:v>-99.2469041</x:v>
      </x:c>
      <x:c r="K72" s="45" t="str">
        <x:v>Kiosko</x:v>
      </x:c>
      <x:c r="L72" s="45" t="str">
        <x:v>Retail</x:v>
      </x:c>
      <x:c r="M72" s="45" t="str">
        <x:v>C1</x:v>
      </x:c>
      <x:c r="N72" s="45" t="str">
        <x:v>Sí</x:v>
      </x:c>
      <x:c r="O72" s="45" t="str">
        <x:v>Yazmín Haydee Garcia González</x:v>
      </x:c>
      <x:c r="P72" s="45" t="str">
        <x:v>Ops y Directorio Alsea · octubre 2026</x:v>
      </x:c>
      <x:c r="Q72" s="45" t="str">
        <x:v>CMS anterior</x:v>
      </x:c>
      <x:c r="R72" s="45" t="str">
        <x:v>Abierta</x:v>
      </x:c>
      <x:c r="S72" s="45" t="str"/>
      <x:c r="T72" s="45" t="n">
        <x:f>IF(AND(OR(E72="Abierta",E72="Próxima Apertura"),N72="Sí",ISNUMBER(I72),ISNUMBER(J72),ABS(I72)&lt;=90,ABS(J72)&lt;=180),1,0)</x:f>
        <x:v>1</x:v>
      </x:c>
    </x:row>
    <x:row r="73" ht="23" customHeight="1">
      <x:c r="A73" s="45" t="str">
        <x:v>Centro Norte</x:v>
      </x:c>
      <x:c r="B73" s="45" t="str">
        <x:v>Yazmin García</x:v>
      </x:c>
      <x:c r="C73" s="50" t="str">
        <x:v>38507</x:v>
      </x:c>
      <x:c r="D73" s="45" t="str">
        <x:v>Espacio Vista del Valle</x:v>
      </x:c>
      <x:c r="E73" s="45" t="str">
        <x:v>Abierta</x:v>
      </x:c>
      <x:c r="F73" s="51" t="d">
        <x:v>2013-09-19T00:00:00.000Z</x:v>
      </x:c>
      <x:c r="G73" s="45" t="str">
        <x:v>Naucalpan</x:v>
      </x:c>
      <x:c r="H73" s="45" t="str">
        <x:v>Estado De México</x:v>
      </x:c>
      <x:c r="I73" s="52" t="n">
        <x:v>19.47730506</x:v>
      </x:c>
      <x:c r="J73" s="52" t="n">
        <x:v>-99.26872646</x:v>
      </x:c>
      <x:c r="K73" s="45" t="str">
        <x:v>Cafe</x:v>
      </x:c>
      <x:c r="L73" s="45" t="str">
        <x:v>Retail</x:v>
      </x:c>
      <x:c r="M73" s="45" t="str">
        <x:v>C2</x:v>
      </x:c>
      <x:c r="N73" s="45" t="str">
        <x:v>Sí</x:v>
      </x:c>
      <x:c r="O73" s="45" t="str">
        <x:v>Yazmín Haydee Garcia González</x:v>
      </x:c>
      <x:c r="P73" s="45" t="str">
        <x:v>Ops y Directorio Alsea · octubre 2026</x:v>
      </x:c>
      <x:c r="Q73" s="45" t="str">
        <x:v>CMS anterior</x:v>
      </x:c>
      <x:c r="R73" s="45" t="str">
        <x:v>Abierta</x:v>
      </x:c>
      <x:c r="S73" s="45" t="str"/>
      <x:c r="T73" s="45" t="n">
        <x:f>IF(AND(OR(E73="Abierta",E73="Próxima Apertura"),N73="Sí",ISNUMBER(I73),ISNUMBER(J73),ABS(I73)&lt;=90,ABS(J73)&lt;=180),1,0)</x:f>
        <x:v>1</x:v>
      </x:c>
    </x:row>
    <x:row r="74" ht="23" customHeight="1">
      <x:c r="A74" s="45" t="str">
        <x:v>Centro Norte</x:v>
      </x:c>
      <x:c r="B74" s="45" t="str">
        <x:v>Yazmin García</x:v>
      </x:c>
      <x:c r="C74" s="50" t="str">
        <x:v>38535</x:v>
      </x:c>
      <x:c r="D74" s="45" t="str">
        <x:v>City Center Esmeralda</x:v>
      </x:c>
      <x:c r="E74" s="45" t="str">
        <x:v>Abierta</x:v>
      </x:c>
      <x:c r="F74" s="51" t="d">
        <x:v>2014-06-05T00:00:00.000Z</x:v>
      </x:c>
      <x:c r="G74" s="45" t="str">
        <x:v>Atizapan De Zaragoza</x:v>
      </x:c>
      <x:c r="H74" s="45" t="str">
        <x:v>Estado De México</x:v>
      </x:c>
      <x:c r="I74" s="52" t="n">
        <x:v>19.54964287</x:v>
      </x:c>
      <x:c r="J74" s="52" t="n">
        <x:v>-99.28755274</x:v>
      </x:c>
      <x:c r="K74" s="45" t="str">
        <x:v>Drive_Thru</x:v>
      </x:c>
      <x:c r="L74" s="45" t="str">
        <x:v>Retail</x:v>
      </x:c>
      <x:c r="M74" s="45" t="str">
        <x:v>C2</x:v>
      </x:c>
      <x:c r="N74" s="45" t="str">
        <x:v>Sí</x:v>
      </x:c>
      <x:c r="O74" s="45" t="str">
        <x:v>Yazmín Haydee Garcia González</x:v>
      </x:c>
      <x:c r="P74" s="45" t="str">
        <x:v>Ops y Directorio Alsea · octubre 2026</x:v>
      </x:c>
      <x:c r="Q74" s="45" t="str">
        <x:v>CMS anterior</x:v>
      </x:c>
      <x:c r="R74" s="45" t="str">
        <x:v>Abierta</x:v>
      </x:c>
      <x:c r="S74" s="45" t="str"/>
      <x:c r="T74" s="45" t="n">
        <x:f>IF(AND(OR(E74="Abierta",E74="Próxima Apertura"),N74="Sí",ISNUMBER(I74),ISNUMBER(J74),ABS(I74)&lt;=90,ABS(J74)&lt;=180),1,0)</x:f>
        <x:v>1</x:v>
      </x:c>
    </x:row>
    <x:row r="75" ht="23" customHeight="1">
      <x:c r="A75" s="45" t="str">
        <x:v>Centro Norte</x:v>
      </x:c>
      <x:c r="B75" s="45" t="str">
        <x:v>Yazmin García</x:v>
      </x:c>
      <x:c r="C75" s="50" t="str">
        <x:v>38925</x:v>
      </x:c>
      <x:c r="D75" s="45" t="str">
        <x:v>Star Medica Lomas Verdes</x:v>
      </x:c>
      <x:c r="E75" s="45" t="str">
        <x:v>Abierta</x:v>
      </x:c>
      <x:c r="F75" s="51" t="d">
        <x:v>2022-09-30T00:00:00.000Z</x:v>
      </x:c>
      <x:c r="G75" s="45" t="str">
        <x:v>Naucalpan</x:v>
      </x:c>
      <x:c r="H75" s="45" t="str">
        <x:v>Estado De México</x:v>
      </x:c>
      <x:c r="I75" s="52" t="n">
        <x:v>19.49898526</x:v>
      </x:c>
      <x:c r="J75" s="52" t="n">
        <x:v>-99.25087154</x:v>
      </x:c>
      <x:c r="K75" s="45" t="str">
        <x:v>Kiosko</x:v>
      </x:c>
      <x:c r="L75" s="45" t="str">
        <x:v>Institution</x:v>
      </x:c>
      <x:c r="M75" s="45" t="str">
        <x:v>C2</x:v>
      </x:c>
      <x:c r="N75" s="45" t="str">
        <x:v>Sí</x:v>
      </x:c>
      <x:c r="O75" s="45" t="str">
        <x:v>Yazmín Haydee Garcia González</x:v>
      </x:c>
      <x:c r="P75" s="45" t="str">
        <x:v>Ops y Directorio Alsea · octubre 2026</x:v>
      </x:c>
      <x:c r="Q75" s="45" t="str">
        <x:v>CMS anterior</x:v>
      </x:c>
      <x:c r="R75" s="45" t="str">
        <x:v>Abierta</x:v>
      </x:c>
      <x:c r="S75" s="45" t="str"/>
      <x:c r="T75" s="45" t="n">
        <x:f>IF(AND(OR(E75="Abierta",E75="Próxima Apertura"),N75="Sí",ISNUMBER(I75),ISNUMBER(J75),ABS(I75)&lt;=90,ABS(J75)&lt;=180),1,0)</x:f>
        <x:v>1</x:v>
      </x:c>
    </x:row>
    <x:row r="76" ht="23" customHeight="1">
      <x:c r="A76" s="45" t="str">
        <x:v>Centro Norte</x:v>
      </x:c>
      <x:c r="B76" s="45" t="str">
        <x:v>Yazmin García</x:v>
      </x:c>
      <x:c r="C76" s="50" t="str">
        <x:v>43043</x:v>
      </x:c>
      <x:c r="D76" s="45" t="str">
        <x:v>Atizapan</x:v>
      </x:c>
      <x:c r="E76" s="45" t="str">
        <x:v>Abierta</x:v>
      </x:c>
      <x:c r="F76" s="51" t="d">
        <x:v>2024-05-24T00:00:00.000Z</x:v>
      </x:c>
      <x:c r="G76" s="45" t="str">
        <x:v>Atizapan De Zaragoza</x:v>
      </x:c>
      <x:c r="H76" s="45" t="str">
        <x:v>Estado De México</x:v>
      </x:c>
      <x:c r="I76" s="52" t="n">
        <x:v>19.5546593</x:v>
      </x:c>
      <x:c r="J76" s="52" t="n">
        <x:v>-99.26766941</x:v>
      </x:c>
      <x:c r="K76" s="45" t="str">
        <x:v>Cafe</x:v>
      </x:c>
      <x:c r="L76" s="45" t="str">
        <x:v>Retail</x:v>
      </x:c>
      <x:c r="M76" s="45" t="str">
        <x:v>C1</x:v>
      </x:c>
      <x:c r="N76" s="45" t="str">
        <x:v>Sí</x:v>
      </x:c>
      <x:c r="O76" s="45" t="str">
        <x:v>Yazmín Haydee Garcia González</x:v>
      </x:c>
      <x:c r="P76" s="45" t="str">
        <x:v>Ops y Directorio Alsea · octubre 2026</x:v>
      </x:c>
      <x:c r="Q76" s="45" t="str">
        <x:v>CMS anterior</x:v>
      </x:c>
      <x:c r="R76" s="45" t="str">
        <x:v>Abierta</x:v>
      </x:c>
      <x:c r="S76" s="45" t="str"/>
      <x:c r="T76" s="45" t="n">
        <x:f>IF(AND(OR(E76="Abierta",E76="Próxima Apertura"),N76="Sí",ISNUMBER(I76),ISNUMBER(J76),ABS(I76)&lt;=90,ABS(J76)&lt;=180),1,0)</x:f>
        <x:v>1</x:v>
      </x:c>
    </x:row>
    <x:row r="77" ht="23" customHeight="1">
      <x:c r="A77" s="45" t="str">
        <x:v>Centro Norte</x:v>
      </x:c>
      <x:c r="B77" s="45" t="str">
        <x:v>Yazmin García</x:v>
      </x:c>
      <x:c r="C77" s="50" t="str">
        <x:v>43130</x:v>
      </x:c>
      <x:c r="D77" s="45" t="str">
        <x:v>Town Center Nicolás Romero</x:v>
      </x:c>
      <x:c r="E77" s="45" t="str">
        <x:v>Abierta</x:v>
      </x:c>
      <x:c r="F77" s="51" t="d">
        <x:v>2024-12-23T00:00:00.000Z</x:v>
      </x:c>
      <x:c r="G77" s="45" t="str">
        <x:v>Nicolás Romero</x:v>
      </x:c>
      <x:c r="H77" s="45" t="str">
        <x:v>Estado De México</x:v>
      </x:c>
      <x:c r="I77" s="52" t="n">
        <x:v>19.62665084</x:v>
      </x:c>
      <x:c r="J77" s="52" t="n">
        <x:v>-99.2932417</x:v>
      </x:c>
      <x:c r="K77" s="45" t="str">
        <x:v>Cafe</x:v>
      </x:c>
      <x:c r="L77" s="45" t="str">
        <x:v>Retail</x:v>
      </x:c>
      <x:c r="M77" s="45" t="str">
        <x:v>C1</x:v>
      </x:c>
      <x:c r="N77" s="45" t="str">
        <x:v>Sí</x:v>
      </x:c>
      <x:c r="O77" s="45" t="str">
        <x:v>Yazmín Haydee Garcia González</x:v>
      </x:c>
      <x:c r="P77" s="45" t="str">
        <x:v>Ops y Directorio Alsea · octubre 2026</x:v>
      </x:c>
      <x:c r="Q77" s="45" t="str">
        <x:v>CMS anterior</x:v>
      </x:c>
      <x:c r="R77" s="45" t="str">
        <x:v>Abierta</x:v>
      </x:c>
      <x:c r="S77" s="45" t="str"/>
      <x:c r="T77" s="45" t="n">
        <x:f>IF(AND(OR(E77="Abierta",E77="Próxima Apertura"),N77="Sí",ISNUMBER(I77),ISNUMBER(J77),ABS(I77)&lt;=90,ABS(J77)&lt;=180),1,0)</x:f>
        <x:v>1</x:v>
      </x:c>
    </x:row>
    <x:row r="78" ht="23" customHeight="1">
      <x:c r="A78" s="45" t="str">
        <x:v>Centro Sur</x:v>
      </x:c>
      <x:c r="B78" s="45" t="str">
        <x:v>Ariana Janet Gutierrez Martinez</x:v>
      </x:c>
      <x:c r="C78" s="50" t="str">
        <x:v>38226</x:v>
      </x:c>
      <x:c r="D78" s="45" t="str">
        <x:v>Via kiosko 515</x:v>
      </x:c>
      <x:c r="E78" s="45" t="str">
        <x:v>Abierta</x:v>
      </x:c>
      <x:c r="F78" s="51" t="d">
        <x:v>2022-12-31T00:00:00.000Z</x:v>
      </x:c>
      <x:c r="G78" s="45" t="str">
        <x:v>Iztacalco</x:v>
      </x:c>
      <x:c r="H78" s="45" t="str">
        <x:v>Ciudad De México</x:v>
      </x:c>
      <x:c r="I78" s="52" t="n">
        <x:v>19.4060249</x:v>
      </x:c>
      <x:c r="J78" s="52" t="n">
        <x:v>-99.1104201</x:v>
      </x:c>
      <x:c r="K78" s="45" t="str">
        <x:v>Kiosko</x:v>
      </x:c>
      <x:c r="L78" s="45" t="str">
        <x:v>Retail</x:v>
      </x:c>
      <x:c r="M78" s="45" t="str">
        <x:v>C2</x:v>
      </x:c>
      <x:c r="N78" s="45" t="str">
        <x:v>Sí</x:v>
      </x:c>
      <x:c r="O78" s="45" t="str">
        <x:v>Ariana Janet Gutierrez Martinez</x:v>
      </x:c>
      <x:c r="P78" s="45" t="str">
        <x:v>Ops y Directorio Alsea · octubre 2026</x:v>
      </x:c>
      <x:c r="Q78" s="45" t="str">
        <x:v>Puntos proporcionados</x:v>
      </x:c>
      <x:c r="R78" s="45" t="str">
        <x:v>Abierta</x:v>
      </x:c>
      <x:c r="S78" s="45" t="str"/>
      <x:c r="T78" s="45" t="n">
        <x:f>IF(AND(OR(E78="Abierta",E78="Próxima Apertura"),N78="Sí",ISNUMBER(I78),ISNUMBER(J78),ABS(I78)&lt;=90,ABS(J78)&lt;=180),1,0)</x:f>
        <x:v>1</x:v>
      </x:c>
    </x:row>
    <x:row r="79" ht="23" customHeight="1">
      <x:c r="A79" s="45" t="str">
        <x:v>Centro Sur</x:v>
      </x:c>
      <x:c r="B79" s="45" t="str">
        <x:v>Ariana Janet Gutierrez Martinez</x:v>
      </x:c>
      <x:c r="C79" s="50" t="str">
        <x:v>38279</x:v>
      </x:c>
      <x:c r="D79" s="45" t="str">
        <x:v>Tezontle ll</x:v>
      </x:c>
      <x:c r="E79" s="45" t="str">
        <x:v>Abierta</x:v>
      </x:c>
      <x:c r="F79" s="51" t="d">
        <x:v>2007-12-01T00:00:00.000Z</x:v>
      </x:c>
      <x:c r="G79" s="45" t="str">
        <x:v>Iztapalapa</x:v>
      </x:c>
      <x:c r="H79" s="45" t="str">
        <x:v>Ciudad De México</x:v>
      </x:c>
      <x:c r="I79" s="52" t="n">
        <x:v>19.3839402</x:v>
      </x:c>
      <x:c r="J79" s="52" t="n">
        <x:v>-99.0827831</x:v>
      </x:c>
      <x:c r="K79" s="45" t="str">
        <x:v>Cafe</x:v>
      </x:c>
      <x:c r="L79" s="45" t="str">
        <x:v>Retail</x:v>
      </x:c>
      <x:c r="M79" s="45" t="str">
        <x:v>C2</x:v>
      </x:c>
      <x:c r="N79" s="45" t="str">
        <x:v>Sí</x:v>
      </x:c>
      <x:c r="O79" s="45" t="str">
        <x:v>Ariana Janet Gutierrez Martinez</x:v>
      </x:c>
      <x:c r="P79" s="45" t="str">
        <x:v>Ops y Directorio Alsea · octubre 2026</x:v>
      </x:c>
      <x:c r="Q79" s="45" t="str">
        <x:v>Puntos proporcionados</x:v>
      </x:c>
      <x:c r="R79" s="45" t="str">
        <x:v>Abierta</x:v>
      </x:c>
      <x:c r="S79" s="45" t="str"/>
      <x:c r="T79" s="45" t="n">
        <x:f>IF(AND(OR(E79="Abierta",E79="Próxima Apertura"),N79="Sí",ISNUMBER(I79),ISNUMBER(J79),ABS(I79)&lt;=90,ABS(J79)&lt;=180),1,0)</x:f>
        <x:v>1</x:v>
      </x:c>
    </x:row>
    <x:row r="80" ht="23" customHeight="1">
      <x:c r="A80" s="45" t="str">
        <x:v>Centro Sur</x:v>
      </x:c>
      <x:c r="B80" s="45" t="str">
        <x:v>Ariana Janet Gutierrez Martinez</x:v>
      </x:c>
      <x:c r="C80" s="50" t="str">
        <x:v>38289</x:v>
      </x:c>
      <x:c r="D80" s="45" t="str">
        <x:v>Tezontle l</x:v>
      </x:c>
      <x:c r="E80" s="45" t="str">
        <x:v>Abierta</x:v>
      </x:c>
      <x:c r="F80" s="51" t="d">
        <x:v>2007-12-18T00:00:00.000Z</x:v>
      </x:c>
      <x:c r="G80" s="45" t="str">
        <x:v>Iztapalapa</x:v>
      </x:c>
      <x:c r="H80" s="45" t="str">
        <x:v>Ciudad De México</x:v>
      </x:c>
      <x:c r="I80" s="52" t="n">
        <x:v>19.3841205</x:v>
      </x:c>
      <x:c r="J80" s="52" t="n">
        <x:v>-99.082764</x:v>
      </x:c>
      <x:c r="K80" s="45" t="str">
        <x:v>Cafe</x:v>
      </x:c>
      <x:c r="L80" s="45" t="str">
        <x:v>Retail</x:v>
      </x:c>
      <x:c r="M80" s="45" t="str">
        <x:v>C2</x:v>
      </x:c>
      <x:c r="N80" s="45" t="str">
        <x:v>Sí</x:v>
      </x:c>
      <x:c r="O80" s="45" t="str">
        <x:v>Ariana Janet Gutierrez Martinez</x:v>
      </x:c>
      <x:c r="P80" s="45" t="str">
        <x:v>Ops y Directorio Alsea · octubre 2026</x:v>
      </x:c>
      <x:c r="Q80" s="45" t="str">
        <x:v>Puntos proporcionados</x:v>
      </x:c>
      <x:c r="R80" s="45" t="str">
        <x:v>Abierta</x:v>
      </x:c>
      <x:c r="S80" s="45" t="str"/>
      <x:c r="T80" s="45" t="n">
        <x:f>IF(AND(OR(E80="Abierta",E80="Próxima Apertura"),N80="Sí",ISNUMBER(I80),ISNUMBER(J80),ABS(I80)&lt;=90,ABS(J80)&lt;=180),1,0)</x:f>
        <x:v>1</x:v>
      </x:c>
    </x:row>
    <x:row r="81" ht="23" customHeight="1">
      <x:c r="A81" s="45" t="str">
        <x:v>Centro Sur</x:v>
      </x:c>
      <x:c r="B81" s="45" t="str">
        <x:v>Ariana Janet Gutierrez Martinez</x:v>
      </x:c>
      <x:c r="C81" s="50" t="str">
        <x:v>38418</x:v>
      </x:c>
      <x:c r="D81" s="45" t="str">
        <x:v>Plaza Oriente l</x:v>
      </x:c>
      <x:c r="E81" s="45" t="str">
        <x:v>Abierta</x:v>
      </x:c>
      <x:c r="F81" s="51" t="d">
        <x:v>2011-06-30T00:00:00.000Z</x:v>
      </x:c>
      <x:c r="G81" s="45" t="str">
        <x:v>Iztapalapa</x:v>
      </x:c>
      <x:c r="H81" s="45" t="str">
        <x:v>Ciudad De México</x:v>
      </x:c>
      <x:c r="I81" s="52" t="n">
        <x:v>19.384404</x:v>
      </x:c>
      <x:c r="J81" s="52" t="n">
        <x:v>-99.079233</x:v>
      </x:c>
      <x:c r="K81" s="45" t="str">
        <x:v>Cafe</x:v>
      </x:c>
      <x:c r="L81" s="45" t="str">
        <x:v>Retail</x:v>
      </x:c>
      <x:c r="M81" s="45" t="str">
        <x:v>C2</x:v>
      </x:c>
      <x:c r="N81" s="45" t="str">
        <x:v>Sí</x:v>
      </x:c>
      <x:c r="O81" s="45" t="str">
        <x:v>Ariana Janet Gutierrez Martinez</x:v>
      </x:c>
      <x:c r="P81" s="45" t="str">
        <x:v>Ops y Directorio Alsea · octubre 2026</x:v>
      </x:c>
      <x:c r="Q81" s="45" t="str">
        <x:v>Puntos proporcionados</x:v>
      </x:c>
      <x:c r="R81" s="45" t="str">
        <x:v>Abierta</x:v>
      </x:c>
      <x:c r="S81" s="45" t="str"/>
      <x:c r="T81" s="45" t="n">
        <x:f>IF(AND(OR(E81="Abierta",E81="Próxima Apertura"),N81="Sí",ISNUMBER(I81),ISNUMBER(J81),ABS(I81)&lt;=90,ABS(J81)&lt;=180),1,0)</x:f>
        <x:v>1</x:v>
      </x:c>
    </x:row>
    <x:row r="82" ht="23" customHeight="1">
      <x:c r="A82" s="45" t="str">
        <x:v>Centro Sur</x:v>
      </x:c>
      <x:c r="B82" s="45" t="str">
        <x:v>Ariana Janet Gutierrez Martinez</x:v>
      </x:c>
      <x:c r="C82" s="50" t="str">
        <x:v>38419</x:v>
      </x:c>
      <x:c r="D82" s="45" t="str">
        <x:v>Balbuena</x:v>
      </x:c>
      <x:c r="E82" s="45" t="str">
        <x:v>Abierta</x:v>
      </x:c>
      <x:c r="F82" s="51" t="d">
        <x:v>2011-06-30T00:00:00.000Z</x:v>
      </x:c>
      <x:c r="G82" s="45" t="str">
        <x:v>Venustiano Carranza</x:v>
      </x:c>
      <x:c r="H82" s="45" t="str">
        <x:v>Ciudad De México</x:v>
      </x:c>
      <x:c r="I82" s="52" t="n">
        <x:v>19.417779</x:v>
      </x:c>
      <x:c r="J82" s="52" t="n">
        <x:v>-99.102259</x:v>
      </x:c>
      <x:c r="K82" s="45" t="str">
        <x:v>Cafe</x:v>
      </x:c>
      <x:c r="L82" s="45" t="str">
        <x:v>Retail</x:v>
      </x:c>
      <x:c r="M82" s="45" t="str">
        <x:v>C2</x:v>
      </x:c>
      <x:c r="N82" s="45" t="str">
        <x:v>Sí</x:v>
      </x:c>
      <x:c r="O82" s="45" t="str">
        <x:v>Ariana Janet Gutierrez Martinez</x:v>
      </x:c>
      <x:c r="P82" s="45" t="str">
        <x:v>Ops y Directorio Alsea · octubre 2026</x:v>
      </x:c>
      <x:c r="Q82" s="45" t="str">
        <x:v>Puntos proporcionados</x:v>
      </x:c>
      <x:c r="R82" s="45" t="str">
        <x:v>Abierta</x:v>
      </x:c>
      <x:c r="S82" s="45" t="str"/>
      <x:c r="T82" s="45" t="n">
        <x:f>IF(AND(OR(E82="Abierta",E82="Próxima Apertura"),N82="Sí",ISNUMBER(I82),ISNUMBER(J82),ABS(I82)&lt;=90,ABS(J82)&lt;=180),1,0)</x:f>
        <x:v>1</x:v>
      </x:c>
    </x:row>
    <x:row r="83" ht="23" customHeight="1">
      <x:c r="A83" s="45" t="str">
        <x:v>Centro Sur</x:v>
      </x:c>
      <x:c r="B83" s="45" t="str">
        <x:v>Ariana Janet Gutierrez Martinez</x:v>
      </x:c>
      <x:c r="C83" s="50" t="str">
        <x:v>38468</x:v>
      </x:c>
      <x:c r="D83" s="45" t="str">
        <x:v>Portal Churubusco</x:v>
      </x:c>
      <x:c r="E83" s="45" t="str">
        <x:v>Abierta</x:v>
      </x:c>
      <x:c r="F83" s="51" t="d">
        <x:v>2012-10-12T00:00:00.000Z</x:v>
      </x:c>
      <x:c r="G83" s="45" t="str">
        <x:v>Iztapalapa</x:v>
      </x:c>
      <x:c r="H83" s="45" t="str">
        <x:v>Ciudad De México</x:v>
      </x:c>
      <x:c r="I83" s="52" t="n">
        <x:v>19.3686672</x:v>
      </x:c>
      <x:c r="J83" s="52" t="n">
        <x:v>-99.1214701</x:v>
      </x:c>
      <x:c r="K83" s="45" t="str">
        <x:v>Cafe</x:v>
      </x:c>
      <x:c r="L83" s="45" t="str">
        <x:v>Retail</x:v>
      </x:c>
      <x:c r="M83" s="45" t="str">
        <x:v>C1</x:v>
      </x:c>
      <x:c r="N83" s="45" t="str">
        <x:v>Sí</x:v>
      </x:c>
      <x:c r="O83" s="45" t="str">
        <x:v>Ariana Janet Gutierrez Martinez</x:v>
      </x:c>
      <x:c r="P83" s="45" t="str">
        <x:v>Ops y Directorio Alsea · octubre 2026</x:v>
      </x:c>
      <x:c r="Q83" s="45" t="str">
        <x:v>Puntos proporcionados</x:v>
      </x:c>
      <x:c r="R83" s="45" t="str">
        <x:v>Abierta</x:v>
      </x:c>
      <x:c r="S83" s="45" t="str"/>
      <x:c r="T83" s="45" t="n">
        <x:f>IF(AND(OR(E83="Abierta",E83="Próxima Apertura"),N83="Sí",ISNUMBER(I83),ISNUMBER(J83),ABS(I83)&lt;=90,ABS(J83)&lt;=180),1,0)</x:f>
        <x:v>1</x:v>
      </x:c>
    </x:row>
    <x:row r="84" ht="23" customHeight="1">
      <x:c r="A84" s="45" t="str">
        <x:v>Centro Sur</x:v>
      </x:c>
      <x:c r="B84" s="45" t="str">
        <x:v>Ariana Janet Gutierrez Martinez</x:v>
      </x:c>
      <x:c r="C84" s="50" t="str">
        <x:v>38477</x:v>
      </x:c>
      <x:c r="D84" s="45" t="str">
        <x:v>Zentralia churubusco</x:v>
      </x:c>
      <x:c r="E84" s="45" t="str">
        <x:v>Abierta</x:v>
      </x:c>
      <x:c r="F84" s="51" t="d">
        <x:v>2012-12-12T00:00:00.000Z</x:v>
      </x:c>
      <x:c r="G84" s="45" t="str">
        <x:v>Iztapalapa</x:v>
      </x:c>
      <x:c r="H84" s="45" t="str">
        <x:v>Ciudad De México</x:v>
      </x:c>
      <x:c r="I84" s="52" t="n">
        <x:v>19.3785337</x:v>
      </x:c>
      <x:c r="J84" s="52" t="n">
        <x:v>-99.1020487</x:v>
      </x:c>
      <x:c r="K84" s="45" t="str">
        <x:v>Cafe</x:v>
      </x:c>
      <x:c r="L84" s="45" t="str">
        <x:v>Retail</x:v>
      </x:c>
      <x:c r="M84" s="45" t="str">
        <x:v>C1</x:v>
      </x:c>
      <x:c r="N84" s="45" t="str">
        <x:v>Sí</x:v>
      </x:c>
      <x:c r="O84" s="45" t="str">
        <x:v>Ariana Janet Gutierrez Martinez</x:v>
      </x:c>
      <x:c r="P84" s="45" t="str">
        <x:v>Ops y Directorio Alsea · octubre 2026</x:v>
      </x:c>
      <x:c r="Q84" s="45" t="str">
        <x:v>Puntos proporcionados</x:v>
      </x:c>
      <x:c r="R84" s="45" t="str">
        <x:v>Abierta</x:v>
      </x:c>
      <x:c r="S84" s="45" t="str"/>
      <x:c r="T84" s="45" t="n">
        <x:f>IF(AND(OR(E84="Abierta",E84="Próxima Apertura"),N84="Sí",ISNUMBER(I84),ISNUMBER(J84),ABS(I84)&lt;=90,ABS(J84)&lt;=180),1,0)</x:f>
        <x:v>1</x:v>
      </x:c>
    </x:row>
    <x:row r="85" ht="23" customHeight="1">
      <x:c r="A85" s="45" t="str">
        <x:v>Centro Sur</x:v>
      </x:c>
      <x:c r="B85" s="45" t="str">
        <x:v>Ariana Janet Gutierrez Martinez</x:v>
      </x:c>
      <x:c r="C85" s="50" t="str">
        <x:v>38496</x:v>
      </x:c>
      <x:c r="D85" s="45" t="str">
        <x:v>Casa Taxqueña</x:v>
      </x:c>
      <x:c r="E85" s="45" t="str">
        <x:v>Abierta</x:v>
      </x:c>
      <x:c r="F85" s="51" t="d">
        <x:v>2013-07-04T00:00:00.000Z</x:v>
      </x:c>
      <x:c r="G85" s="45" t="str">
        <x:v>Coyoacán</x:v>
      </x:c>
      <x:c r="H85" s="45" t="str">
        <x:v>Ciudad De México</x:v>
      </x:c>
      <x:c r="I85" s="52" t="n">
        <x:v>19.3405615</x:v>
      </x:c>
      <x:c r="J85" s="52" t="n">
        <x:v>-99.1348807</x:v>
      </x:c>
      <x:c r="K85" s="45" t="str">
        <x:v>Cafe</x:v>
      </x:c>
      <x:c r="L85" s="45" t="str">
        <x:v>Neighborhood</x:v>
      </x:c>
      <x:c r="M85" s="45" t="str">
        <x:v>C1</x:v>
      </x:c>
      <x:c r="N85" s="45" t="str">
        <x:v>Sí</x:v>
      </x:c>
      <x:c r="O85" s="45" t="str">
        <x:v>Ariana Janet Gutierrez Martinez</x:v>
      </x:c>
      <x:c r="P85" s="45" t="str">
        <x:v>Ops y Directorio Alsea · octubre 2026</x:v>
      </x:c>
      <x:c r="Q85" s="45" t="str">
        <x:v>Puntos proporcionados</x:v>
      </x:c>
      <x:c r="R85" s="45" t="str">
        <x:v>Abierta</x:v>
      </x:c>
      <x:c r="S85" s="45" t="str"/>
      <x:c r="T85" s="45" t="n">
        <x:f>IF(AND(OR(E85="Abierta",E85="Próxima Apertura"),N85="Sí",ISNUMBER(I85),ISNUMBER(J85),ABS(I85)&lt;=90,ABS(J85)&lt;=180),1,0)</x:f>
        <x:v>1</x:v>
      </x:c>
    </x:row>
    <x:row r="86" ht="23" customHeight="1">
      <x:c r="A86" s="45" t="str">
        <x:v>Centro Sur</x:v>
      </x:c>
      <x:c r="B86" s="45" t="str">
        <x:v>Ariana Janet Gutierrez Martinez</x:v>
      </x:c>
      <x:c r="C86" s="50" t="str">
        <x:v>38611</x:v>
      </x:c>
      <x:c r="D86" s="45" t="str">
        <x:v>Plaza Basica</x:v>
      </x:c>
      <x:c r="E86" s="45" t="str">
        <x:v>Abierta</x:v>
      </x:c>
      <x:c r="F86" s="51" t="d">
        <x:v>2015-09-18T00:00:00.000Z</x:v>
      </x:c>
      <x:c r="G86" s="45" t="str">
        <x:v>Iztapalapa</x:v>
      </x:c>
      <x:c r="H86" s="45" t="str">
        <x:v>Ciudad De México</x:v>
      </x:c>
      <x:c r="I86" s="52" t="n">
        <x:v>19.3802678</x:v>
      </x:c>
      <x:c r="J86" s="52" t="n">
        <x:v>-99.0873532</x:v>
      </x:c>
      <x:c r="K86" s="45" t="str">
        <x:v>Drive_Thru</x:v>
      </x:c>
      <x:c r="L86" s="45" t="str">
        <x:v>Retail</x:v>
      </x:c>
      <x:c r="M86" s="45" t="str">
        <x:v>C2</x:v>
      </x:c>
      <x:c r="N86" s="45" t="str">
        <x:v>Sí</x:v>
      </x:c>
      <x:c r="O86" s="45" t="str">
        <x:v>Ariana Janet Gutierrez Martinez</x:v>
      </x:c>
      <x:c r="P86" s="45" t="str">
        <x:v>Ops y Directorio Alsea · octubre 2026</x:v>
      </x:c>
      <x:c r="Q86" s="45" t="str">
        <x:v>Puntos proporcionados</x:v>
      </x:c>
      <x:c r="R86" s="45" t="str">
        <x:v>Abierta</x:v>
      </x:c>
      <x:c r="S86" s="45" t="str"/>
      <x:c r="T86" s="45" t="n">
        <x:f>IF(AND(OR(E86="Abierta",E86="Próxima Apertura"),N86="Sí",ISNUMBER(I86),ISNUMBER(J86),ABS(I86)&lt;=90,ABS(J86)&lt;=180),1,0)</x:f>
        <x:v>1</x:v>
      </x:c>
    </x:row>
    <x:row r="87" ht="23" customHeight="1">
      <x:c r="A87" s="45" t="str">
        <x:v>Centro Sur</x:v>
      </x:c>
      <x:c r="B87" s="45" t="str">
        <x:v>Ariana Janet Gutierrez Martinez</x:v>
      </x:c>
      <x:c r="C87" s="50" t="str">
        <x:v>38645</x:v>
      </x:c>
      <x:c r="D87" s="45" t="str">
        <x:v>Plaza Central</x:v>
      </x:c>
      <x:c r="E87" s="45" t="str">
        <x:v>Abierta</x:v>
      </x:c>
      <x:c r="F87" s="51" t="d">
        <x:v>2016-04-20T00:00:00.000Z</x:v>
      </x:c>
      <x:c r="G87" s="45" t="str">
        <x:v>Iztapalapa</x:v>
      </x:c>
      <x:c r="H87" s="45" t="str">
        <x:v>Ciudad De México</x:v>
      </x:c>
      <x:c r="I87" s="52" t="n">
        <x:v>19.3767651</x:v>
      </x:c>
      <x:c r="J87" s="52" t="n">
        <x:v>-99.0954696</x:v>
      </x:c>
      <x:c r="K87" s="45" t="str">
        <x:v>Kiosko</x:v>
      </x:c>
      <x:c r="L87" s="45" t="str">
        <x:v>Retail</x:v>
      </x:c>
      <x:c r="M87" s="45" t="str">
        <x:v>C1</x:v>
      </x:c>
      <x:c r="N87" s="45" t="str">
        <x:v>Sí</x:v>
      </x:c>
      <x:c r="O87" s="45" t="str">
        <x:v>Ariana Janet Gutierrez Martinez</x:v>
      </x:c>
      <x:c r="P87" s="45" t="str">
        <x:v>Ops y Directorio Alsea · octubre 2026</x:v>
      </x:c>
      <x:c r="Q87" s="45" t="str">
        <x:v>Puntos proporcionados</x:v>
      </x:c>
      <x:c r="R87" s="45" t="str">
        <x:v>Abierta</x:v>
      </x:c>
      <x:c r="S87" s="45" t="str"/>
      <x:c r="T87" s="45" t="n">
        <x:f>IF(AND(OR(E87="Abierta",E87="Próxima Apertura"),N87="Sí",ISNUMBER(I87),ISNUMBER(J87),ABS(I87)&lt;=90,ABS(J87)&lt;=180),1,0)</x:f>
        <x:v>1</x:v>
      </x:c>
    </x:row>
    <x:row r="88" ht="23" customHeight="1">
      <x:c r="A88" s="45" t="str">
        <x:v>Centro Sur</x:v>
      </x:c>
      <x:c r="B88" s="45" t="str">
        <x:v>Ariana Janet Gutierrez Martinez</x:v>
      </x:c>
      <x:c r="C88" s="50" t="str">
        <x:v>38725</x:v>
      </x:c>
      <x:c r="D88" s="45" t="str">
        <x:v>Plaza Oriente ll</x:v>
      </x:c>
      <x:c r="E88" s="45" t="str">
        <x:v>Abierta</x:v>
      </x:c>
      <x:c r="F88" s="51" t="d">
        <x:v>2017-06-08T00:00:00.000Z</x:v>
      </x:c>
      <x:c r="G88" s="45" t="str">
        <x:v>Iztapalapa</x:v>
      </x:c>
      <x:c r="H88" s="45" t="str">
        <x:v>Ciudad De México</x:v>
      </x:c>
      <x:c r="I88" s="52" t="n">
        <x:v>19.3835534</x:v>
      </x:c>
      <x:c r="J88" s="52" t="n">
        <x:v>-99.0798852</x:v>
      </x:c>
      <x:c r="K88" s="45" t="str">
        <x:v>Cafe</x:v>
      </x:c>
      <x:c r="L88" s="45" t="str">
        <x:v>Retail</x:v>
      </x:c>
      <x:c r="M88" s="45" t="str">
        <x:v>C2</x:v>
      </x:c>
      <x:c r="N88" s="45" t="str">
        <x:v>Sí</x:v>
      </x:c>
      <x:c r="O88" s="45" t="str">
        <x:v>Ariana Janet Gutierrez Martinez</x:v>
      </x:c>
      <x:c r="P88" s="45" t="str">
        <x:v>Ops y Directorio Alsea · octubre 2026</x:v>
      </x:c>
      <x:c r="Q88" s="45" t="str">
        <x:v>Puntos proporcionados</x:v>
      </x:c>
      <x:c r="R88" s="45" t="str">
        <x:v>Abierta</x:v>
      </x:c>
      <x:c r="S88" s="45" t="str"/>
      <x:c r="T88" s="45" t="n">
        <x:f>IF(AND(OR(E88="Abierta",E88="Próxima Apertura"),N88="Sí",ISNUMBER(I88),ISNUMBER(J88),ABS(I88)&lt;=90,ABS(J88)&lt;=180),1,0)</x:f>
        <x:v>1</x:v>
      </x:c>
    </x:row>
    <x:row r="89" ht="23" customHeight="1">
      <x:c r="A89" s="45" t="str">
        <x:v>Centro Sur</x:v>
      </x:c>
      <x:c r="B89" s="45" t="str">
        <x:v>Ariana Janet Gutierrez Martinez</x:v>
      </x:c>
      <x:c r="C89" s="50" t="str">
        <x:v>43070</x:v>
      </x:c>
      <x:c r="D89" s="45" t="str">
        <x:v>Rojo Gomez DT</x:v>
      </x:c>
      <x:c r="E89" s="45" t="str">
        <x:v>Abierta</x:v>
      </x:c>
      <x:c r="F89" s="51" t="d">
        <x:v>2024-12-05T00:00:00.000Z</x:v>
      </x:c>
      <x:c r="G89" s="45" t="str">
        <x:v>Iztacalco</x:v>
      </x:c>
      <x:c r="H89" s="45" t="str">
        <x:v>Ciudad De México</x:v>
      </x:c>
      <x:c r="I89" s="52" t="n">
        <x:v>19.397734</x:v>
      </x:c>
      <x:c r="J89" s="52" t="n">
        <x:v>-99.072369</x:v>
      </x:c>
      <x:c r="K89" s="45" t="str">
        <x:v>Drive_Thru</x:v>
      </x:c>
      <x:c r="L89" s="45" t="str">
        <x:v>Transfers</x:v>
      </x:c>
      <x:c r="M89" s="45" t="str">
        <x:v>C2</x:v>
      </x:c>
      <x:c r="N89" s="45" t="str">
        <x:v>Sí</x:v>
      </x:c>
      <x:c r="O89" s="45" t="str">
        <x:v>Ariana Janet Gutierrez Martinez</x:v>
      </x:c>
      <x:c r="P89" s="45" t="str">
        <x:v>Ops y Directorio Alsea · octubre 2026</x:v>
      </x:c>
      <x:c r="Q89" s="45" t="str">
        <x:v>Puntos proporcionados</x:v>
      </x:c>
      <x:c r="R89" s="45" t="str">
        <x:v>Abierta</x:v>
      </x:c>
      <x:c r="S89" s="45" t="str"/>
      <x:c r="T89" s="45" t="n">
        <x:f>IF(AND(OR(E89="Abierta",E89="Próxima Apertura"),N89="Sí",ISNUMBER(I89),ISNUMBER(J89),ABS(I89)&lt;=90,ABS(J89)&lt;=180),1,0)</x:f>
        <x:v>1</x:v>
      </x:c>
    </x:row>
    <x:row r="90" ht="23" customHeight="1">
      <x:c r="A90" s="45" t="str">
        <x:v>Centro Sur</x:v>
      </x:c>
      <x:c r="B90" s="45" t="str">
        <x:v>Cesar Alfonso Castillo Romero</x:v>
      </x:c>
      <x:c r="C90" s="50" t="str">
        <x:v>38107</x:v>
      </x:c>
      <x:c r="D90" s="45" t="str">
        <x:v>Pedregal</x:v>
      </x:c>
      <x:c r="E90" s="45" t="str">
        <x:v>Abierta</x:v>
      </x:c>
      <x:c r="F90" s="51" t="d">
        <x:v>2003-03-18T00:00:00.000Z</x:v>
      </x:c>
      <x:c r="G90" s="45" t="str">
        <x:v>Álvaro Obregón</x:v>
      </x:c>
      <x:c r="H90" s="45" t="str">
        <x:v>Ciudad De México</x:v>
      </x:c>
      <x:c r="I90" s="52" t="n">
        <x:v>19.3176322</x:v>
      </x:c>
      <x:c r="J90" s="52" t="n">
        <x:v>-99.2102439</x:v>
      </x:c>
      <x:c r="K90" s="45" t="str">
        <x:v>Cafe</x:v>
      </x:c>
      <x:c r="L90" s="45" t="str">
        <x:v>Retail</x:v>
      </x:c>
      <x:c r="M90" s="45" t="str">
        <x:v>C2</x:v>
      </x:c>
      <x:c r="N90" s="45" t="str">
        <x:v>Sí</x:v>
      </x:c>
      <x:c r="O90" s="45" t="str">
        <x:v>Cesar Alfonso Castillo Romero</x:v>
      </x:c>
      <x:c r="P90" s="45" t="str">
        <x:v>Ops y Directorio Alsea · octubre 2026</x:v>
      </x:c>
      <x:c r="Q90" s="45" t="str">
        <x:v>Puntos proporcionados</x:v>
      </x:c>
      <x:c r="R90" s="45" t="str">
        <x:v>Abierta</x:v>
      </x:c>
      <x:c r="S90" s="45" t="str"/>
      <x:c r="T90" s="45" t="n">
        <x:f>IF(AND(OR(E90="Abierta",E90="Próxima Apertura"),N90="Sí",ISNUMBER(I90),ISNUMBER(J90),ABS(I90)&lt;=90,ABS(J90)&lt;=180),1,0)</x:f>
        <x:v>1</x:v>
      </x:c>
    </x:row>
    <x:row r="91" ht="23" customHeight="1">
      <x:c r="A91" s="45" t="str">
        <x:v>Centro Sur</x:v>
      </x:c>
      <x:c r="B91" s="45" t="str">
        <x:v>Cesar Alfonso Castillo Romero</x:v>
      </x:c>
      <x:c r="C91" s="50" t="str">
        <x:v>38116</x:v>
      </x:c>
      <x:c r="D91" s="45" t="str">
        <x:v>Santa Teresa</x:v>
      </x:c>
      <x:c r="E91" s="45" t="str">
        <x:v>Abierta</x:v>
      </x:c>
      <x:c r="F91" s="51" t="d">
        <x:v>2003-09-27T00:00:00.000Z</x:v>
      </x:c>
      <x:c r="G91" s="45" t="str">
        <x:v>Tlalpan</x:v>
      </x:c>
      <x:c r="H91" s="45" t="str">
        <x:v>Ciudad De México</x:v>
      </x:c>
      <x:c r="I91" s="52" t="n">
        <x:v>19.3105216</x:v>
      </x:c>
      <x:c r="J91" s="52" t="n">
        <x:v>-99.2242743</x:v>
      </x:c>
      <x:c r="K91" s="45" t="str">
        <x:v>Cafe</x:v>
      </x:c>
      <x:c r="L91" s="45" t="str">
        <x:v>Neighborhood</x:v>
      </x:c>
      <x:c r="M91" s="45" t="str">
        <x:v>C1</x:v>
      </x:c>
      <x:c r="N91" s="45" t="str">
        <x:v>Sí</x:v>
      </x:c>
      <x:c r="O91" s="45" t="str">
        <x:v>Cesar Alfonso Castillo Romero</x:v>
      </x:c>
      <x:c r="P91" s="45" t="str">
        <x:v>Ops y Directorio Alsea · octubre 2026</x:v>
      </x:c>
      <x:c r="Q91" s="45" t="str">
        <x:v>Puntos proporcionados</x:v>
      </x:c>
      <x:c r="R91" s="45" t="str">
        <x:v>Abierta</x:v>
      </x:c>
      <x:c r="S91" s="45" t="str"/>
      <x:c r="T91" s="45" t="n">
        <x:f>IF(AND(OR(E91="Abierta",E91="Próxima Apertura"),N91="Sí",ISNUMBER(I91),ISNUMBER(J91),ABS(I91)&lt;=90,ABS(J91)&lt;=180),1,0)</x:f>
        <x:v>1</x:v>
      </x:c>
    </x:row>
    <x:row r="92" ht="23" customHeight="1">
      <x:c r="A92" s="45" t="str">
        <x:v>Centro Sur</x:v>
      </x:c>
      <x:c r="B92" s="45" t="str">
        <x:v>Cesar Alfonso Castillo Romero</x:v>
      </x:c>
      <x:c r="C92" s="50" t="str">
        <x:v>38124</x:v>
      </x:c>
      <x:c r="D92" s="45" t="str">
        <x:v>San Jeronimo</x:v>
      </x:c>
      <x:c r="E92" s="45" t="str">
        <x:v>Abierta</x:v>
      </x:c>
      <x:c r="F92" s="51" t="d">
        <x:v>2004-02-19T00:00:00.000Z</x:v>
      </x:c>
      <x:c r="G92" s="45" t="str">
        <x:v>Magdalena Contreras</x:v>
      </x:c>
      <x:c r="H92" s="45" t="str">
        <x:v>Ciudad De México</x:v>
      </x:c>
      <x:c r="I92" s="52" t="n">
        <x:v>19.3286072</x:v>
      </x:c>
      <x:c r="J92" s="52" t="n">
        <x:v>-99.2124274</x:v>
      </x:c>
      <x:c r="K92" s="45" t="str">
        <x:v>Cafe</x:v>
      </x:c>
      <x:c r="L92" s="45" t="str">
        <x:v>Retail</x:v>
      </x:c>
      <x:c r="M92" s="45" t="str">
        <x:v>C2</x:v>
      </x:c>
      <x:c r="N92" s="45" t="str">
        <x:v>Sí</x:v>
      </x:c>
      <x:c r="O92" s="45" t="str">
        <x:v>Cesar Alfonso Castillo Romero</x:v>
      </x:c>
      <x:c r="P92" s="45" t="str">
        <x:v>Ops y Directorio Alsea · octubre 2026</x:v>
      </x:c>
      <x:c r="Q92" s="45" t="str">
        <x:v>Puntos proporcionados</x:v>
      </x:c>
      <x:c r="R92" s="45" t="str">
        <x:v>Abierta</x:v>
      </x:c>
      <x:c r="S92" s="45" t="str"/>
      <x:c r="T92" s="45" t="n">
        <x:f>IF(AND(OR(E92="Abierta",E92="Próxima Apertura"),N92="Sí",ISNUMBER(I92),ISNUMBER(J92),ABS(I92)&lt;=90,ABS(J92)&lt;=180),1,0)</x:f>
        <x:v>1</x:v>
      </x:c>
    </x:row>
    <x:row r="93" ht="23" customHeight="1">
      <x:c r="A93" s="45" t="str">
        <x:v>Centro Sur</x:v>
      </x:c>
      <x:c r="B93" s="45" t="str">
        <x:v>Cesar Alfonso Castillo Romero</x:v>
      </x:c>
      <x:c r="C93" s="50" t="str">
        <x:v>38129</x:v>
      </x:c>
      <x:c r="D93" s="45" t="str">
        <x:v>Plaza Santa Teresa</x:v>
      </x:c>
      <x:c r="E93" s="45" t="str">
        <x:v>Abierta</x:v>
      </x:c>
      <x:c r="F93" s="51" t="d">
        <x:v>2004-08-11T00:00:00.000Z</x:v>
      </x:c>
      <x:c r="G93" s="45" t="str">
        <x:v>Álvaro Obregón</x:v>
      </x:c>
      <x:c r="H93" s="45" t="str">
        <x:v>Ciudad De México</x:v>
      </x:c>
      <x:c r="I93" s="52" t="n">
        <x:v>19.3094619</x:v>
      </x:c>
      <x:c r="J93" s="52" t="n">
        <x:v>-99.213134</x:v>
      </x:c>
      <x:c r="K93" s="45" t="str">
        <x:v>Cafe</x:v>
      </x:c>
      <x:c r="L93" s="45" t="str">
        <x:v>Retail</x:v>
      </x:c>
      <x:c r="M93" s="45" t="str">
        <x:v>C2</x:v>
      </x:c>
      <x:c r="N93" s="45" t="str">
        <x:v>Sí</x:v>
      </x:c>
      <x:c r="O93" s="45" t="str">
        <x:v>Cesar Alfonso Castillo Romero</x:v>
      </x:c>
      <x:c r="P93" s="45" t="str">
        <x:v>Ops y Directorio Alsea · octubre 2026</x:v>
      </x:c>
      <x:c r="Q93" s="45" t="str">
        <x:v>Puntos proporcionados</x:v>
      </x:c>
      <x:c r="R93" s="45" t="str">
        <x:v>Abierta</x:v>
      </x:c>
      <x:c r="S93" s="45" t="str"/>
      <x:c r="T93" s="45" t="n">
        <x:f>IF(AND(OR(E93="Abierta",E93="Próxima Apertura"),N93="Sí",ISNUMBER(I93),ISNUMBER(J93),ABS(I93)&lt;=90,ABS(J93)&lt;=180),1,0)</x:f>
        <x:v>1</x:v>
      </x:c>
    </x:row>
    <x:row r="94" ht="23" customHeight="1">
      <x:c r="A94" s="45" t="str">
        <x:v>Centro Sur</x:v>
      </x:c>
      <x:c r="B94" s="45" t="str">
        <x:v>Cesar Alfonso Castillo Romero</x:v>
      </x:c>
      <x:c r="C94" s="50" t="str">
        <x:v>38169</x:v>
      </x:c>
      <x:c r="D94" s="45" t="str">
        <x:v>Altavista</x:v>
      </x:c>
      <x:c r="E94" s="45" t="str">
        <x:v>Abierta</x:v>
      </x:c>
      <x:c r="F94" s="51" t="d">
        <x:v>2005-12-07T00:00:00.000Z</x:v>
      </x:c>
      <x:c r="G94" s="45" t="str">
        <x:v>Álvaro Obregón</x:v>
      </x:c>
      <x:c r="H94" s="45" t="str">
        <x:v>Ciudad De México</x:v>
      </x:c>
      <x:c r="I94" s="52" t="n">
        <x:v>19.3495584</x:v>
      </x:c>
      <x:c r="J94" s="52" t="n">
        <x:v>-99.1970437</x:v>
      </x:c>
      <x:c r="K94" s="45" t="str">
        <x:v>Cafe</x:v>
      </x:c>
      <x:c r="L94" s="45" t="str">
        <x:v>Retail</x:v>
      </x:c>
      <x:c r="M94" s="45" t="str">
        <x:v>C2</x:v>
      </x:c>
      <x:c r="N94" s="45" t="str">
        <x:v>Sí</x:v>
      </x:c>
      <x:c r="O94" s="45" t="str">
        <x:v>Cesar Alfonso Castillo Romero</x:v>
      </x:c>
      <x:c r="P94" s="45" t="str">
        <x:v>Ops y Directorio Alsea · octubre 2026</x:v>
      </x:c>
      <x:c r="Q94" s="45" t="str">
        <x:v>Puntos proporcionados</x:v>
      </x:c>
      <x:c r="R94" s="45" t="str">
        <x:v>Abierta</x:v>
      </x:c>
      <x:c r="S94" s="45" t="str"/>
      <x:c r="T94" s="45" t="n">
        <x:f>IF(AND(OR(E94="Abierta",E94="Próxima Apertura"),N94="Sí",ISNUMBER(I94),ISNUMBER(J94),ABS(I94)&lt;=90,ABS(J94)&lt;=180),1,0)</x:f>
        <x:v>1</x:v>
      </x:c>
    </x:row>
    <x:row r="95" ht="23" customHeight="1">
      <x:c r="A95" s="45" t="str">
        <x:v>Centro Sur</x:v>
      </x:c>
      <x:c r="B95" s="45" t="str">
        <x:v>Cesar Alfonso Castillo Romero</x:v>
      </x:c>
      <x:c r="C95" s="50" t="str">
        <x:v>38398</x:v>
      </x:c>
      <x:c r="D95" s="45" t="str">
        <x:v>Mexfund Pedregal</x:v>
      </x:c>
      <x:c r="E95" s="45" t="str">
        <x:v>Abierta</x:v>
      </x:c>
      <x:c r="F95" s="51" t="d">
        <x:v>2010-12-03T00:00:00.000Z</x:v>
      </x:c>
      <x:c r="G95" s="45" t="str">
        <x:v>Álvaro Obregón</x:v>
      </x:c>
      <x:c r="H95" s="45" t="str">
        <x:v>Ciudad De México</x:v>
      </x:c>
      <x:c r="I95" s="52" t="n">
        <x:v>19.3066325</x:v>
      </x:c>
      <x:c r="J95" s="52" t="n">
        <x:v>-99.2095405</x:v>
      </x:c>
      <x:c r="K95" s="45" t="str">
        <x:v>Cafe</x:v>
      </x:c>
      <x:c r="L95" s="45" t="str">
        <x:v>Retail</x:v>
      </x:c>
      <x:c r="M95" s="45" t="str">
        <x:v>C2</x:v>
      </x:c>
      <x:c r="N95" s="45" t="str">
        <x:v>Sí</x:v>
      </x:c>
      <x:c r="O95" s="45" t="str">
        <x:v>Cesar Alfonso Castillo Romero</x:v>
      </x:c>
      <x:c r="P95" s="45" t="str">
        <x:v>Ops y Directorio Alsea · octubre 2026</x:v>
      </x:c>
      <x:c r="Q95" s="45" t="str">
        <x:v>Puntos proporcionados</x:v>
      </x:c>
      <x:c r="R95" s="45" t="str">
        <x:v>Abierta</x:v>
      </x:c>
      <x:c r="S95" s="45" t="str"/>
      <x:c r="T95" s="45" t="n">
        <x:f>IF(AND(OR(E95="Abierta",E95="Próxima Apertura"),N95="Sí",ISNUMBER(I95),ISNUMBER(J95),ABS(I95)&lt;=90,ABS(J95)&lt;=180),1,0)</x:f>
        <x:v>1</x:v>
      </x:c>
    </x:row>
    <x:row r="96" ht="23" customHeight="1">
      <x:c r="A96" s="45" t="str">
        <x:v>Centro Sur</x:v>
      </x:c>
      <x:c r="B96" s="45" t="str">
        <x:v>Cesar Alfonso Castillo Romero</x:v>
      </x:c>
      <x:c r="C96" s="50" t="str">
        <x:v>38428</x:v>
      </x:c>
      <x:c r="D96" s="45" t="str">
        <x:v>Jardines del Pedregal</x:v>
      </x:c>
      <x:c r="E96" s="45" t="str">
        <x:v>Abierta</x:v>
      </x:c>
      <x:c r="F96" s="51" t="d">
        <x:v>2011-11-21T00:00:00.000Z</x:v>
      </x:c>
      <x:c r="G96" s="45" t="str">
        <x:v>Coyoacán</x:v>
      </x:c>
      <x:c r="H96" s="45" t="str">
        <x:v>Ciudad De México</x:v>
      </x:c>
      <x:c r="I96" s="52" t="n">
        <x:v>19.3347427</x:v>
      </x:c>
      <x:c r="J96" s="52" t="n">
        <x:v>-99.1986207</x:v>
      </x:c>
      <x:c r="K96" s="45" t="str">
        <x:v>Cafe</x:v>
      </x:c>
      <x:c r="L96" s="45" t="str">
        <x:v>Office_Complex</x:v>
      </x:c>
      <x:c r="M96" s="45" t="str">
        <x:v>C2</x:v>
      </x:c>
      <x:c r="N96" s="45" t="str">
        <x:v>Sí</x:v>
      </x:c>
      <x:c r="O96" s="45" t="str">
        <x:v>Cesar Alfonso Castillo Romero</x:v>
      </x:c>
      <x:c r="P96" s="45" t="str">
        <x:v>Ops y Directorio Alsea · octubre 2026</x:v>
      </x:c>
      <x:c r="Q96" s="45" t="str">
        <x:v>Puntos proporcionados</x:v>
      </x:c>
      <x:c r="R96" s="45" t="str">
        <x:v>Abierta</x:v>
      </x:c>
      <x:c r="S96" s="45" t="str"/>
      <x:c r="T96" s="45" t="n">
        <x:f>IF(AND(OR(E96="Abierta",E96="Próxima Apertura"),N96="Sí",ISNUMBER(I96),ISNUMBER(J96),ABS(I96)&lt;=90,ABS(J96)&lt;=180),1,0)</x:f>
        <x:v>1</x:v>
      </x:c>
    </x:row>
    <x:row r="97" ht="23" customHeight="1">
      <x:c r="A97" s="45" t="str">
        <x:v>Centro Sur</x:v>
      </x:c>
      <x:c r="B97" s="45" t="str">
        <x:v>Cesar Alfonso Castillo Romero</x:v>
      </x:c>
      <x:c r="C97" s="50" t="str">
        <x:v>38447</x:v>
      </x:c>
      <x:c r="D97" s="45" t="str">
        <x:v>Hospital Angeles del Pedregal</x:v>
      </x:c>
      <x:c r="E97" s="45" t="str">
        <x:v>Abierta</x:v>
      </x:c>
      <x:c r="F97" s="51" t="d">
        <x:v>2013-03-01T00:00:00.000Z</x:v>
      </x:c>
      <x:c r="G97" s="45" t="str">
        <x:v>Álvaro Obregón</x:v>
      </x:c>
      <x:c r="H97" s="45" t="str">
        <x:v>Ciudad De México</x:v>
      </x:c>
      <x:c r="I97" s="52" t="n">
        <x:v>19.3126595</x:v>
      </x:c>
      <x:c r="J97" s="52" t="n">
        <x:v>-99.2211874</x:v>
      </x:c>
      <x:c r="K97" s="45" t="str">
        <x:v>Cafe</x:v>
      </x:c>
      <x:c r="L97" s="45" t="str">
        <x:v>Institution</x:v>
      </x:c>
      <x:c r="M97" s="45" t="str">
        <x:v>C2</x:v>
      </x:c>
      <x:c r="N97" s="45" t="str">
        <x:v>Sí</x:v>
      </x:c>
      <x:c r="O97" s="45" t="str">
        <x:v>Cesar Alfonso Castillo Romero</x:v>
      </x:c>
      <x:c r="P97" s="45" t="str">
        <x:v>Ops y Directorio Alsea · octubre 2026</x:v>
      </x:c>
      <x:c r="Q97" s="45" t="str">
        <x:v>Puntos proporcionados</x:v>
      </x:c>
      <x:c r="R97" s="45" t="str">
        <x:v>Abierta</x:v>
      </x:c>
      <x:c r="S97" s="45" t="str"/>
      <x:c r="T97" s="45" t="n">
        <x:f>IF(AND(OR(E97="Abierta",E97="Próxima Apertura"),N97="Sí",ISNUMBER(I97),ISNUMBER(J97),ABS(I97)&lt;=90,ABS(J97)&lt;=180),1,0)</x:f>
        <x:v>1</x:v>
      </x:c>
    </x:row>
    <x:row r="98" ht="23" customHeight="1">
      <x:c r="A98" s="45" t="str">
        <x:v>Centro Sur</x:v>
      </x:c>
      <x:c r="B98" s="45" t="str">
        <x:v>Cesar Alfonso Castillo Romero</x:v>
      </x:c>
      <x:c r="C98" s="50" t="str">
        <x:v>38544</x:v>
      </x:c>
      <x:c r="D98" s="45" t="str">
        <x:v>Picacho Ajusco</x:v>
      </x:c>
      <x:c r="E98" s="45" t="str">
        <x:v>Abierta</x:v>
      </x:c>
      <x:c r="F98" s="51" t="d">
        <x:v>2014-08-23T00:00:00.000Z</x:v>
      </x:c>
      <x:c r="G98" s="45" t="str">
        <x:v>Tlalpan</x:v>
      </x:c>
      <x:c r="H98" s="45" t="str">
        <x:v>Ciudad De México</x:v>
      </x:c>
      <x:c r="I98" s="52" t="n">
        <x:v>19.2917636</x:v>
      </x:c>
      <x:c r="J98" s="52" t="n">
        <x:v>-99.2171345</x:v>
      </x:c>
      <x:c r="K98" s="45" t="str">
        <x:v>Cafe</x:v>
      </x:c>
      <x:c r="L98" s="45" t="str">
        <x:v>Retail</x:v>
      </x:c>
      <x:c r="M98" s="45" t="str">
        <x:v>C1</x:v>
      </x:c>
      <x:c r="N98" s="45" t="str">
        <x:v>Sí</x:v>
      </x:c>
      <x:c r="O98" s="45" t="str">
        <x:v>Cesar Alfonso Castillo Romero</x:v>
      </x:c>
      <x:c r="P98" s="45" t="str">
        <x:v>Ops y Directorio Alsea · octubre 2026</x:v>
      </x:c>
      <x:c r="Q98" s="45" t="str">
        <x:v>Puntos proporcionados</x:v>
      </x:c>
      <x:c r="R98" s="45" t="str">
        <x:v>Abierta</x:v>
      </x:c>
      <x:c r="S98" s="45" t="str"/>
      <x:c r="T98" s="45" t="n">
        <x:f>IF(AND(OR(E98="Abierta",E98="Próxima Apertura"),N98="Sí",ISNUMBER(I98),ISNUMBER(J98),ABS(I98)&lt;=90,ABS(J98)&lt;=180),1,0)</x:f>
        <x:v>1</x:v>
      </x:c>
    </x:row>
    <x:row r="99" ht="23" customHeight="1">
      <x:c r="A99" s="45" t="str">
        <x:v>Centro Sur</x:v>
      </x:c>
      <x:c r="B99" s="45" t="str">
        <x:v>Cesar Alfonso Castillo Romero</x:v>
      </x:c>
      <x:c r="C99" s="50" t="str">
        <x:v>38571</x:v>
      </x:c>
      <x:c r="D99" s="45" t="str">
        <x:v>Jolie Place</x:v>
      </x:c>
      <x:c r="E99" s="45" t="str">
        <x:v>Abierta</x:v>
      </x:c>
      <x:c r="F99" s="51" t="d">
        <x:v>2015-05-25T00:00:00.000Z</x:v>
      </x:c>
      <x:c r="G99" s="45" t="str">
        <x:v>Álvaro Obregón</x:v>
      </x:c>
      <x:c r="H99" s="45" t="str">
        <x:v>Ciudad De México</x:v>
      </x:c>
      <x:c r="I99" s="52" t="n">
        <x:v>19.319165</x:v>
      </x:c>
      <x:c r="J99" s="52" t="n">
        <x:v>-99.2110727</x:v>
      </x:c>
      <x:c r="K99" s="45" t="str">
        <x:v>Cafe</x:v>
      </x:c>
      <x:c r="L99" s="45" t="str">
        <x:v>Retail</x:v>
      </x:c>
      <x:c r="M99" s="45" t="str">
        <x:v>C2</x:v>
      </x:c>
      <x:c r="N99" s="45" t="str">
        <x:v>Sí</x:v>
      </x:c>
      <x:c r="O99" s="45" t="str">
        <x:v>Cesar Alfonso Castillo Romero</x:v>
      </x:c>
      <x:c r="P99" s="45" t="str">
        <x:v>Ops y Directorio Alsea · octubre 2026</x:v>
      </x:c>
      <x:c r="Q99" s="45" t="str">
        <x:v>Puntos proporcionados</x:v>
      </x:c>
      <x:c r="R99" s="45" t="str">
        <x:v>Abierta</x:v>
      </x:c>
      <x:c r="S99" s="45" t="str"/>
      <x:c r="T99" s="45" t="n">
        <x:f>IF(AND(OR(E99="Abierta",E99="Próxima Apertura"),N99="Sí",ISNUMBER(I99),ISNUMBER(J99),ABS(I99)&lt;=90,ABS(J99)&lt;=180),1,0)</x:f>
        <x:v>1</x:v>
      </x:c>
    </x:row>
    <x:row r="100" ht="23" customHeight="1">
      <x:c r="A100" s="45" t="str">
        <x:v>Centro Sur</x:v>
      </x:c>
      <x:c r="B100" s="45" t="str">
        <x:v>Cesar Alfonso Castillo Romero</x:v>
      </x:c>
      <x:c r="C100" s="50" t="str">
        <x:v>38580</x:v>
      </x:c>
      <x:c r="D100" s="45" t="str">
        <x:v>Pasaje San Jeronimo</x:v>
      </x:c>
      <x:c r="E100" s="45" t="str">
        <x:v>Abierta</x:v>
      </x:c>
      <x:c r="F100" s="51" t="d">
        <x:v>2015-05-06T00:00:00.000Z</x:v>
      </x:c>
      <x:c r="G100" s="45" t="str">
        <x:v>Magdalena Contreras</x:v>
      </x:c>
      <x:c r="H100" s="45" t="str">
        <x:v>Ciudad De México</x:v>
      </x:c>
      <x:c r="I100" s="52" t="n">
        <x:v>19.3297263</x:v>
      </x:c>
      <x:c r="J100" s="52" t="n">
        <x:v>-99.2158941</x:v>
      </x:c>
      <x:c r="K100" s="45" t="str">
        <x:v>Cafe</x:v>
      </x:c>
      <x:c r="L100" s="45" t="str">
        <x:v>Retail</x:v>
      </x:c>
      <x:c r="M100" s="45" t="str">
        <x:v>C2</x:v>
      </x:c>
      <x:c r="N100" s="45" t="str">
        <x:v>Sí</x:v>
      </x:c>
      <x:c r="O100" s="45" t="str">
        <x:v>Cesar Alfonso Castillo Romero</x:v>
      </x:c>
      <x:c r="P100" s="45" t="str">
        <x:v>Ops y Directorio Alsea · octubre 2026</x:v>
      </x:c>
      <x:c r="Q100" s="45" t="str">
        <x:v>Puntos proporcionados</x:v>
      </x:c>
      <x:c r="R100" s="45" t="str">
        <x:v>Abierta</x:v>
      </x:c>
      <x:c r="S100" s="45" t="str"/>
      <x:c r="T100" s="45" t="n">
        <x:f>IF(AND(OR(E100="Abierta",E100="Próxima Apertura"),N100="Sí",ISNUMBER(I100),ISNUMBER(J100),ABS(I100)&lt;=90,ABS(J100)&lt;=180),1,0)</x:f>
        <x:v>1</x:v>
      </x:c>
    </x:row>
    <x:row r="101" ht="23" customHeight="1">
      <x:c r="A101" s="45" t="str">
        <x:v>Centro Sur</x:v>
      </x:c>
      <x:c r="B101" s="45" t="str">
        <x:v>Cesar Alfonso Castillo Romero</x:v>
      </x:c>
      <x:c r="C101" s="50" t="str">
        <x:v>38615</x:v>
      </x:c>
      <x:c r="D101" s="45" t="str">
        <x:v>Grand San Jeronimo</x:v>
      </x:c>
      <x:c r="E101" s="45" t="str">
        <x:v>Abierta</x:v>
      </x:c>
      <x:c r="F101" s="51" t="d">
        <x:v>2015-09-30T00:00:00.000Z</x:v>
      </x:c>
      <x:c r="G101" s="45" t="str">
        <x:v>Álvaro Obregón</x:v>
      </x:c>
      <x:c r="H101" s="45" t="str">
        <x:v>Ciudad De México</x:v>
      </x:c>
      <x:c r="I101" s="52" t="n">
        <x:v>19.3362355</x:v>
      </x:c>
      <x:c r="J101" s="52" t="n">
        <x:v>-99.2000486</x:v>
      </x:c>
      <x:c r="K101" s="45" t="str">
        <x:v>Cafe</x:v>
      </x:c>
      <x:c r="L101" s="45" t="str">
        <x:v>Retail</x:v>
      </x:c>
      <x:c r="M101" s="45" t="str">
        <x:v>C2</x:v>
      </x:c>
      <x:c r="N101" s="45" t="str">
        <x:v>Sí</x:v>
      </x:c>
      <x:c r="O101" s="45" t="str">
        <x:v>Cesar Alfonso Castillo Romero</x:v>
      </x:c>
      <x:c r="P101" s="45" t="str">
        <x:v>Ops y Directorio Alsea · octubre 2026</x:v>
      </x:c>
      <x:c r="Q101" s="45" t="str">
        <x:v>Puntos proporcionados</x:v>
      </x:c>
      <x:c r="R101" s="45" t="str">
        <x:v>Abierta</x:v>
      </x:c>
      <x:c r="S101" s="45" t="str"/>
      <x:c r="T101" s="45" t="n">
        <x:f>IF(AND(OR(E101="Abierta",E101="Próxima Apertura"),N101="Sí",ISNUMBER(I101),ISNUMBER(J101),ABS(I101)&lt;=90,ABS(J101)&lt;=180),1,0)</x:f>
        <x:v>1</x:v>
      </x:c>
    </x:row>
    <x:row r="102" ht="23" customHeight="1">
      <x:c r="A102" s="45" t="str">
        <x:v>Centro Sur</x:v>
      </x:c>
      <x:c r="B102" s="45" t="str">
        <x:v>Cesar Alfonso Castillo Romero</x:v>
      </x:c>
      <x:c r="C102" s="50" t="str">
        <x:v>38691</x:v>
      </x:c>
      <x:c r="D102" s="45" t="str">
        <x:v>Patio Revolución</x:v>
      </x:c>
      <x:c r="E102" s="45" t="str">
        <x:v>Abierta</x:v>
      </x:c>
      <x:c r="F102" s="51" t="d">
        <x:v>2016-10-25T00:00:00.000Z</x:v>
      </x:c>
      <x:c r="G102" s="45" t="str">
        <x:v>Álvaro Obregón</x:v>
      </x:c>
      <x:c r="H102" s="45" t="str">
        <x:v>Ciudad De México</x:v>
      </x:c>
      <x:c r="I102" s="52" t="n">
        <x:v>19.3417674</x:v>
      </x:c>
      <x:c r="J102" s="52" t="n">
        <x:v>-99.1914317</x:v>
      </x:c>
      <x:c r="K102" s="45" t="str">
        <x:v>Cafe</x:v>
      </x:c>
      <x:c r="L102" s="45" t="str">
        <x:v>Retail</x:v>
      </x:c>
      <x:c r="M102" s="45" t="str">
        <x:v>C1</x:v>
      </x:c>
      <x:c r="N102" s="45" t="str">
        <x:v>Sí</x:v>
      </x:c>
      <x:c r="O102" s="45" t="str">
        <x:v>Cesar Alfonso Castillo Romero</x:v>
      </x:c>
      <x:c r="P102" s="45" t="str">
        <x:v>Ops y Directorio Alsea · octubre 2026</x:v>
      </x:c>
      <x:c r="Q102" s="45" t="str">
        <x:v>Puntos proporcionados</x:v>
      </x:c>
      <x:c r="R102" s="45" t="str">
        <x:v>Abierta</x:v>
      </x:c>
      <x:c r="S102" s="45" t="str"/>
      <x:c r="T102" s="45" t="n">
        <x:f>IF(AND(OR(E102="Abierta",E102="Próxima Apertura"),N102="Sí",ISNUMBER(I102),ISNUMBER(J102),ABS(I102)&lt;=90,ABS(J102)&lt;=180),1,0)</x:f>
        <x:v>1</x:v>
      </x:c>
    </x:row>
    <x:row r="103" ht="23" customHeight="1">
      <x:c r="A103" s="45" t="str">
        <x:v>Centro Sur</x:v>
      </x:c>
      <x:c r="B103" s="45" t="str">
        <x:v>Cesar Alfonso Castillo Romero</x:v>
      </x:c>
      <x:c r="C103" s="50" t="str">
        <x:v>43159</x:v>
      </x:c>
      <x:c r="D103" s="45" t="str">
        <x:v>Hospital Angeles del Pedregal II</x:v>
      </x:c>
      <x:c r="E103" s="45" t="str">
        <x:v>Abierta</x:v>
      </x:c>
      <x:c r="F103" s="51" t="d">
        <x:v>2025-12-15T00:00:00.000Z</x:v>
      </x:c>
      <x:c r="G103" s="45" t="str">
        <x:v>Magdalena Contreras</x:v>
      </x:c>
      <x:c r="H103" s="45" t="str">
        <x:v>Ciudad De México</x:v>
      </x:c>
      <x:c r="I103" s="52" t="n">
        <x:v>19.3119762</x:v>
      </x:c>
      <x:c r="J103" s="52" t="n">
        <x:v>-99.2214669</x:v>
      </x:c>
      <x:c r="K103" s="45" t="str">
        <x:v>Cafe</x:v>
      </x:c>
      <x:c r="L103" s="45" t="str">
        <x:v>Institution</x:v>
      </x:c>
      <x:c r="M103" s="45" t="str">
        <x:v>C2</x:v>
      </x:c>
      <x:c r="N103" s="45" t="str">
        <x:v>Sí</x:v>
      </x:c>
      <x:c r="O103" s="45" t="str">
        <x:v>Cesar Alfonso Castillo Romero</x:v>
      </x:c>
      <x:c r="P103" s="45" t="str">
        <x:v>Ops y Directorio Alsea · octubre 2026</x:v>
      </x:c>
      <x:c r="Q103" s="45" t="str">
        <x:v>Puntos proporcionados</x:v>
      </x:c>
      <x:c r="R103" s="45" t="str">
        <x:v>Abierta</x:v>
      </x:c>
      <x:c r="S103" s="45" t="str"/>
      <x:c r="T103" s="45" t="n">
        <x:f>IF(AND(OR(E103="Abierta",E103="Próxima Apertura"),N103="Sí",ISNUMBER(I103),ISNUMBER(J103),ABS(I103)&lt;=90,ABS(J103)&lt;=180),1,0)</x:f>
        <x:v>1</x:v>
      </x:c>
    </x:row>
    <x:row r="104" ht="23" customHeight="1">
      <x:c r="A104" s="45" t="str">
        <x:v>Centro Sur</x:v>
      </x:c>
      <x:c r="B104" s="45" t="str">
        <x:v>Fernando Eduardo Verdugo Saldaña</x:v>
      </x:c>
      <x:c r="C104" s="50" t="str">
        <x:v>38114</x:v>
      </x:c>
      <x:c r="D104" s="45" t="str">
        <x:v>Miramontes</x:v>
      </x:c>
      <x:c r="E104" s="45" t="str">
        <x:v>Abierta</x:v>
      </x:c>
      <x:c r="F104" s="51" t="d">
        <x:v>2003-08-08T00:00:00.000Z</x:v>
      </x:c>
      <x:c r="G104" s="45" t="str">
        <x:v>Coyoacán</x:v>
      </x:c>
      <x:c r="H104" s="45" t="str">
        <x:v>Ciudad De México</x:v>
      </x:c>
      <x:c r="I104" s="52" t="n">
        <x:v>19.3097284</x:v>
      </x:c>
      <x:c r="J104" s="52" t="n">
        <x:v>-99.124232</x:v>
      </x:c>
      <x:c r="K104" s="45" t="str">
        <x:v>Cafe</x:v>
      </x:c>
      <x:c r="L104" s="45" t="str">
        <x:v>Retail</x:v>
      </x:c>
      <x:c r="M104" s="45" t="str">
        <x:v>C2</x:v>
      </x:c>
      <x:c r="N104" s="45" t="str">
        <x:v>Sí</x:v>
      </x:c>
      <x:c r="O104" s="45" t="str">
        <x:v>Fernando Eduardo Verdugo Saldaña</x:v>
      </x:c>
      <x:c r="P104" s="45" t="str">
        <x:v>Ops y Directorio Alsea · octubre 2026</x:v>
      </x:c>
      <x:c r="Q104" s="45" t="str">
        <x:v>Puntos proporcionados</x:v>
      </x:c>
      <x:c r="R104" s="45" t="str">
        <x:v>Abierta</x:v>
      </x:c>
      <x:c r="S104" s="45" t="str"/>
      <x:c r="T104" s="45" t="n">
        <x:f>IF(AND(OR(E104="Abierta",E104="Próxima Apertura"),N104="Sí",ISNUMBER(I104),ISNUMBER(J104),ABS(I104)&lt;=90,ABS(J104)&lt;=180),1,0)</x:f>
        <x:v>1</x:v>
      </x:c>
    </x:row>
    <x:row r="105" ht="23" customHeight="1">
      <x:c r="A105" s="45" t="str">
        <x:v>Centro Sur</x:v>
      </x:c>
      <x:c r="B105" s="45" t="str">
        <x:v>Fernando Eduardo Verdugo Saldaña</x:v>
      </x:c>
      <x:c r="C105" s="50" t="str">
        <x:v>38360</x:v>
      </x:c>
      <x:c r="D105" s="45" t="str">
        <x:v>Plaza la Hacienda</x:v>
      </x:c>
      <x:c r="E105" s="45" t="str">
        <x:v>Abierta</x:v>
      </x:c>
      <x:c r="F105" s="51" t="d">
        <x:v>2008-12-22T00:00:00.000Z</x:v>
      </x:c>
      <x:c r="G105" s="45" t="str">
        <x:v>Tlalpan</x:v>
      </x:c>
      <x:c r="H105" s="45" t="str">
        <x:v>Ciudad De México</x:v>
      </x:c>
      <x:c r="I105" s="52" t="n">
        <x:v>19.267232</x:v>
      </x:c>
      <x:c r="J105" s="52" t="n">
        <x:v>-99.108969</x:v>
      </x:c>
      <x:c r="K105" s="45" t="str">
        <x:v>Cafe</x:v>
      </x:c>
      <x:c r="L105" s="45" t="str">
        <x:v>Neighborhood</x:v>
      </x:c>
      <x:c r="M105" s="45" t="str">
        <x:v>C2</x:v>
      </x:c>
      <x:c r="N105" s="45" t="str">
        <x:v>Sí</x:v>
      </x:c>
      <x:c r="O105" s="45" t="str">
        <x:v>Fernando Eduardo Verdugo Saldaña</x:v>
      </x:c>
      <x:c r="P105" s="45" t="str">
        <x:v>Ops y Directorio Alsea · octubre 2026</x:v>
      </x:c>
      <x:c r="Q105" s="45" t="str">
        <x:v>Puntos proporcionados</x:v>
      </x:c>
      <x:c r="R105" s="45" t="str">
        <x:v>Abierta</x:v>
      </x:c>
      <x:c r="S105" s="45" t="str"/>
      <x:c r="T105" s="45" t="n">
        <x:f>IF(AND(OR(E105="Abierta",E105="Próxima Apertura"),N105="Sí",ISNUMBER(I105),ISNUMBER(J105),ABS(I105)&lt;=90,ABS(J105)&lt;=180),1,0)</x:f>
        <x:v>1</x:v>
      </x:c>
    </x:row>
    <x:row r="106" ht="23" customHeight="1">
      <x:c r="A106" s="45" t="str">
        <x:v>Centro Sur</x:v>
      </x:c>
      <x:c r="B106" s="45" t="str">
        <x:v>Fernando Eduardo Verdugo Saldaña</x:v>
      </x:c>
      <x:c r="C106" s="50" t="str">
        <x:v>38367</x:v>
      </x:c>
      <x:c r="D106" s="45" t="str">
        <x:v>CM Coapa</x:v>
      </x:c>
      <x:c r="E106" s="45" t="str">
        <x:v>Abierta</x:v>
      </x:c>
      <x:c r="F106" s="51" t="d">
        <x:v>2009-09-03T00:00:00.000Z</x:v>
      </x:c>
      <x:c r="G106" s="45" t="str">
        <x:v>Tlalpan</x:v>
      </x:c>
      <x:c r="H106" s="45" t="str">
        <x:v>Ciudad De México</x:v>
      </x:c>
      <x:c r="I106" s="52" t="n">
        <x:v>19.285472</x:v>
      </x:c>
      <x:c r="J106" s="52" t="n">
        <x:v>-99.137252</x:v>
      </x:c>
      <x:c r="K106" s="45" t="str">
        <x:v>Cafe</x:v>
      </x:c>
      <x:c r="L106" s="45" t="str">
        <x:v>Retail</x:v>
      </x:c>
      <x:c r="M106" s="45" t="str">
        <x:v>C1</x:v>
      </x:c>
      <x:c r="N106" s="45" t="str">
        <x:v>Sí</x:v>
      </x:c>
      <x:c r="O106" s="45" t="str">
        <x:v>Fernando Eduardo Verdugo Saldaña</x:v>
      </x:c>
      <x:c r="P106" s="45" t="str">
        <x:v>Ops y Directorio Alsea · octubre 2026</x:v>
      </x:c>
      <x:c r="Q106" s="45" t="str">
        <x:v>Puntos proporcionados</x:v>
      </x:c>
      <x:c r="R106" s="45" t="str">
        <x:v>Abierta</x:v>
      </x:c>
      <x:c r="S106" s="45" t="str"/>
      <x:c r="T106" s="45" t="n">
        <x:f>IF(AND(OR(E106="Abierta",E106="Próxima Apertura"),N106="Sí",ISNUMBER(I106),ISNUMBER(J106),ABS(I106)&lt;=90,ABS(J106)&lt;=180),1,0)</x:f>
        <x:v>1</x:v>
      </x:c>
    </x:row>
    <x:row r="107" ht="23" customHeight="1">
      <x:c r="A107" s="45" t="str">
        <x:v>Centro Sur</x:v>
      </x:c>
      <x:c r="B107" s="45" t="str">
        <x:v>Fernando Eduardo Verdugo Saldaña</x:v>
      </x:c>
      <x:c r="C107" s="50" t="str">
        <x:v>38379</x:v>
      </x:c>
      <x:c r="D107" s="45" t="str">
        <x:v>Via Acoxpa</x:v>
      </x:c>
      <x:c r="E107" s="45" t="str">
        <x:v>Abierta</x:v>
      </x:c>
      <x:c r="F107" s="51" t="d">
        <x:v>2010-04-30T00:00:00.000Z</x:v>
      </x:c>
      <x:c r="G107" s="45" t="str">
        <x:v>Tlalpan</x:v>
      </x:c>
      <x:c r="H107" s="45" t="str">
        <x:v>Ciudad De México</x:v>
      </x:c>
      <x:c r="I107" s="52" t="n">
        <x:v>19.299804</x:v>
      </x:c>
      <x:c r="J107" s="52" t="n">
        <x:v>-99.136973</x:v>
      </x:c>
      <x:c r="K107" s="45" t="str">
        <x:v>Cafe</x:v>
      </x:c>
      <x:c r="L107" s="45" t="str">
        <x:v>Retail</x:v>
      </x:c>
      <x:c r="M107" s="45" t="str">
        <x:v>C2</x:v>
      </x:c>
      <x:c r="N107" s="45" t="str">
        <x:v>Sí</x:v>
      </x:c>
      <x:c r="O107" s="45" t="str">
        <x:v>Fernando Eduardo Verdugo Saldaña</x:v>
      </x:c>
      <x:c r="P107" s="45" t="str">
        <x:v>Ops y Directorio Alsea · octubre 2026</x:v>
      </x:c>
      <x:c r="Q107" s="45" t="str">
        <x:v>Puntos proporcionados</x:v>
      </x:c>
      <x:c r="R107" s="45" t="str">
        <x:v>Abierta</x:v>
      </x:c>
      <x:c r="S107" s="45" t="str"/>
      <x:c r="T107" s="45" t="n">
        <x:f>IF(AND(OR(E107="Abierta",E107="Próxima Apertura"),N107="Sí",ISNUMBER(I107),ISNUMBER(J107),ABS(I107)&lt;=90,ABS(J107)&lt;=180),1,0)</x:f>
        <x:v>1</x:v>
      </x:c>
    </x:row>
    <x:row r="108" ht="23" customHeight="1">
      <x:c r="A108" s="45" t="str">
        <x:v>Centro Sur</x:v>
      </x:c>
      <x:c r="B108" s="45" t="str">
        <x:v>Fernando Eduardo Verdugo Saldaña</x:v>
      </x:c>
      <x:c r="C108" s="50" t="str">
        <x:v>38393</x:v>
      </x:c>
      <x:c r="D108" s="45" t="str">
        <x:v>Coapa Chedraui</x:v>
      </x:c>
      <x:c r="E108" s="45" t="str">
        <x:v>Abierta</x:v>
      </x:c>
      <x:c r="F108" s="51" t="d">
        <x:v>2010-11-12T00:00:00.000Z</x:v>
      </x:c>
      <x:c r="G108" s="45" t="str">
        <x:v>Coyoacán</x:v>
      </x:c>
      <x:c r="H108" s="45" t="str">
        <x:v>Ciudad De México</x:v>
      </x:c>
      <x:c r="I108" s="52" t="n">
        <x:v>19.303472</x:v>
      </x:c>
      <x:c r="J108" s="52" t="n">
        <x:v>-99.119045</x:v>
      </x:c>
      <x:c r="K108" s="45" t="str">
        <x:v>Cafe</x:v>
      </x:c>
      <x:c r="L108" s="45" t="str">
        <x:v>Retail</x:v>
      </x:c>
      <x:c r="M108" s="45" t="str">
        <x:v>C2</x:v>
      </x:c>
      <x:c r="N108" s="45" t="str">
        <x:v>Sí</x:v>
      </x:c>
      <x:c r="O108" s="45" t="str">
        <x:v>Fernando Eduardo Verdugo Saldaña</x:v>
      </x:c>
      <x:c r="P108" s="45" t="str">
        <x:v>Ops y Directorio Alsea · octubre 2026</x:v>
      </x:c>
      <x:c r="Q108" s="45" t="str">
        <x:v>Puntos proporcionados</x:v>
      </x:c>
      <x:c r="R108" s="45" t="str">
        <x:v>Abierta</x:v>
      </x:c>
      <x:c r="S108" s="45" t="str"/>
      <x:c r="T108" s="45" t="n">
        <x:f>IF(AND(OR(E108="Abierta",E108="Próxima Apertura"),N108="Sí",ISNUMBER(I108),ISNUMBER(J108),ABS(I108)&lt;=90,ABS(J108)&lt;=180),1,0)</x:f>
        <x:v>1</x:v>
      </x:c>
    </x:row>
    <x:row r="109" ht="23" customHeight="1">
      <x:c r="A109" s="45" t="str">
        <x:v>Centro Sur</x:v>
      </x:c>
      <x:c r="B109" s="45" t="str">
        <x:v>Fernando Eduardo Verdugo Saldaña</x:v>
      </x:c>
      <x:c r="C109" s="50" t="str">
        <x:v>38469</x:v>
      </x:c>
      <x:c r="D109" s="45" t="str">
        <x:v>Galerias Coapa</x:v>
      </x:c>
      <x:c r="E109" s="45" t="str">
        <x:v>Abierta</x:v>
      </x:c>
      <x:c r="F109" s="51" t="d">
        <x:v>2012-10-30T00:00:00.000Z</x:v>
      </x:c>
      <x:c r="G109" s="45" t="str">
        <x:v>Tlalpan</x:v>
      </x:c>
      <x:c r="H109" s="45" t="str">
        <x:v>Ciudad De México</x:v>
      </x:c>
      <x:c r="I109" s="52" t="n">
        <x:v>19.302409</x:v>
      </x:c>
      <x:c r="J109" s="52" t="n">
        <x:v>-99.124315</x:v>
      </x:c>
      <x:c r="K109" s="45" t="str">
        <x:v>Cafe</x:v>
      </x:c>
      <x:c r="L109" s="45" t="str">
        <x:v>Retail</x:v>
      </x:c>
      <x:c r="M109" s="45" t="str">
        <x:v>C2</x:v>
      </x:c>
      <x:c r="N109" s="45" t="str">
        <x:v>Sí</x:v>
      </x:c>
      <x:c r="O109" s="45" t="str">
        <x:v>Fernando Eduardo Verdugo Saldaña</x:v>
      </x:c>
      <x:c r="P109" s="45" t="str">
        <x:v>Ops y Directorio Alsea · octubre 2026</x:v>
      </x:c>
      <x:c r="Q109" s="45" t="str">
        <x:v>Puntos proporcionados</x:v>
      </x:c>
      <x:c r="R109" s="45" t="str">
        <x:v>Abierta</x:v>
      </x:c>
      <x:c r="S109" s="45" t="str"/>
      <x:c r="T109" s="45" t="n">
        <x:f>IF(AND(OR(E109="Abierta",E109="Próxima Apertura"),N109="Sí",ISNUMBER(I109),ISNUMBER(J109),ABS(I109)&lt;=90,ABS(J109)&lt;=180),1,0)</x:f>
        <x:v>1</x:v>
      </x:c>
    </x:row>
    <x:row r="110" ht="23" customHeight="1">
      <x:c r="A110" s="45" t="str">
        <x:v>Centro Sur</x:v>
      </x:c>
      <x:c r="B110" s="45" t="str">
        <x:v>Fernando Eduardo Verdugo Saldaña</x:v>
      </x:c>
      <x:c r="C110" s="50" t="str">
        <x:v>38471</x:v>
      </x:c>
      <x:c r="D110" s="45" t="str">
        <x:v>Angeles Acoxpa</x:v>
      </x:c>
      <x:c r="E110" s="45" t="str">
        <x:v>Abierta</x:v>
      </x:c>
      <x:c r="F110" s="51" t="d">
        <x:v>2013-01-16T00:00:00.000Z</x:v>
      </x:c>
      <x:c r="G110" s="45" t="str">
        <x:v>Tlalpan</x:v>
      </x:c>
      <x:c r="H110" s="45" t="str">
        <x:v>Ciudad De México</x:v>
      </x:c>
      <x:c r="I110" s="52" t="n">
        <x:v>19.2998876</x:v>
      </x:c>
      <x:c r="J110" s="52" t="n">
        <x:v>-99.1355097</x:v>
      </x:c>
      <x:c r="K110" s="45" t="str">
        <x:v>Cafe</x:v>
      </x:c>
      <x:c r="L110" s="45" t="str">
        <x:v>Institution</x:v>
      </x:c>
      <x:c r="M110" s="45" t="str">
        <x:v>C2</x:v>
      </x:c>
      <x:c r="N110" s="45" t="str">
        <x:v>Sí</x:v>
      </x:c>
      <x:c r="O110" s="45" t="str">
        <x:v>Fernando Eduardo Verdugo Saldaña</x:v>
      </x:c>
      <x:c r="P110" s="45" t="str">
        <x:v>Ops y Directorio Alsea · octubre 2026</x:v>
      </x:c>
      <x:c r="Q110" s="45" t="str">
        <x:v>Puntos proporcionados</x:v>
      </x:c>
      <x:c r="R110" s="45" t="str">
        <x:v>Abierta</x:v>
      </x:c>
      <x:c r="S110" s="45" t="str"/>
      <x:c r="T110" s="45" t="n">
        <x:f>IF(AND(OR(E110="Abierta",E110="Próxima Apertura"),N110="Sí",ISNUMBER(I110),ISNUMBER(J110),ABS(I110)&lt;=90,ABS(J110)&lt;=180),1,0)</x:f>
        <x:v>1</x:v>
      </x:c>
    </x:row>
    <x:row r="111" ht="23" customHeight="1">
      <x:c r="A111" s="45" t="str">
        <x:v>Centro Sur</x:v>
      </x:c>
      <x:c r="B111" s="45" t="str">
        <x:v>Fernando Eduardo Verdugo Saldaña</x:v>
      </x:c>
      <x:c r="C111" s="50" t="str">
        <x:v>38472</x:v>
      </x:c>
      <x:c r="D111" s="45" t="str">
        <x:v>Plaza America DT</x:v>
      </x:c>
      <x:c r="E111" s="45" t="str">
        <x:v>Abierta</x:v>
      </x:c>
      <x:c r="F111" s="51" t="d">
        <x:v>2012-11-16T00:00:00.000Z</x:v>
      </x:c>
      <x:c r="G111" s="45" t="str">
        <x:v>Coyoacán</x:v>
      </x:c>
      <x:c r="H111" s="45" t="str">
        <x:v>Ciudad De México</x:v>
      </x:c>
      <x:c r="I111" s="52" t="n">
        <x:v>19.3127328</x:v>
      </x:c>
      <x:c r="J111" s="52" t="n">
        <x:v>-99.1364183</x:v>
      </x:c>
      <x:c r="K111" s="45" t="str">
        <x:v>Drive_Thru</x:v>
      </x:c>
      <x:c r="L111" s="45" t="str">
        <x:v>Transfers</x:v>
      </x:c>
      <x:c r="M111" s="45" t="str">
        <x:v>C2</x:v>
      </x:c>
      <x:c r="N111" s="45" t="str">
        <x:v>Sí</x:v>
      </x:c>
      <x:c r="O111" s="45" t="str">
        <x:v>Fernando Eduardo Verdugo Saldaña</x:v>
      </x:c>
      <x:c r="P111" s="45" t="str">
        <x:v>Ops y Directorio Alsea · octubre 2026</x:v>
      </x:c>
      <x:c r="Q111" s="45" t="str">
        <x:v>Puntos proporcionados</x:v>
      </x:c>
      <x:c r="R111" s="45" t="str">
        <x:v>Abierta</x:v>
      </x:c>
      <x:c r="S111" s="45" t="str"/>
      <x:c r="T111" s="45" t="n">
        <x:f>IF(AND(OR(E111="Abierta",E111="Próxima Apertura"),N111="Sí",ISNUMBER(I111),ISNUMBER(J111),ABS(I111)&lt;=90,ABS(J111)&lt;=180),1,0)</x:f>
        <x:v>1</x:v>
      </x:c>
    </x:row>
    <x:row r="112" ht="23" customHeight="1">
      <x:c r="A112" s="45" t="str">
        <x:v>Centro Sur</x:v>
      </x:c>
      <x:c r="B112" s="45" t="str">
        <x:v>Fernando Eduardo Verdugo Saldaña</x:v>
      </x:c>
      <x:c r="C112" s="50" t="str">
        <x:v>38494</x:v>
      </x:c>
      <x:c r="D112" s="45" t="str">
        <x:v>Pabellon Cuemanco</x:v>
      </x:c>
      <x:c r="E112" s="45" t="str">
        <x:v>Abierta</x:v>
      </x:c>
      <x:c r="F112" s="51" t="d">
        <x:v>2013-06-27T00:00:00.000Z</x:v>
      </x:c>
      <x:c r="G112" s="45" t="str">
        <x:v>Xochimilco</x:v>
      </x:c>
      <x:c r="H112" s="45" t="str">
        <x:v>Ciudad De México</x:v>
      </x:c>
      <x:c r="I112" s="52" t="n">
        <x:v>19.326304</x:v>
      </x:c>
      <x:c r="J112" s="52" t="n">
        <x:v>-99.104581</x:v>
      </x:c>
      <x:c r="K112" s="45" t="str">
        <x:v>Cafe</x:v>
      </x:c>
      <x:c r="L112" s="45" t="str">
        <x:v>Retail</x:v>
      </x:c>
      <x:c r="M112" s="45" t="str">
        <x:v>C2</x:v>
      </x:c>
      <x:c r="N112" s="45" t="str">
        <x:v>Sí</x:v>
      </x:c>
      <x:c r="O112" s="45" t="str">
        <x:v>Fernando Eduardo Verdugo Saldaña</x:v>
      </x:c>
      <x:c r="P112" s="45" t="str">
        <x:v>Ops y Directorio Alsea · octubre 2026</x:v>
      </x:c>
      <x:c r="Q112" s="45" t="str">
        <x:v>Puntos proporcionados</x:v>
      </x:c>
      <x:c r="R112" s="45" t="str">
        <x:v>Abierta</x:v>
      </x:c>
      <x:c r="S112" s="45" t="str"/>
      <x:c r="T112" s="45" t="n">
        <x:f>IF(AND(OR(E112="Abierta",E112="Próxima Apertura"),N112="Sí",ISNUMBER(I112),ISNUMBER(J112),ABS(I112)&lt;=90,ABS(J112)&lt;=180),1,0)</x:f>
        <x:v>1</x:v>
      </x:c>
    </x:row>
    <x:row r="113" ht="23" customHeight="1">
      <x:c r="A113" s="45" t="str">
        <x:v>Centro Sur</x:v>
      </x:c>
      <x:c r="B113" s="45" t="str">
        <x:v>Fernando Eduardo Verdugo Saldaña</x:v>
      </x:c>
      <x:c r="C113" s="50" t="str">
        <x:v>38637</x:v>
      </x:c>
      <x:c r="D113" s="45" t="str">
        <x:v>Tlalpan Nativitas</x:v>
      </x:c>
      <x:c r="E113" s="45" t="str">
        <x:v>Abierta</x:v>
      </x:c>
      <x:c r="F113" s="51" t="d">
        <x:v>2016-01-29T00:00:00.000Z</x:v>
      </x:c>
      <x:c r="G113" s="45" t="str">
        <x:v>Benito Juárez</x:v>
      </x:c>
      <x:c r="H113" s="45" t="str">
        <x:v>Ciudad De México</x:v>
      </x:c>
      <x:c r="I113" s="52" t="n">
        <x:v>19.3801532</x:v>
      </x:c>
      <x:c r="J113" s="52" t="n">
        <x:v>-99.1408364</x:v>
      </x:c>
      <x:c r="K113" s="45" t="str">
        <x:v>Cafe</x:v>
      </x:c>
      <x:c r="L113" s="45" t="str">
        <x:v>Retail</x:v>
      </x:c>
      <x:c r="M113" s="45" t="str">
        <x:v>C2</x:v>
      </x:c>
      <x:c r="N113" s="45" t="str">
        <x:v>Sí</x:v>
      </x:c>
      <x:c r="O113" s="45" t="str">
        <x:v>Fernando Eduardo Verdugo Saldaña</x:v>
      </x:c>
      <x:c r="P113" s="45" t="str">
        <x:v>Ops y Directorio Alsea · octubre 2026</x:v>
      </x:c>
      <x:c r="Q113" s="45" t="str">
        <x:v>Puntos proporcionados</x:v>
      </x:c>
      <x:c r="R113" s="45" t="str">
        <x:v>Abierta</x:v>
      </x:c>
      <x:c r="S113" s="45" t="str"/>
      <x:c r="T113" s="45" t="n">
        <x:f>IF(AND(OR(E113="Abierta",E113="Próxima Apertura"),N113="Sí",ISNUMBER(I113),ISNUMBER(J113),ABS(I113)&lt;=90,ABS(J113)&lt;=180),1,0)</x:f>
        <x:v>1</x:v>
      </x:c>
    </x:row>
    <x:row r="114" ht="23" customHeight="1">
      <x:c r="A114" s="45" t="str">
        <x:v>Centro Sur</x:v>
      </x:c>
      <x:c r="B114" s="45" t="str">
        <x:v>Fernando Eduardo Verdugo Saldaña</x:v>
      </x:c>
      <x:c r="C114" s="50" t="str">
        <x:v>38817</x:v>
      </x:c>
      <x:c r="D114" s="45" t="str">
        <x:v>Tec de Monterrey CCM</x:v>
      </x:c>
      <x:c r="E114" s="45" t="str">
        <x:v>Abierta</x:v>
      </x:c>
      <x:c r="F114" s="51" t="d">
        <x:v>2022-11-18T00:00:00.000Z</x:v>
      </x:c>
      <x:c r="G114" s="45" t="str">
        <x:v>Tlalpan</x:v>
      </x:c>
      <x:c r="H114" s="45" t="str">
        <x:v>Ciudad De México</x:v>
      </x:c>
      <x:c r="I114" s="52" t="n">
        <x:v>19.284686</x:v>
      </x:c>
      <x:c r="J114" s="52" t="n">
        <x:v>-99.134089</x:v>
      </x:c>
      <x:c r="K114" s="45" t="str">
        <x:v>Cafe</x:v>
      </x:c>
      <x:c r="L114" s="45" t="str">
        <x:v>Institution</x:v>
      </x:c>
      <x:c r="M114" s="45" t="str">
        <x:v>C1</x:v>
      </x:c>
      <x:c r="N114" s="45" t="str">
        <x:v>Sí</x:v>
      </x:c>
      <x:c r="O114" s="45" t="str">
        <x:v>Fernando Eduardo Verdugo Saldaña</x:v>
      </x:c>
      <x:c r="P114" s="45" t="str">
        <x:v>Ops y Directorio Alsea · octubre 2026</x:v>
      </x:c>
      <x:c r="Q114" s="45" t="str">
        <x:v>Puntos proporcionados</x:v>
      </x:c>
      <x:c r="R114" s="45" t="str">
        <x:v>Abierta</x:v>
      </x:c>
      <x:c r="S114" s="45" t="str"/>
      <x:c r="T114" s="45" t="n">
        <x:f>IF(AND(OR(E114="Abierta",E114="Próxima Apertura"),N114="Sí",ISNUMBER(I114),ISNUMBER(J114),ABS(I114)&lt;=90,ABS(J114)&lt;=180),1,0)</x:f>
        <x:v>1</x:v>
      </x:c>
    </x:row>
    <x:row r="115" ht="23" customHeight="1">
      <x:c r="A115" s="45" t="str">
        <x:v>Centro Sur</x:v>
      </x:c>
      <x:c r="B115" s="45" t="str">
        <x:v>Fernando Eduardo Verdugo Saldaña</x:v>
      </x:c>
      <x:c r="C115" s="50" t="str">
        <x:v>38964</x:v>
      </x:c>
      <x:c r="D115" s="45" t="str">
        <x:v>Biblioteca Tec</x:v>
      </x:c>
      <x:c r="E115" s="45" t="str">
        <x:v>Abierta</x:v>
      </x:c>
      <x:c r="F115" s="51" t="d">
        <x:v>2023-08-07T00:00:00.000Z</x:v>
      </x:c>
      <x:c r="G115" s="45" t="str">
        <x:v>Tlalpan</x:v>
      </x:c>
      <x:c r="H115" s="45" t="str">
        <x:v>Ciudad De México</x:v>
      </x:c>
      <x:c r="I115" s="52" t="n">
        <x:v>19.2842707</x:v>
      </x:c>
      <x:c r="J115" s="52" t="n">
        <x:v>-99.1351247</x:v>
      </x:c>
      <x:c r="K115" s="45" t="str">
        <x:v>Kiosko</x:v>
      </x:c>
      <x:c r="L115" s="45" t="str">
        <x:v>Institution</x:v>
      </x:c>
      <x:c r="M115" s="45" t="str">
        <x:v>C1</x:v>
      </x:c>
      <x:c r="N115" s="45" t="str">
        <x:v>Sí</x:v>
      </x:c>
      <x:c r="O115" s="45" t="str">
        <x:v>Fernando Eduardo Verdugo Saldaña</x:v>
      </x:c>
      <x:c r="P115" s="45" t="str">
        <x:v>Ops y Directorio Alsea · octubre 2026</x:v>
      </x:c>
      <x:c r="Q115" s="45" t="str">
        <x:v>Puntos proporcionados</x:v>
      </x:c>
      <x:c r="R115" s="45" t="str">
        <x:v>Abierta</x:v>
      </x:c>
      <x:c r="S115" s="45" t="str"/>
      <x:c r="T115" s="45" t="n">
        <x:f>IF(AND(OR(E115="Abierta",E115="Próxima Apertura"),N115="Sí",ISNUMBER(I115),ISNUMBER(J115),ABS(I115)&lt;=90,ABS(J115)&lt;=180),1,0)</x:f>
        <x:v>1</x:v>
      </x:c>
    </x:row>
    <x:row r="116" ht="23" customHeight="1">
      <x:c r="A116" s="45" t="str">
        <x:v>Centro Sur</x:v>
      </x:c>
      <x:c r="B116" s="45" t="str">
        <x:v>Hazar Susim Trejo Hernandez</x:v>
      </x:c>
      <x:c r="C116" s="50" t="str">
        <x:v>38131</x:v>
      </x:c>
      <x:c r="D116" s="45" t="str">
        <x:v>Tepepan</x:v>
      </x:c>
      <x:c r="E116" s="45" t="str">
        <x:v>Abierta</x:v>
      </x:c>
      <x:c r="F116" s="51" t="d">
        <x:v>2004-09-14T00:00:00.000Z</x:v>
      </x:c>
      <x:c r="G116" s="45" t="str">
        <x:v>Tlalpan</x:v>
      </x:c>
      <x:c r="H116" s="45" t="str">
        <x:v>Ciudad De México</x:v>
      </x:c>
      <x:c r="I116" s="52" t="n">
        <x:v>19.28196404</x:v>
      </x:c>
      <x:c r="J116" s="52" t="n">
        <x:v>-99.1432182</x:v>
      </x:c>
      <x:c r="K116" s="45" t="str">
        <x:v>Cafe</x:v>
      </x:c>
      <x:c r="L116" s="45" t="str">
        <x:v>Neighborhood</x:v>
      </x:c>
      <x:c r="M116" s="45" t="str">
        <x:v>C1</x:v>
      </x:c>
      <x:c r="N116" s="45" t="str">
        <x:v>Sí</x:v>
      </x:c>
      <x:c r="O116" s="45" t="str">
        <x:v>Hazar Susim Trejo Hernandez</x:v>
      </x:c>
      <x:c r="P116" s="45" t="str">
        <x:v>Ops y Directorio Alsea · octubre 2026</x:v>
      </x:c>
      <x:c r="Q116" s="45" t="str">
        <x:v>Puntos proporcionados</x:v>
      </x:c>
      <x:c r="R116" s="45" t="str">
        <x:v>Abierta</x:v>
      </x:c>
      <x:c r="S116" s="45" t="str"/>
      <x:c r="T116" s="45" t="n">
        <x:f>IF(AND(OR(E116="Abierta",E116="Próxima Apertura"),N116="Sí",ISNUMBER(I116),ISNUMBER(J116),ABS(I116)&lt;=90,ABS(J116)&lt;=180),1,0)</x:f>
        <x:v>1</x:v>
      </x:c>
    </x:row>
    <x:row r="117" ht="23" customHeight="1">
      <x:c r="A117" s="45" t="str">
        <x:v>Centro Sur</x:v>
      </x:c>
      <x:c r="B117" s="45" t="str">
        <x:v>Hazar Susim Trejo Hernandez</x:v>
      </x:c>
      <x:c r="C117" s="50" t="str">
        <x:v>38172</x:v>
      </x:c>
      <x:c r="D117" s="45" t="str">
        <x:v>Gran Sur</x:v>
      </x:c>
      <x:c r="E117" s="45" t="str">
        <x:v>Abierta</x:v>
      </x:c>
      <x:c r="F117" s="51" t="d">
        <x:v>2005-12-16T00:00:00.000Z</x:v>
      </x:c>
      <x:c r="G117" s="45" t="str">
        <x:v>Coyoacán</x:v>
      </x:c>
      <x:c r="H117" s="45" t="str">
        <x:v>Ciudad De México</x:v>
      </x:c>
      <x:c r="I117" s="52" t="n">
        <x:v>19.306507</x:v>
      </x:c>
      <x:c r="J117" s="52" t="n">
        <x:v>-99.1666232</x:v>
      </x:c>
      <x:c r="K117" s="45" t="str">
        <x:v>Cafe</x:v>
      </x:c>
      <x:c r="L117" s="45" t="str">
        <x:v>Retail</x:v>
      </x:c>
      <x:c r="M117" s="45" t="str">
        <x:v>C1</x:v>
      </x:c>
      <x:c r="N117" s="45" t="str">
        <x:v>Sí</x:v>
      </x:c>
      <x:c r="O117" s="45" t="str">
        <x:v>Hazar Susim Trejo Hernandez</x:v>
      </x:c>
      <x:c r="P117" s="45" t="str">
        <x:v>Ops y Directorio Alsea · octubre 2026</x:v>
      </x:c>
      <x:c r="Q117" s="45" t="str">
        <x:v>Puntos proporcionados</x:v>
      </x:c>
      <x:c r="R117" s="45" t="str">
        <x:v>Abierta</x:v>
      </x:c>
      <x:c r="S117" s="45" t="str"/>
      <x:c r="T117" s="45" t="n">
        <x:f>IF(AND(OR(E117="Abierta",E117="Próxima Apertura"),N117="Sí",ISNUMBER(I117),ISNUMBER(J117),ABS(I117)&lt;=90,ABS(J117)&lt;=180),1,0)</x:f>
        <x:v>1</x:v>
      </x:c>
    </x:row>
    <x:row r="118" ht="23" customHeight="1">
      <x:c r="A118" s="45" t="str">
        <x:v>Centro Sur</x:v>
      </x:c>
      <x:c r="B118" s="45" t="str">
        <x:v>Hazar Susim Trejo Hernandez</x:v>
      </x:c>
      <x:c r="C118" s="50" t="str">
        <x:v>38402</x:v>
      </x:c>
      <x:c r="D118" s="45" t="str">
        <x:v>PeriSur</x:v>
      </x:c>
      <x:c r="E118" s="45" t="str">
        <x:v>Abierta</x:v>
      </x:c>
      <x:c r="F118" s="51" t="d">
        <x:v>2010-12-17T00:00:00.000Z</x:v>
      </x:c>
      <x:c r="G118" s="45" t="str">
        <x:v>Coyoacán</x:v>
      </x:c>
      <x:c r="H118" s="45" t="str">
        <x:v>Ciudad De México</x:v>
      </x:c>
      <x:c r="I118" s="52" t="n">
        <x:v>19.303766</x:v>
      </x:c>
      <x:c r="J118" s="52" t="n">
        <x:v>-99.18876</x:v>
      </x:c>
      <x:c r="K118" s="45" t="str">
        <x:v>Cafe</x:v>
      </x:c>
      <x:c r="L118" s="45" t="str">
        <x:v>Retail</x:v>
      </x:c>
      <x:c r="M118" s="45" t="str">
        <x:v>C2</x:v>
      </x:c>
      <x:c r="N118" s="45" t="str">
        <x:v>Sí</x:v>
      </x:c>
      <x:c r="O118" s="45" t="str">
        <x:v>Hazar Susim Trejo Hernandez</x:v>
      </x:c>
      <x:c r="P118" s="45" t="str">
        <x:v>Ops y Directorio Alsea · octubre 2026</x:v>
      </x:c>
      <x:c r="Q118" s="45" t="str">
        <x:v>Puntos proporcionados</x:v>
      </x:c>
      <x:c r="R118" s="45" t="str">
        <x:v>Abierta</x:v>
      </x:c>
      <x:c r="S118" s="45" t="str"/>
      <x:c r="T118" s="45" t="n">
        <x:f>IF(AND(OR(E118="Abierta",E118="Próxima Apertura"),N118="Sí",ISNUMBER(I118),ISNUMBER(J118),ABS(I118)&lt;=90,ABS(J118)&lt;=180),1,0)</x:f>
        <x:v>1</x:v>
      </x:c>
    </x:row>
    <x:row r="119" ht="23" customHeight="1">
      <x:c r="A119" s="45" t="str">
        <x:v>Centro Sur</x:v>
      </x:c>
      <x:c r="B119" s="45" t="str">
        <x:v>Hazar Susim Trejo Hernandez</x:v>
      </x:c>
      <x:c r="C119" s="50" t="str">
        <x:v>38406</x:v>
      </x:c>
      <x:c r="D119" s="45" t="str">
        <x:v>Medica Sur</x:v>
      </x:c>
      <x:c r="E119" s="45" t="str">
        <x:v>Abierta</x:v>
      </x:c>
      <x:c r="F119" s="51" t="d">
        <x:v>2011-03-25T00:00:00.000Z</x:v>
      </x:c>
      <x:c r="G119" s="45" t="str">
        <x:v>Tlalpan</x:v>
      </x:c>
      <x:c r="H119" s="45" t="str">
        <x:v>Ciudad De México</x:v>
      </x:c>
      <x:c r="I119" s="52" t="n">
        <x:v>19.2973719</x:v>
      </x:c>
      <x:c r="J119" s="52" t="n">
        <x:v>-99.161221</x:v>
      </x:c>
      <x:c r="K119" s="45" t="str">
        <x:v>Cafe</x:v>
      </x:c>
      <x:c r="L119" s="45" t="str">
        <x:v>Institution</x:v>
      </x:c>
      <x:c r="M119" s="45" t="str">
        <x:v>C2</x:v>
      </x:c>
      <x:c r="N119" s="45" t="str">
        <x:v>Sí</x:v>
      </x:c>
      <x:c r="O119" s="45" t="str">
        <x:v>Hazar Susim Trejo Hernandez</x:v>
      </x:c>
      <x:c r="P119" s="45" t="str">
        <x:v>Ops y Directorio Alsea · octubre 2026</x:v>
      </x:c>
      <x:c r="Q119" s="45" t="str">
        <x:v>Puntos proporcionados</x:v>
      </x:c>
      <x:c r="R119" s="45" t="str">
        <x:v>Abierta</x:v>
      </x:c>
      <x:c r="S119" s="45" t="str"/>
      <x:c r="T119" s="45" t="n">
        <x:f>IF(AND(OR(E119="Abierta",E119="Próxima Apertura"),N119="Sí",ISNUMBER(I119),ISNUMBER(J119),ABS(I119)&lt;=90,ABS(J119)&lt;=180),1,0)</x:f>
        <x:v>1</x:v>
      </x:c>
    </x:row>
    <x:row r="120" ht="23" customHeight="1">
      <x:c r="A120" s="45" t="str">
        <x:v>Centro Sur</x:v>
      </x:c>
      <x:c r="B120" s="45" t="str">
        <x:v>Hazar Susim Trejo Hernandez</x:v>
      </x:c>
      <x:c r="C120" s="50" t="str">
        <x:v>38543</x:v>
      </x:c>
      <x:c r="D120" s="45" t="str">
        <x:v>Tlalpan Hospitales</x:v>
      </x:c>
      <x:c r="E120" s="45" t="str">
        <x:v>Abierta</x:v>
      </x:c>
      <x:c r="F120" s="51" t="d">
        <x:v>2014-08-22T00:00:00.000Z</x:v>
      </x:c>
      <x:c r="G120" s="45" t="str">
        <x:v>Coyoacán</x:v>
      </x:c>
      <x:c r="H120" s="45" t="str">
        <x:v>Ciudad De México</x:v>
      </x:c>
      <x:c r="I120" s="52" t="n">
        <x:v>19.2920308</x:v>
      </x:c>
      <x:c r="J120" s="52" t="n">
        <x:v>-99.1600531</x:v>
      </x:c>
      <x:c r="K120" s="45" t="str">
        <x:v>Cafe</x:v>
      </x:c>
      <x:c r="L120" s="45" t="str">
        <x:v>Institution</x:v>
      </x:c>
      <x:c r="M120" s="45" t="str">
        <x:v>C2</x:v>
      </x:c>
      <x:c r="N120" s="45" t="str">
        <x:v>Sí</x:v>
      </x:c>
      <x:c r="O120" s="45" t="str">
        <x:v>Hazar Susim Trejo Hernandez</x:v>
      </x:c>
      <x:c r="P120" s="45" t="str">
        <x:v>Ops y Directorio Alsea · octubre 2026</x:v>
      </x:c>
      <x:c r="Q120" s="45" t="str">
        <x:v>Puntos proporcionados</x:v>
      </x:c>
      <x:c r="R120" s="45" t="str">
        <x:v>Abierta</x:v>
      </x:c>
      <x:c r="S120" s="45" t="str"/>
      <x:c r="T120" s="45" t="n">
        <x:f>IF(AND(OR(E120="Abierta",E120="Próxima Apertura"),N120="Sí",ISNUMBER(I120),ISNUMBER(J120),ABS(I120)&lt;=90,ABS(J120)&lt;=180),1,0)</x:f>
        <x:v>1</x:v>
      </x:c>
    </x:row>
    <x:row r="121" ht="23" customHeight="1">
      <x:c r="A121" s="45" t="str">
        <x:v>Centro Sur</x:v>
      </x:c>
      <x:c r="B121" s="45" t="str">
        <x:v>Hazar Susim Trejo Hernandez</x:v>
      </x:c>
      <x:c r="C121" s="50" t="str">
        <x:v>38560</x:v>
      </x:c>
      <x:c r="D121" s="45" t="str">
        <x:v>Renato Leduc</x:v>
      </x:c>
      <x:c r="E121" s="45" t="str">
        <x:v>Abierta</x:v>
      </x:c>
      <x:c r="F121" s="51" t="d">
        <x:v>2014-11-10T00:00:00.000Z</x:v>
      </x:c>
      <x:c r="G121" s="45" t="str">
        <x:v>Tlalpan</x:v>
      </x:c>
      <x:c r="H121" s="45" t="str">
        <x:v>Ciudad De México</x:v>
      </x:c>
      <x:c r="I121" s="52" t="n">
        <x:v>19.29636</x:v>
      </x:c>
      <x:c r="J121" s="52" t="n">
        <x:v>-99.159277</x:v>
      </x:c>
      <x:c r="K121" s="45" t="str">
        <x:v>Cafe</x:v>
      </x:c>
      <x:c r="L121" s="45" t="str">
        <x:v>Retail</x:v>
      </x:c>
      <x:c r="M121" s="45" t="str">
        <x:v>C1</x:v>
      </x:c>
      <x:c r="N121" s="45" t="str">
        <x:v>Sí</x:v>
      </x:c>
      <x:c r="O121" s="45" t="str">
        <x:v>Hazar Susim Trejo Hernandez</x:v>
      </x:c>
      <x:c r="P121" s="45" t="str">
        <x:v>Ops y Directorio Alsea · octubre 2026</x:v>
      </x:c>
      <x:c r="Q121" s="45" t="str">
        <x:v>Puntos proporcionados</x:v>
      </x:c>
      <x:c r="R121" s="45" t="str">
        <x:v>Abierta</x:v>
      </x:c>
      <x:c r="S121" s="45" t="str"/>
      <x:c r="T121" s="45" t="n">
        <x:f>IF(AND(OR(E121="Abierta",E121="Próxima Apertura"),N121="Sí",ISNUMBER(I121),ISNUMBER(J121),ABS(I121)&lt;=90,ABS(J121)&lt;=180),1,0)</x:f>
        <x:v>1</x:v>
      </x:c>
    </x:row>
    <x:row r="122" ht="23" customHeight="1">
      <x:c r="A122" s="45" t="str">
        <x:v>Centro Sur</x:v>
      </x:c>
      <x:c r="B122" s="45" t="str">
        <x:v>Hazar Susim Trejo Hernandez</x:v>
      </x:c>
      <x:c r="C122" s="50" t="str">
        <x:v>38605</x:v>
      </x:c>
      <x:c r="D122" s="45" t="str">
        <x:v>Plaza Cuicuilco</x:v>
      </x:c>
      <x:c r="E122" s="45" t="str">
        <x:v>Abierta</x:v>
      </x:c>
      <x:c r="F122" s="51" t="d">
        <x:v>2015-09-27T00:00:00.000Z</x:v>
      </x:c>
      <x:c r="G122" s="45" t="str">
        <x:v>Tlalpan</x:v>
      </x:c>
      <x:c r="H122" s="45" t="str">
        <x:v>Ciudad De México</x:v>
      </x:c>
      <x:c r="I122" s="52" t="n">
        <x:v>19.297413</x:v>
      </x:c>
      <x:c r="J122" s="52" t="n">
        <x:v>-99.181425</x:v>
      </x:c>
      <x:c r="K122" s="45" t="str">
        <x:v>Cafe</x:v>
      </x:c>
      <x:c r="L122" s="45" t="str">
        <x:v>Retail</x:v>
      </x:c>
      <x:c r="M122" s="45" t="str">
        <x:v>C2</x:v>
      </x:c>
      <x:c r="N122" s="45" t="str">
        <x:v>Sí</x:v>
      </x:c>
      <x:c r="O122" s="45" t="str">
        <x:v>Hazar Susim Trejo Hernandez</x:v>
      </x:c>
      <x:c r="P122" s="45" t="str">
        <x:v>Ops y Directorio Alsea · octubre 2026</x:v>
      </x:c>
      <x:c r="Q122" s="45" t="str">
        <x:v>Puntos proporcionados</x:v>
      </x:c>
      <x:c r="R122" s="45" t="str">
        <x:v>Abierta</x:v>
      </x:c>
      <x:c r="S122" s="45" t="str"/>
      <x:c r="T122" s="45" t="n">
        <x:f>IF(AND(OR(E122="Abierta",E122="Próxima Apertura"),N122="Sí",ISNUMBER(I122),ISNUMBER(J122),ABS(I122)&lt;=90,ABS(J122)&lt;=180),1,0)</x:f>
        <x:v>1</x:v>
      </x:c>
    </x:row>
    <x:row r="123" ht="23" customHeight="1">
      <x:c r="A123" s="45" t="str">
        <x:v>Centro Sur</x:v>
      </x:c>
      <x:c r="B123" s="45" t="str">
        <x:v>Hazar Susim Trejo Hernandez</x:v>
      </x:c>
      <x:c r="C123" s="50" t="str">
        <x:v>38625</x:v>
      </x:c>
      <x:c r="D123" s="45" t="str">
        <x:v>Tezoquipa</x:v>
      </x:c>
      <x:c r="E123" s="45" t="str">
        <x:v>Abierta</x:v>
      </x:c>
      <x:c r="F123" s="51" t="d">
        <x:v>2015-12-04T00:00:00.000Z</x:v>
      </x:c>
      <x:c r="G123" s="45" t="str">
        <x:v>Tlalpan</x:v>
      </x:c>
      <x:c r="H123" s="45" t="str">
        <x:v>Ciudad De México</x:v>
      </x:c>
      <x:c r="I123" s="52" t="n">
        <x:v>19.282682</x:v>
      </x:c>
      <x:c r="J123" s="52" t="n">
        <x:v>-99.164497</x:v>
      </x:c>
      <x:c r="K123" s="45" t="str">
        <x:v>Drive_Thru</x:v>
      </x:c>
      <x:c r="L123" s="45" t="str">
        <x:v>Transfers</x:v>
      </x:c>
      <x:c r="M123" s="45" t="str">
        <x:v>C1</x:v>
      </x:c>
      <x:c r="N123" s="45" t="str">
        <x:v>Sí</x:v>
      </x:c>
      <x:c r="O123" s="45" t="str">
        <x:v>Hazar Susim Trejo Hernandez</x:v>
      </x:c>
      <x:c r="P123" s="45" t="str">
        <x:v>Ops y Directorio Alsea · octubre 2026</x:v>
      </x:c>
      <x:c r="Q123" s="45" t="str">
        <x:v>Puntos proporcionados</x:v>
      </x:c>
      <x:c r="R123" s="45" t="str">
        <x:v>Abierta</x:v>
      </x:c>
      <x:c r="S123" s="45" t="str"/>
      <x:c r="T123" s="45" t="n">
        <x:f>IF(AND(OR(E123="Abierta",E123="Próxima Apertura"),N123="Sí",ISNUMBER(I123),ISNUMBER(J123),ABS(I123)&lt;=90,ABS(J123)&lt;=180),1,0)</x:f>
        <x:v>1</x:v>
      </x:c>
    </x:row>
    <x:row r="124" ht="23" customHeight="1">
      <x:c r="A124" s="45" t="str">
        <x:v>Centro Sur</x:v>
      </x:c>
      <x:c r="B124" s="45" t="str">
        <x:v>Hazar Susim Trejo Hernandez</x:v>
      </x:c>
      <x:c r="C124" s="50" t="str">
        <x:v>38771</x:v>
      </x:c>
      <x:c r="D124" s="45" t="str">
        <x:v>Medica SurTlalpan</x:v>
      </x:c>
      <x:c r="E124" s="45" t="str">
        <x:v>Cierre Temporal</x:v>
      </x:c>
      <x:c r="F124" s="51" t="d">
        <x:v>2018-01-12T00:00:00.000Z</x:v>
      </x:c>
      <x:c r="G124" s="45" t="str">
        <x:v>Tlalpan</x:v>
      </x:c>
      <x:c r="H124" s="45" t="str">
        <x:v>Ciudad De México</x:v>
      </x:c>
      <x:c r="I124" s="52" t="n">
        <x:v>19.296864</x:v>
      </x:c>
      <x:c r="J124" s="52" t="n">
        <x:v>-99.1612574</x:v>
      </x:c>
      <x:c r="K124" s="45" t="str">
        <x:v>Cafe</x:v>
      </x:c>
      <x:c r="L124" s="45" t="str">
        <x:v>Institution</x:v>
      </x:c>
      <x:c r="M124" s="45" t="str">
        <x:v>C2</x:v>
      </x:c>
      <x:c r="N124" s="45" t="str">
        <x:v>No</x:v>
      </x:c>
      <x:c r="O124" s="45" t="str">
        <x:v>Hazar Susim Trejo Hernandez</x:v>
      </x:c>
      <x:c r="P124" s="45" t="str">
        <x:v>Ops y Directorio Alsea · octubre 2026</x:v>
      </x:c>
      <x:c r="Q124" s="45" t="str">
        <x:v>Puntos proporcionados</x:v>
      </x:c>
      <x:c r="R124" s="45" t="str">
        <x:v>Abierta</x:v>
      </x:c>
      <x:c r="S124" s="45" t="str">
        <x:v>Ops: Cierre Temporal. Alsea: Abierta. Se conserva el estatus operativo más específico.</x:v>
      </x:c>
      <x:c r="T124" s="45" t="n">
        <x:f>IF(AND(OR(E124="Abierta",E124="Próxima Apertura"),N124="Sí",ISNUMBER(I124),ISNUMBER(J124),ABS(I124)&lt;=90,ABS(J124)&lt;=180),1,0)</x:f>
        <x:v>0</x:v>
      </x:c>
    </x:row>
    <x:row r="125" ht="23" customHeight="1">
      <x:c r="A125" s="45" t="str">
        <x:v>Centro Sur</x:v>
      </x:c>
      <x:c r="B125" s="45" t="str">
        <x:v>Hazar Susim Trejo Hernandez</x:v>
      </x:c>
      <x:c r="C125" s="50" t="str">
        <x:v>38784</x:v>
      </x:c>
      <x:c r="D125" s="45" t="str">
        <x:v>Artz Pedregal PB CC</x:v>
      </x:c>
      <x:c r="E125" s="45" t="str">
        <x:v>Abierta</x:v>
      </x:c>
      <x:c r="F125" s="51" t="d">
        <x:v>2018-03-10T00:00:00.000Z</x:v>
      </x:c>
      <x:c r="G125" s="45" t="str">
        <x:v>Álvaro Obregón</x:v>
      </x:c>
      <x:c r="H125" s="45" t="str">
        <x:v>Ciudad De México</x:v>
      </x:c>
      <x:c r="I125" s="52" t="n">
        <x:v>19.3127577</x:v>
      </x:c>
      <x:c r="J125" s="52" t="n">
        <x:v>-99.2189036</x:v>
      </x:c>
      <x:c r="K125" s="45" t="str">
        <x:v>Cafe</x:v>
      </x:c>
      <x:c r="L125" s="45" t="str">
        <x:v>Retail</x:v>
      </x:c>
      <x:c r="M125" s="45" t="str">
        <x:v>C2</x:v>
      </x:c>
      <x:c r="N125" s="45" t="str">
        <x:v>Sí</x:v>
      </x:c>
      <x:c r="O125" s="45" t="str">
        <x:v>Hazar Susim Trejo Hernandez</x:v>
      </x:c>
      <x:c r="P125" s="45" t="str">
        <x:v>Ops y Directorio Alsea · octubre 2026</x:v>
      </x:c>
      <x:c r="Q125" s="45" t="str">
        <x:v>Puntos proporcionados</x:v>
      </x:c>
      <x:c r="R125" s="45" t="str">
        <x:v>Abierta</x:v>
      </x:c>
      <x:c r="S125" s="45" t="str"/>
      <x:c r="T125" s="45" t="n">
        <x:f>IF(AND(OR(E125="Abierta",E125="Próxima Apertura"),N125="Sí",ISNUMBER(I125),ISNUMBER(J125),ABS(I125)&lt;=90,ABS(J125)&lt;=180),1,0)</x:f>
        <x:v>1</x:v>
      </x:c>
    </x:row>
    <x:row r="126" ht="23" customHeight="1">
      <x:c r="A126" s="45" t="str">
        <x:v>Centro Sur</x:v>
      </x:c>
      <x:c r="B126" s="45" t="str">
        <x:v>Hazar Susim Trejo Hernandez</x:v>
      </x:c>
      <x:c r="C126" s="50" t="str">
        <x:v>38791</x:v>
      </x:c>
      <x:c r="D126" s="45" t="str">
        <x:v>Artz Pedregal Reserve</x:v>
      </x:c>
      <x:c r="E126" s="45" t="str">
        <x:v>Abierta</x:v>
      </x:c>
      <x:c r="F126" s="51" t="d">
        <x:v>2018-04-27T00:00:00.000Z</x:v>
      </x:c>
      <x:c r="G126" s="45" t="str">
        <x:v>Álvaro Obregón</x:v>
      </x:c>
      <x:c r="H126" s="45" t="str">
        <x:v>Ciudad De México</x:v>
      </x:c>
      <x:c r="I126" s="52" t="n">
        <x:v>19.313486</x:v>
      </x:c>
      <x:c r="J126" s="52" t="n">
        <x:v>-99.218741</x:v>
      </x:c>
      <x:c r="K126" s="45" t="str">
        <x:v>Reserve</x:v>
      </x:c>
      <x:c r="L126" s="45" t="str">
        <x:v>Retail</x:v>
      </x:c>
      <x:c r="M126" s="45" t="str">
        <x:v>R2</x:v>
      </x:c>
      <x:c r="N126" s="45" t="str">
        <x:v>Sí</x:v>
      </x:c>
      <x:c r="O126" s="45" t="str">
        <x:v>Hazar Susim Trejo Hernandez</x:v>
      </x:c>
      <x:c r="P126" s="45" t="str">
        <x:v>Ops y Directorio Alsea · octubre 2026</x:v>
      </x:c>
      <x:c r="Q126" s="45" t="str">
        <x:v>Puntos proporcionados</x:v>
      </x:c>
      <x:c r="R126" s="45" t="str">
        <x:v>Abierta</x:v>
      </x:c>
      <x:c r="S126" s="45" t="str"/>
      <x:c r="T126" s="45" t="n">
        <x:f>IF(AND(OR(E126="Abierta",E126="Próxima Apertura"),N126="Sí",ISNUMBER(I126),ISNUMBER(J126),ABS(I126)&lt;=90,ABS(J126)&lt;=180),1,0)</x:f>
        <x:v>1</x:v>
      </x:c>
    </x:row>
    <x:row r="127" ht="23" customHeight="1">
      <x:c r="A127" s="45" t="str">
        <x:v>Centro Sur</x:v>
      </x:c>
      <x:c r="B127" s="45" t="str">
        <x:v>Hazar Susim Trejo Hernandez</x:v>
      </x:c>
      <x:c r="C127" s="50" t="str">
        <x:v>38806</x:v>
      </x:c>
      <x:c r="D127" s="45" t="str">
        <x:v>Patio Tlalpan</x:v>
      </x:c>
      <x:c r="E127" s="45" t="str">
        <x:v>Abierta</x:v>
      </x:c>
      <x:c r="F127" s="51" t="d">
        <x:v>2018-05-17T00:00:00.000Z</x:v>
      </x:c>
      <x:c r="G127" s="45" t="str">
        <x:v>Tlalpan</x:v>
      </x:c>
      <x:c r="H127" s="45" t="str">
        <x:v>Ciudad De México</x:v>
      </x:c>
      <x:c r="I127" s="52" t="n">
        <x:v>19.2836894</x:v>
      </x:c>
      <x:c r="J127" s="52" t="n">
        <x:v>-99.1767303</x:v>
      </x:c>
      <x:c r="K127" s="45" t="str">
        <x:v>Kiosko</x:v>
      </x:c>
      <x:c r="L127" s="45" t="str">
        <x:v>Retail</x:v>
      </x:c>
      <x:c r="M127" s="45" t="str">
        <x:v>C1</x:v>
      </x:c>
      <x:c r="N127" s="45" t="str">
        <x:v>Sí</x:v>
      </x:c>
      <x:c r="O127" s="45" t="str">
        <x:v>Hazar Susim Trejo Hernandez</x:v>
      </x:c>
      <x:c r="P127" s="45" t="str">
        <x:v>Ops y Directorio Alsea · octubre 2026</x:v>
      </x:c>
      <x:c r="Q127" s="45" t="str">
        <x:v>Puntos proporcionados</x:v>
      </x:c>
      <x:c r="R127" s="45" t="str">
        <x:v>Abierta</x:v>
      </x:c>
      <x:c r="S127" s="45" t="str"/>
      <x:c r="T127" s="45" t="n">
        <x:f>IF(AND(OR(E127="Abierta",E127="Próxima Apertura"),N127="Sí",ISNUMBER(I127),ISNUMBER(J127),ABS(I127)&lt;=90,ABS(J127)&lt;=180),1,0)</x:f>
        <x:v>1</x:v>
      </x:c>
    </x:row>
    <x:row r="128" ht="23" customHeight="1">
      <x:c r="A128" s="45" t="str">
        <x:v>Centro Sur</x:v>
      </x:c>
      <x:c r="B128" s="45" t="str">
        <x:v>Hazar Susim Trejo Hernandez</x:v>
      </x:c>
      <x:c r="C128" s="50" t="str">
        <x:v>38866</x:v>
      </x:c>
      <x:c r="D128" s="45" t="str">
        <x:v>Perisur Reserve</x:v>
      </x:c>
      <x:c r="E128" s="45" t="str">
        <x:v>Abierta</x:v>
      </x:c>
      <x:c r="F128" s="51" t="d">
        <x:v>2019-11-15T00:00:00.000Z</x:v>
      </x:c>
      <x:c r="G128" s="45" t="str">
        <x:v>Coyoacán</x:v>
      </x:c>
      <x:c r="H128" s="45" t="str">
        <x:v>Ciudad De México</x:v>
      </x:c>
      <x:c r="I128" s="52" t="n">
        <x:v>19.304197</x:v>
      </x:c>
      <x:c r="J128" s="52" t="n">
        <x:v>-99.190137</x:v>
      </x:c>
      <x:c r="K128" s="45" t="str">
        <x:v>Reserve</x:v>
      </x:c>
      <x:c r="L128" s="45" t="str">
        <x:v>Retail</x:v>
      </x:c>
      <x:c r="M128" s="45" t="str">
        <x:v>R2</x:v>
      </x:c>
      <x:c r="N128" s="45" t="str">
        <x:v>Sí</x:v>
      </x:c>
      <x:c r="O128" s="45" t="str">
        <x:v>Hazar Susim Trejo Hernandez</x:v>
      </x:c>
      <x:c r="P128" s="45" t="str">
        <x:v>Ops y Directorio Alsea · octubre 2026</x:v>
      </x:c>
      <x:c r="Q128" s="45" t="str">
        <x:v>Puntos proporcionados</x:v>
      </x:c>
      <x:c r="R128" s="45" t="str">
        <x:v>Abierta</x:v>
      </x:c>
      <x:c r="S128" s="45" t="str"/>
      <x:c r="T128" s="45" t="n">
        <x:f>IF(AND(OR(E128="Abierta",E128="Próxima Apertura"),N128="Sí",ISNUMBER(I128),ISNUMBER(J128),ABS(I128)&lt;=90,ABS(J128)&lt;=180),1,0)</x:f>
        <x:v>1</x:v>
      </x:c>
    </x:row>
    <x:row r="129" ht="23" customHeight="1">
      <x:c r="A129" s="45" t="str">
        <x:v>Centro Sur</x:v>
      </x:c>
      <x:c r="B129" s="45" t="str">
        <x:v>Jaqueline Cortes Ayala</x:v>
      </x:c>
      <x:c r="C129" s="50" t="str">
        <x:v>38113</x:v>
      </x:c>
      <x:c r="D129" s="45" t="str">
        <x:v>Juan Pablo II</x:v>
      </x:c>
      <x:c r="E129" s="45" t="str">
        <x:v>Abierta</x:v>
      </x:c>
      <x:c r="F129" s="51" t="d">
        <x:v>2003-07-31T00:00:00.000Z</x:v>
      </x:c>
      <x:c r="G129" s="45" t="str">
        <x:v>Álvaro Obregón</x:v>
      </x:c>
      <x:c r="H129" s="45" t="str">
        <x:v>Ciudad De México</x:v>
      </x:c>
      <x:c r="I129" s="52" t="n">
        <x:v>19.3591127</x:v>
      </x:c>
      <x:c r="J129" s="52" t="n">
        <x:v>-99.1839991</x:v>
      </x:c>
      <x:c r="K129" s="45" t="str">
        <x:v>Cafe</x:v>
      </x:c>
      <x:c r="L129" s="45" t="str">
        <x:v>Retail</x:v>
      </x:c>
      <x:c r="M129" s="45" t="str">
        <x:v>C1</x:v>
      </x:c>
      <x:c r="N129" s="45" t="str">
        <x:v>Sí</x:v>
      </x:c>
      <x:c r="O129" s="45" t="str">
        <x:v>Jaqueline Cortes Ayala</x:v>
      </x:c>
      <x:c r="P129" s="45" t="str">
        <x:v>Ops y Directorio Alsea · octubre 2026</x:v>
      </x:c>
      <x:c r="Q129" s="45" t="str">
        <x:v>Puntos proporcionados</x:v>
      </x:c>
      <x:c r="R129" s="45" t="str">
        <x:v>Abierta</x:v>
      </x:c>
      <x:c r="S129" s="45" t="str"/>
      <x:c r="T129" s="45" t="n">
        <x:f>IF(AND(OR(E129="Abierta",E129="Próxima Apertura"),N129="Sí",ISNUMBER(I129),ISNUMBER(J129),ABS(I129)&lt;=90,ABS(J129)&lt;=180),1,0)</x:f>
        <x:v>1</x:v>
      </x:c>
    </x:row>
    <x:row r="130" ht="23" customHeight="1">
      <x:c r="A130" s="45" t="str">
        <x:v>Centro Sur</x:v>
      </x:c>
      <x:c r="B130" s="45" t="str">
        <x:v>Jaqueline Cortes Ayala</x:v>
      </x:c>
      <x:c r="C130" s="50" t="str">
        <x:v>38139</x:v>
      </x:c>
      <x:c r="D130" s="45" t="str">
        <x:v>Plaza Inn</x:v>
      </x:c>
      <x:c r="E130" s="45" t="str">
        <x:v>Abierta</x:v>
      </x:c>
      <x:c r="F130" s="51" t="d">
        <x:v>2004-12-17T00:00:00.000Z</x:v>
      </x:c>
      <x:c r="G130" s="45" t="str">
        <x:v>Álvaro Obregón</x:v>
      </x:c>
      <x:c r="H130" s="45" t="str">
        <x:v>Ciudad De México</x:v>
      </x:c>
      <x:c r="I130" s="52" t="n">
        <x:v>19.351986</x:v>
      </x:c>
      <x:c r="J130" s="52" t="n">
        <x:v>-99.186857</x:v>
      </x:c>
      <x:c r="K130" s="45" t="str">
        <x:v>Kiosko</x:v>
      </x:c>
      <x:c r="L130" s="45" t="str">
        <x:v>Retail</x:v>
      </x:c>
      <x:c r="M130" s="45" t="str">
        <x:v>C1</x:v>
      </x:c>
      <x:c r="N130" s="45" t="str">
        <x:v>Sí</x:v>
      </x:c>
      <x:c r="O130" s="45" t="str">
        <x:v>Jaqueline Cortes Ayala</x:v>
      </x:c>
      <x:c r="P130" s="45" t="str">
        <x:v>Ops y Directorio Alsea · octubre 2026</x:v>
      </x:c>
      <x:c r="Q130" s="45" t="str">
        <x:v>Puntos proporcionados</x:v>
      </x:c>
      <x:c r="R130" s="45" t="str">
        <x:v>Abierta</x:v>
      </x:c>
      <x:c r="S130" s="45" t="str"/>
      <x:c r="T130" s="45" t="n">
        <x:f>IF(AND(OR(E130="Abierta",E130="Próxima Apertura"),N130="Sí",ISNUMBER(I130),ISNUMBER(J130),ABS(I130)&lt;=90,ABS(J130)&lt;=180),1,0)</x:f>
        <x:v>1</x:v>
      </x:c>
    </x:row>
    <x:row r="131" ht="23" customHeight="1">
      <x:c r="A131" s="45" t="str">
        <x:v>Centro Sur</x:v>
      </x:c>
      <x:c r="B131" s="45" t="str">
        <x:v>Jaqueline Cortes Ayala</x:v>
      </x:c>
      <x:c r="C131" s="50" t="str">
        <x:v>38152</x:v>
      </x:c>
      <x:c r="D131" s="45" t="str">
        <x:v>Insurgentes Relox</x:v>
      </x:c>
      <x:c r="E131" s="45" t="str">
        <x:v>Abierta</x:v>
      </x:c>
      <x:c r="F131" s="51" t="d">
        <x:v>2005-05-18T00:00:00.000Z</x:v>
      </x:c>
      <x:c r="G131" s="45" t="str">
        <x:v>Álvaro Obregón</x:v>
      </x:c>
      <x:c r="H131" s="45" t="str">
        <x:v>Ciudad De México</x:v>
      </x:c>
      <x:c r="I131" s="52" t="n">
        <x:v>19.340333</x:v>
      </x:c>
      <x:c r="J131" s="52" t="n">
        <x:v>-99.1900151</x:v>
      </x:c>
      <x:c r="K131" s="45" t="str">
        <x:v>Cafe</x:v>
      </x:c>
      <x:c r="L131" s="45" t="str">
        <x:v>Transfers</x:v>
      </x:c>
      <x:c r="M131" s="45" t="str">
        <x:v>C2</x:v>
      </x:c>
      <x:c r="N131" s="45" t="str">
        <x:v>Sí</x:v>
      </x:c>
      <x:c r="O131" s="45" t="str">
        <x:v>Jaqueline Cortes Ayala</x:v>
      </x:c>
      <x:c r="P131" s="45" t="str">
        <x:v>Ops y Directorio Alsea · octubre 2026</x:v>
      </x:c>
      <x:c r="Q131" s="45" t="str">
        <x:v>Puntos proporcionados</x:v>
      </x:c>
      <x:c r="R131" s="45" t="str">
        <x:v>Abierta</x:v>
      </x:c>
      <x:c r="S131" s="45" t="str"/>
      <x:c r="T131" s="45" t="n">
        <x:f>IF(AND(OR(E131="Abierta",E131="Próxima Apertura"),N131="Sí",ISNUMBER(I131),ISNUMBER(J131),ABS(I131)&lt;=90,ABS(J131)&lt;=180),1,0)</x:f>
        <x:v>1</x:v>
      </x:c>
    </x:row>
    <x:row r="132" ht="23" customHeight="1">
      <x:c r="A132" s="45" t="str">
        <x:v>Centro Sur</x:v>
      </x:c>
      <x:c r="B132" s="45" t="str">
        <x:v>Jaqueline Cortes Ayala</x:v>
      </x:c>
      <x:c r="C132" s="50" t="str">
        <x:v>38208</x:v>
      </x:c>
      <x:c r="D132" s="45" t="str">
        <x:v>Miguel Angel de Quevedo II</x:v>
      </x:c>
      <x:c r="E132" s="45" t="str">
        <x:v>Abierta</x:v>
      </x:c>
      <x:c r="F132" s="51" t="d">
        <x:v>2006-12-08T00:00:00.000Z</x:v>
      </x:c>
      <x:c r="G132" s="45" t="str">
        <x:v>Coyoacán</x:v>
      </x:c>
      <x:c r="H132" s="45" t="str">
        <x:v>Ciudad De México</x:v>
      </x:c>
      <x:c r="I132" s="52" t="n">
        <x:v>19.3450366</x:v>
      </x:c>
      <x:c r="J132" s="52" t="n">
        <x:v>-99.1651626</x:v>
      </x:c>
      <x:c r="K132" s="45" t="str">
        <x:v>Cafe</x:v>
      </x:c>
      <x:c r="L132" s="45" t="str">
        <x:v>Retail</x:v>
      </x:c>
      <x:c r="M132" s="45" t="str">
        <x:v>C1</x:v>
      </x:c>
      <x:c r="N132" s="45" t="str">
        <x:v>Sí</x:v>
      </x:c>
      <x:c r="O132" s="45" t="str">
        <x:v>Jaqueline Cortes Ayala</x:v>
      </x:c>
      <x:c r="P132" s="45" t="str">
        <x:v>Ops y Directorio Alsea · octubre 2026</x:v>
      </x:c>
      <x:c r="Q132" s="45" t="str">
        <x:v>Puntos proporcionados</x:v>
      </x:c>
      <x:c r="R132" s="45" t="str">
        <x:v>Abierta</x:v>
      </x:c>
      <x:c r="S132" s="45" t="str"/>
      <x:c r="T132" s="45" t="n">
        <x:f>IF(AND(OR(E132="Abierta",E132="Próxima Apertura"),N132="Sí",ISNUMBER(I132),ISNUMBER(J132),ABS(I132)&lt;=90,ABS(J132)&lt;=180),1,0)</x:f>
        <x:v>1</x:v>
      </x:c>
    </x:row>
    <x:row r="133" ht="23" customHeight="1">
      <x:c r="A133" s="45" t="str">
        <x:v>Centro Sur</x:v>
      </x:c>
      <x:c r="B133" s="45" t="str">
        <x:v>Jaqueline Cortes Ayala</x:v>
      </x:c>
      <x:c r="C133" s="50" t="str">
        <x:v>38239</x:v>
      </x:c>
      <x:c r="D133" s="45" t="str">
        <x:v>Miguel Angel de Quevedo III</x:v>
      </x:c>
      <x:c r="E133" s="45" t="str">
        <x:v>Abierta</x:v>
      </x:c>
      <x:c r="F133" s="51" t="d">
        <x:v>2007-06-30T00:00:00.000Z</x:v>
      </x:c>
      <x:c r="G133" s="45" t="str">
        <x:v>Coyoacán</x:v>
      </x:c>
      <x:c r="H133" s="45" t="str">
        <x:v>Ciudad De México</x:v>
      </x:c>
      <x:c r="I133" s="52" t="n">
        <x:v>19.3459708</x:v>
      </x:c>
      <x:c r="J133" s="52" t="n">
        <x:v>-99.1773033</x:v>
      </x:c>
      <x:c r="K133" s="45" t="str">
        <x:v>Cafe</x:v>
      </x:c>
      <x:c r="L133" s="45" t="str">
        <x:v>Retail</x:v>
      </x:c>
      <x:c r="M133" s="45" t="str">
        <x:v>C1</x:v>
      </x:c>
      <x:c r="N133" s="45" t="str">
        <x:v>Sí</x:v>
      </x:c>
      <x:c r="O133" s="45" t="str">
        <x:v>Jaqueline Cortes Ayala</x:v>
      </x:c>
      <x:c r="P133" s="45" t="str">
        <x:v>Ops y Directorio Alsea · octubre 2026</x:v>
      </x:c>
      <x:c r="Q133" s="45" t="str">
        <x:v>Puntos proporcionados</x:v>
      </x:c>
      <x:c r="R133" s="45" t="str">
        <x:v>Abierta</x:v>
      </x:c>
      <x:c r="S133" s="45" t="str"/>
      <x:c r="T133" s="45" t="n">
        <x:f>IF(AND(OR(E133="Abierta",E133="Próxima Apertura"),N133="Sí",ISNUMBER(I133),ISNUMBER(J133),ABS(I133)&lt;=90,ABS(J133)&lt;=180),1,0)</x:f>
        <x:v>1</x:v>
      </x:c>
    </x:row>
    <x:row r="134" ht="23" customHeight="1">
      <x:c r="A134" s="45" t="str">
        <x:v>Centro Sur</x:v>
      </x:c>
      <x:c r="B134" s="45" t="str">
        <x:v>Jaqueline Cortes Ayala</x:v>
      </x:c>
      <x:c r="C134" s="50" t="str">
        <x:v>38365</x:v>
      </x:c>
      <x:c r="D134" s="45" t="str">
        <x:v>Coyoacan Centro</x:v>
      </x:c>
      <x:c r="E134" s="45" t="str">
        <x:v>Abierta</x:v>
      </x:c>
      <x:c r="F134" s="51" t="d">
        <x:v>2018-09-24T00:00:00.000Z</x:v>
      </x:c>
      <x:c r="G134" s="45" t="str">
        <x:v>Coyoacán</x:v>
      </x:c>
      <x:c r="H134" s="45" t="str">
        <x:v>Ciudad De México</x:v>
      </x:c>
      <x:c r="I134" s="52" t="n">
        <x:v>19.349808</x:v>
      </x:c>
      <x:c r="J134" s="52" t="n">
        <x:v>-99.161726</x:v>
      </x:c>
      <x:c r="K134" s="45" t="str">
        <x:v>Cafe</x:v>
      </x:c>
      <x:c r="L134" s="45" t="str">
        <x:v>Retail</x:v>
      </x:c>
      <x:c r="M134" s="45" t="str">
        <x:v>C2</x:v>
      </x:c>
      <x:c r="N134" s="45" t="str">
        <x:v>Sí</x:v>
      </x:c>
      <x:c r="O134" s="45" t="str">
        <x:v>Jaqueline Cortes Ayala</x:v>
      </x:c>
      <x:c r="P134" s="45" t="str">
        <x:v>Ops y Directorio Alsea · octubre 2026</x:v>
      </x:c>
      <x:c r="Q134" s="45" t="str">
        <x:v>Puntos proporcionados</x:v>
      </x:c>
      <x:c r="R134" s="45" t="str">
        <x:v>Abierta</x:v>
      </x:c>
      <x:c r="S134" s="45" t="str"/>
      <x:c r="T134" s="45" t="n">
        <x:f>IF(AND(OR(E134="Abierta",E134="Próxima Apertura"),N134="Sí",ISNUMBER(I134),ISNUMBER(J134),ABS(I134)&lt;=90,ABS(J134)&lt;=180),1,0)</x:f>
        <x:v>1</x:v>
      </x:c>
    </x:row>
    <x:row r="135" ht="23" customHeight="1">
      <x:c r="A135" s="45" t="str">
        <x:v>Centro Sur</x:v>
      </x:c>
      <x:c r="B135" s="45" t="str">
        <x:v>Jaqueline Cortes Ayala</x:v>
      </x:c>
      <x:c r="C135" s="50" t="str">
        <x:v>38417</x:v>
      </x:c>
      <x:c r="D135" s="45" t="str">
        <x:v>San Jose Insurgentes</x:v>
      </x:c>
      <x:c r="E135" s="45" t="str">
        <x:v>Abierta</x:v>
      </x:c>
      <x:c r="F135" s="51" t="d">
        <x:v>2011-05-19T00:00:00.000Z</x:v>
      </x:c>
      <x:c r="G135" s="45" t="str">
        <x:v>Benito Juárez</x:v>
      </x:c>
      <x:c r="H135" s="45" t="str">
        <x:v>Ciudad De México</x:v>
      </x:c>
      <x:c r="I135" s="52" t="n">
        <x:v>19.364146</x:v>
      </x:c>
      <x:c r="J135" s="52" t="n">
        <x:v>-99.1830025</x:v>
      </x:c>
      <x:c r="K135" s="45" t="str">
        <x:v>Cafe</x:v>
      </x:c>
      <x:c r="L135" s="45" t="str">
        <x:v>Office_Complex</x:v>
      </x:c>
      <x:c r="M135" s="45" t="str">
        <x:v>C2</x:v>
      </x:c>
      <x:c r="N135" s="45" t="str">
        <x:v>Sí</x:v>
      </x:c>
      <x:c r="O135" s="45" t="str">
        <x:v>Jaqueline Cortes Ayala</x:v>
      </x:c>
      <x:c r="P135" s="45" t="str">
        <x:v>Ops y Directorio Alsea · octubre 2026</x:v>
      </x:c>
      <x:c r="Q135" s="45" t="str">
        <x:v>Puntos proporcionados</x:v>
      </x:c>
      <x:c r="R135" s="45" t="str">
        <x:v>Abierta</x:v>
      </x:c>
      <x:c r="S135" s="45" t="str"/>
      <x:c r="T135" s="45" t="n">
        <x:f>IF(AND(OR(E135="Abierta",E135="Próxima Apertura"),N135="Sí",ISNUMBER(I135),ISNUMBER(J135),ABS(I135)&lt;=90,ABS(J135)&lt;=180),1,0)</x:f>
        <x:v>1</x:v>
      </x:c>
    </x:row>
    <x:row r="136" ht="23" customHeight="1">
      <x:c r="A136" s="45" t="str">
        <x:v>Centro Sur</x:v>
      </x:c>
      <x:c r="B136" s="45" t="str">
        <x:v>Jaqueline Cortes Ayala</x:v>
      </x:c>
      <x:c r="C136" s="50" t="str">
        <x:v>38430</x:v>
      </x:c>
      <x:c r="D136" s="45" t="str">
        <x:v>Prisma Insurgentes</x:v>
      </x:c>
      <x:c r="E136" s="45" t="str">
        <x:v>Abierta</x:v>
      </x:c>
      <x:c r="F136" s="51" t="d">
        <x:v>2011-11-28T00:00:00.000Z</x:v>
      </x:c>
      <x:c r="G136" s="45" t="str">
        <x:v>Benito Juárez</x:v>
      </x:c>
      <x:c r="H136" s="45" t="str">
        <x:v>Ciudad De México</x:v>
      </x:c>
      <x:c r="I136" s="52" t="n">
        <x:v>19.3624419</x:v>
      </x:c>
      <x:c r="J136" s="52" t="n">
        <x:v>-99.1831398</x:v>
      </x:c>
      <x:c r="K136" s="45" t="str">
        <x:v>Cafe</x:v>
      </x:c>
      <x:c r="L136" s="45" t="str">
        <x:v>Office_Complex</x:v>
      </x:c>
      <x:c r="M136" s="45" t="str">
        <x:v>C2</x:v>
      </x:c>
      <x:c r="N136" s="45" t="str">
        <x:v>Sí</x:v>
      </x:c>
      <x:c r="O136" s="45" t="str">
        <x:v>Jaqueline Cortes Ayala</x:v>
      </x:c>
      <x:c r="P136" s="45" t="str">
        <x:v>Ops y Directorio Alsea · octubre 2026</x:v>
      </x:c>
      <x:c r="Q136" s="45" t="str">
        <x:v>Puntos proporcionados</x:v>
      </x:c>
      <x:c r="R136" s="45" t="str">
        <x:v>Abierta</x:v>
      </x:c>
      <x:c r="S136" s="45" t="str"/>
      <x:c r="T136" s="45" t="n">
        <x:f>IF(AND(OR(E136="Abierta",E136="Próxima Apertura"),N136="Sí",ISNUMBER(I136),ISNUMBER(J136),ABS(I136)&lt;=90,ABS(J136)&lt;=180),1,0)</x:f>
        <x:v>1</x:v>
      </x:c>
    </x:row>
    <x:row r="137" ht="23" customHeight="1">
      <x:c r="A137" s="45" t="str">
        <x:v>Centro Sur</x:v>
      </x:c>
      <x:c r="B137" s="45" t="str">
        <x:v>Jaqueline Cortes Ayala</x:v>
      </x:c>
      <x:c r="C137" s="50" t="str">
        <x:v>38484</x:v>
      </x:c>
      <x:c r="D137" s="45" t="str">
        <x:v>Gandhi</x:v>
      </x:c>
      <x:c r="E137" s="45" t="str">
        <x:v>Abierta</x:v>
      </x:c>
      <x:c r="F137" s="51" t="d">
        <x:v>2013-03-25T00:00:00.000Z</x:v>
      </x:c>
      <x:c r="G137" s="45" t="str">
        <x:v>Álvaro Obregón</x:v>
      </x:c>
      <x:c r="H137" s="45" t="str">
        <x:v>Ciudad De México</x:v>
      </x:c>
      <x:c r="I137" s="52" t="n">
        <x:v>19.3473211</x:v>
      </x:c>
      <x:c r="J137" s="52" t="n">
        <x:v>-99.1821781</x:v>
      </x:c>
      <x:c r="K137" s="45" t="str">
        <x:v>Cafe</x:v>
      </x:c>
      <x:c r="L137" s="45" t="str">
        <x:v>Retail</x:v>
      </x:c>
      <x:c r="M137" s="45" t="str">
        <x:v>C1</x:v>
      </x:c>
      <x:c r="N137" s="45" t="str">
        <x:v>Sí</x:v>
      </x:c>
      <x:c r="O137" s="45" t="str">
        <x:v>Jaqueline Cortes Ayala</x:v>
      </x:c>
      <x:c r="P137" s="45" t="str">
        <x:v>Ops y Directorio Alsea · octubre 2026</x:v>
      </x:c>
      <x:c r="Q137" s="45" t="str">
        <x:v>Puntos proporcionados</x:v>
      </x:c>
      <x:c r="R137" s="45" t="str">
        <x:v>Abierta</x:v>
      </x:c>
      <x:c r="S137" s="45" t="str"/>
      <x:c r="T137" s="45" t="n">
        <x:f>IF(AND(OR(E137="Abierta",E137="Próxima Apertura"),N137="Sí",ISNUMBER(I137),ISNUMBER(J137),ABS(I137)&lt;=90,ABS(J137)&lt;=180),1,0)</x:f>
        <x:v>1</x:v>
      </x:c>
    </x:row>
    <x:row r="138" ht="23" customHeight="1">
      <x:c r="A138" s="45" t="str">
        <x:v>Centro Sur</x:v>
      </x:c>
      <x:c r="B138" s="45" t="str">
        <x:v>Jaqueline Cortes Ayala</x:v>
      </x:c>
      <x:c r="C138" s="50" t="str">
        <x:v>38585</x:v>
      </x:c>
      <x:c r="D138" s="45" t="str">
        <x:v>Oasis II</x:v>
      </x:c>
      <x:c r="E138" s="45" t="str">
        <x:v>Abierta</x:v>
      </x:c>
      <x:c r="F138" s="51" t="d">
        <x:v>2015-10-15T00:00:00.000Z</x:v>
      </x:c>
      <x:c r="G138" s="45" t="str">
        <x:v>Coyoacán</x:v>
      </x:c>
      <x:c r="H138" s="45" t="str">
        <x:v>Ciudad De México</x:v>
      </x:c>
      <x:c r="I138" s="52" t="n">
        <x:v>19.3447608</x:v>
      </x:c>
      <x:c r="J138" s="52" t="n">
        <x:v>-99.1796021</x:v>
      </x:c>
      <x:c r="K138" s="45" t="str">
        <x:v>Cafe</x:v>
      </x:c>
      <x:c r="L138" s="45" t="str">
        <x:v>Retail</x:v>
      </x:c>
      <x:c r="M138" s="45" t="str">
        <x:v>C1</x:v>
      </x:c>
      <x:c r="N138" s="45" t="str">
        <x:v>Sí</x:v>
      </x:c>
      <x:c r="O138" s="45" t="str">
        <x:v>Jaqueline Cortes Ayala</x:v>
      </x:c>
      <x:c r="P138" s="45" t="str">
        <x:v>Ops y Directorio Alsea · octubre 2026</x:v>
      </x:c>
      <x:c r="Q138" s="45" t="str">
        <x:v>Puntos proporcionados</x:v>
      </x:c>
      <x:c r="R138" s="45" t="str">
        <x:v>Abierta</x:v>
      </x:c>
      <x:c r="S138" s="45" t="str"/>
      <x:c r="T138" s="45" t="n">
        <x:f>IF(AND(OR(E138="Abierta",E138="Próxima Apertura"),N138="Sí",ISNUMBER(I138),ISNUMBER(J138),ABS(I138)&lt;=90,ABS(J138)&lt;=180),1,0)</x:f>
        <x:v>1</x:v>
      </x:c>
    </x:row>
    <x:row r="139" ht="23" customHeight="1">
      <x:c r="A139" s="45" t="str">
        <x:v>Centro Sur</x:v>
      </x:c>
      <x:c r="B139" s="45" t="str">
        <x:v>Jaqueline Cortes Ayala</x:v>
      </x:c>
      <x:c r="C139" s="50" t="str">
        <x:v>38620</x:v>
      </x:c>
      <x:c r="D139" s="45" t="str">
        <x:v>Oasis I</x:v>
      </x:c>
      <x:c r="E139" s="45" t="str">
        <x:v>Abierta</x:v>
      </x:c>
      <x:c r="F139" s="51" t="d">
        <x:v>2015-10-14T00:00:00.000Z</x:v>
      </x:c>
      <x:c r="G139" s="45" t="str">
        <x:v>Coyoacán</x:v>
      </x:c>
      <x:c r="H139" s="45" t="str">
        <x:v>Ciudad De México</x:v>
      </x:c>
      <x:c r="I139" s="52" t="n">
        <x:v>19.3462021</x:v>
      </x:c>
      <x:c r="J139" s="52" t="n">
        <x:v>-99.1786793</x:v>
      </x:c>
      <x:c r="K139" s="45" t="str">
        <x:v>Cafe</x:v>
      </x:c>
      <x:c r="L139" s="45" t="str">
        <x:v>Retail</x:v>
      </x:c>
      <x:c r="M139" s="45" t="str">
        <x:v>C1</x:v>
      </x:c>
      <x:c r="N139" s="45" t="str">
        <x:v>Sí</x:v>
      </x:c>
      <x:c r="O139" s="45" t="str">
        <x:v>Jaqueline Cortes Ayala</x:v>
      </x:c>
      <x:c r="P139" s="45" t="str">
        <x:v>Ops y Directorio Alsea · octubre 2026</x:v>
      </x:c>
      <x:c r="Q139" s="45" t="str">
        <x:v>Puntos proporcionados</x:v>
      </x:c>
      <x:c r="R139" s="45" t="str">
        <x:v>Abierta</x:v>
      </x:c>
      <x:c r="S139" s="45" t="str"/>
      <x:c r="T139" s="45" t="n">
        <x:f>IF(AND(OR(E139="Abierta",E139="Próxima Apertura"),N139="Sí",ISNUMBER(I139),ISNUMBER(J139),ABS(I139)&lt;=90,ABS(J139)&lt;=180),1,0)</x:f>
        <x:v>1</x:v>
      </x:c>
    </x:row>
    <x:row r="140" ht="23" customHeight="1">
      <x:c r="A140" s="45" t="str">
        <x:v>Centro Sur</x:v>
      </x:c>
      <x:c r="B140" s="45" t="str">
        <x:v>Jaqueline Cortes Ayala</x:v>
      </x:c>
      <x:c r="C140" s="50" t="str">
        <x:v>38663</x:v>
      </x:c>
      <x:c r="D140" s="45" t="str">
        <x:v>Copilco 20</x:v>
      </x:c>
      <x:c r="E140" s="45" t="str">
        <x:v>Abierta</x:v>
      </x:c>
      <x:c r="F140" s="51" t="d">
        <x:v>2016-08-20T00:00:00.000Z</x:v>
      </x:c>
      <x:c r="G140" s="45" t="str">
        <x:v>Coyoacán</x:v>
      </x:c>
      <x:c r="H140" s="45" t="str">
        <x:v>Ciudad De México</x:v>
      </x:c>
      <x:c r="I140" s="52" t="n">
        <x:v>19.3352949</x:v>
      </x:c>
      <x:c r="J140" s="52" t="n">
        <x:v>-99.1571752</x:v>
      </x:c>
      <x:c r="K140" s="45" t="str">
        <x:v>Cafe</x:v>
      </x:c>
      <x:c r="L140" s="45" t="str">
        <x:v>Retail</x:v>
      </x:c>
      <x:c r="M140" s="45" t="str">
        <x:v>C1</x:v>
      </x:c>
      <x:c r="N140" s="45" t="str">
        <x:v>Sí</x:v>
      </x:c>
      <x:c r="O140" s="45" t="str">
        <x:v>Jaqueline Cortes Ayala</x:v>
      </x:c>
      <x:c r="P140" s="45" t="str">
        <x:v>Ops y Directorio Alsea · octubre 2026</x:v>
      </x:c>
      <x:c r="Q140" s="45" t="str">
        <x:v>Puntos proporcionados</x:v>
      </x:c>
      <x:c r="R140" s="45" t="str">
        <x:v>Abierta</x:v>
      </x:c>
      <x:c r="S140" s="45" t="str"/>
      <x:c r="T140" s="45" t="n">
        <x:f>IF(AND(OR(E140="Abierta",E140="Próxima Apertura"),N140="Sí",ISNUMBER(I140),ISNUMBER(J140),ABS(I140)&lt;=90,ABS(J140)&lt;=180),1,0)</x:f>
        <x:v>1</x:v>
      </x:c>
    </x:row>
    <x:row r="141" ht="23" customHeight="1">
      <x:c r="A141" s="45" t="str">
        <x:v>Centro Sur</x:v>
      </x:c>
      <x:c r="B141" s="45" t="str">
        <x:v>Jaqueline Cortes Ayala</x:v>
      </x:c>
      <x:c r="C141" s="50" t="str">
        <x:v>43025</x:v>
      </x:c>
      <x:c r="D141" s="45" t="str">
        <x:v>Punto MAQ</x:v>
      </x:c>
      <x:c r="E141" s="45" t="str">
        <x:v>Abierta</x:v>
      </x:c>
      <x:c r="F141" s="51" t="d">
        <x:v>2023-12-21T00:00:00.000Z</x:v>
      </x:c>
      <x:c r="G141" s="45" t="str">
        <x:v>Coyoacán</x:v>
      </x:c>
      <x:c r="H141" s="45" t="str">
        <x:v>Ciudad De México</x:v>
      </x:c>
      <x:c r="I141" s="52" t="n">
        <x:v>19.3428789</x:v>
      </x:c>
      <x:c r="J141" s="52" t="n">
        <x:v>-99.1466019</x:v>
      </x:c>
      <x:c r="K141" s="45" t="str">
        <x:v>Kiosko</x:v>
      </x:c>
      <x:c r="L141" s="45" t="str">
        <x:v>Retail</x:v>
      </x:c>
      <x:c r="M141" s="45" t="str">
        <x:v>C2</x:v>
      </x:c>
      <x:c r="N141" s="45" t="str">
        <x:v>Sí</x:v>
      </x:c>
      <x:c r="O141" s="45" t="str">
        <x:v>Jaqueline Cortes Ayala</x:v>
      </x:c>
      <x:c r="P141" s="45" t="str">
        <x:v>Ops y Directorio Alsea · octubre 2026</x:v>
      </x:c>
      <x:c r="Q141" s="45" t="str">
        <x:v>Puntos proporcionados</x:v>
      </x:c>
      <x:c r="R141" s="45" t="str">
        <x:v>Abierta</x:v>
      </x:c>
      <x:c r="S141" s="45" t="str"/>
      <x:c r="T141" s="45" t="n">
        <x:f>IF(AND(OR(E141="Abierta",E141="Próxima Apertura"),N141="Sí",ISNUMBER(I141),ISNUMBER(J141),ABS(I141)&lt;=90,ABS(J141)&lt;=180),1,0)</x:f>
        <x:v>1</x:v>
      </x:c>
    </x:row>
    <x:row r="142" ht="23" customHeight="1">
      <x:c r="A142" s="45" t="str">
        <x:v>Centro Sur</x:v>
      </x:c>
      <x:c r="B142" s="45" t="str">
        <x:v>Jesus Antonio Elguera Flores</x:v>
      </x:c>
      <x:c r="C142" s="50" t="str">
        <x:v>38502</x:v>
      </x:c>
      <x:c r="D142" s="45" t="str">
        <x:v>San Marcos DT</x:v>
      </x:c>
      <x:c r="E142" s="45" t="str">
        <x:v>Abierta</x:v>
      </x:c>
      <x:c r="F142" s="51" t="d">
        <x:v>2022-12-28T00:00:00.000Z</x:v>
      </x:c>
      <x:c r="G142" s="45" t="str">
        <x:v>Chalco</x:v>
      </x:c>
      <x:c r="H142" s="45" t="str">
        <x:v>Estado De México</x:v>
      </x:c>
      <x:c r="I142" s="52" t="n">
        <x:v>19.3003789</x:v>
      </x:c>
      <x:c r="J142" s="52" t="n">
        <x:v>-98.8537988</x:v>
      </x:c>
      <x:c r="K142" s="45" t="str">
        <x:v>Drive_Thru</x:v>
      </x:c>
      <x:c r="L142" s="45" t="str">
        <x:v>Transfers</x:v>
      </x:c>
      <x:c r="M142" s="45" t="str">
        <x:v>C2</x:v>
      </x:c>
      <x:c r="N142" s="45" t="str">
        <x:v>Sí</x:v>
      </x:c>
      <x:c r="O142" s="45" t="str">
        <x:v>Jesus Antonio Elguera Flores</x:v>
      </x:c>
      <x:c r="P142" s="45" t="str">
        <x:v>Ops y Directorio Alsea · octubre 2026</x:v>
      </x:c>
      <x:c r="Q142" s="45" t="str">
        <x:v>Puntos proporcionados</x:v>
      </x:c>
      <x:c r="R142" s="45" t="str">
        <x:v>Abierta</x:v>
      </x:c>
      <x:c r="S142" s="45" t="str"/>
      <x:c r="T142" s="45" t="n">
        <x:f>IF(AND(OR(E142="Abierta",E142="Próxima Apertura"),N142="Sí",ISNUMBER(I142),ISNUMBER(J142),ABS(I142)&lt;=90,ABS(J142)&lt;=180),1,0)</x:f>
        <x:v>1</x:v>
      </x:c>
    </x:row>
    <x:row r="143" ht="23" customHeight="1">
      <x:c r="A143" s="45" t="str">
        <x:v>Centro Sur</x:v>
      </x:c>
      <x:c r="B143" s="45" t="str">
        <x:v>Jesus Antonio Elguera Flores</x:v>
      </x:c>
      <x:c r="C143" s="50" t="str">
        <x:v>38594</x:v>
      </x:c>
      <x:c r="D143" s="45" t="str">
        <x:v>Carretera Mexico  Puebla</x:v>
      </x:c>
      <x:c r="E143" s="45" t="str">
        <x:v>Abierta</x:v>
      </x:c>
      <x:c r="F143" s="51" t="d">
        <x:v>2015-09-03T00:00:00.000Z</x:v>
      </x:c>
      <x:c r="G143" s="45" t="str">
        <x:v>Ixtapaluca</x:v>
      </x:c>
      <x:c r="H143" s="45" t="str">
        <x:v>Estado De México</x:v>
      </x:c>
      <x:c r="I143" s="52" t="n">
        <x:v>19.2914119</x:v>
      </x:c>
      <x:c r="J143" s="52" t="n">
        <x:v>-98.8995401</x:v>
      </x:c>
      <x:c r="K143" s="45" t="str">
        <x:v>Drive_Thru</x:v>
      </x:c>
      <x:c r="L143" s="45" t="str">
        <x:v>Transfers</x:v>
      </x:c>
      <x:c r="M143" s="45" t="str">
        <x:v>C2</x:v>
      </x:c>
      <x:c r="N143" s="45" t="str">
        <x:v>Sí</x:v>
      </x:c>
      <x:c r="O143" s="45" t="str">
        <x:v>Jesus Antonio Elguera Flores</x:v>
      </x:c>
      <x:c r="P143" s="45" t="str">
        <x:v>Ops y Directorio Alsea · octubre 2026</x:v>
      </x:c>
      <x:c r="Q143" s="45" t="str">
        <x:v>Puntos proporcionados</x:v>
      </x:c>
      <x:c r="R143" s="45" t="str">
        <x:v>Abierta</x:v>
      </x:c>
      <x:c r="S143" s="45" t="str"/>
      <x:c r="T143" s="45" t="n">
        <x:f>IF(AND(OR(E143="Abierta",E143="Próxima Apertura"),N143="Sí",ISNUMBER(I143),ISNUMBER(J143),ABS(I143)&lt;=90,ABS(J143)&lt;=180),1,0)</x:f>
        <x:v>1</x:v>
      </x:c>
    </x:row>
    <x:row r="144" ht="23" customHeight="1">
      <x:c r="A144" s="45" t="str">
        <x:v>Centro Sur</x:v>
      </x:c>
      <x:c r="B144" s="45" t="str">
        <x:v>Jesus Antonio Elguera Flores</x:v>
      </x:c>
      <x:c r="C144" s="50" t="str">
        <x:v>38657</x:v>
      </x:c>
      <x:c r="D144" s="45" t="str">
        <x:v>Patio Lomas Estrella</x:v>
      </x:c>
      <x:c r="E144" s="45" t="str">
        <x:v>Abierta</x:v>
      </x:c>
      <x:c r="F144" s="51" t="d">
        <x:v>2016-07-24T00:00:00.000Z</x:v>
      </x:c>
      <x:c r="G144" s="45" t="str">
        <x:v>Iztapalapa</x:v>
      </x:c>
      <x:c r="H144" s="45" t="str">
        <x:v>Ciudad De México</x:v>
      </x:c>
      <x:c r="I144" s="52" t="n">
        <x:v>19.3216703</x:v>
      </x:c>
      <x:c r="J144" s="52" t="n">
        <x:v>-99.0943079</x:v>
      </x:c>
      <x:c r="K144" s="45" t="str">
        <x:v>Cafe</x:v>
      </x:c>
      <x:c r="L144" s="45" t="str">
        <x:v>Retail</x:v>
      </x:c>
      <x:c r="M144" s="45" t="str">
        <x:v>C1</x:v>
      </x:c>
      <x:c r="N144" s="45" t="str">
        <x:v>Sí</x:v>
      </x:c>
      <x:c r="O144" s="45" t="str">
        <x:v>Jesus Antonio Elguera Flores</x:v>
      </x:c>
      <x:c r="P144" s="45" t="str">
        <x:v>Ops y Directorio Alsea · octubre 2026</x:v>
      </x:c>
      <x:c r="Q144" s="45" t="str">
        <x:v>Puntos proporcionados</x:v>
      </x:c>
      <x:c r="R144" s="45" t="str">
        <x:v>Abierta</x:v>
      </x:c>
      <x:c r="S144" s="45" t="str"/>
      <x:c r="T144" s="45" t="n">
        <x:f>IF(AND(OR(E144="Abierta",E144="Próxima Apertura"),N144="Sí",ISNUMBER(I144),ISNUMBER(J144),ABS(I144)&lt;=90,ABS(J144)&lt;=180),1,0)</x:f>
        <x:v>1</x:v>
      </x:c>
    </x:row>
    <x:row r="145" ht="23" customHeight="1">
      <x:c r="A145" s="45" t="str">
        <x:v>Centro Sur</x:v>
      </x:c>
      <x:c r="B145" s="45" t="str">
        <x:v>Jesus Antonio Elguera Flores</x:v>
      </x:c>
      <x:c r="C145" s="50" t="str">
        <x:v>38659</x:v>
      </x:c>
      <x:c r="D145" s="45" t="str">
        <x:v>Sendero Ixtapaluca</x:v>
      </x:c>
      <x:c r="E145" s="45" t="str">
        <x:v>Abierta</x:v>
      </x:c>
      <x:c r="F145" s="51" t="d">
        <x:v>2016-08-08T00:00:00.000Z</x:v>
      </x:c>
      <x:c r="G145" s="45" t="str">
        <x:v>Ixtapaluca</x:v>
      </x:c>
      <x:c r="H145" s="45" t="str">
        <x:v>Estado De México</x:v>
      </x:c>
      <x:c r="I145" s="52" t="n">
        <x:v>19.2971191</x:v>
      </x:c>
      <x:c r="J145" s="52" t="n">
        <x:v>-98.8812646</x:v>
      </x:c>
      <x:c r="K145" s="45" t="str">
        <x:v>Cafe</x:v>
      </x:c>
      <x:c r="L145" s="45" t="str">
        <x:v>Retail</x:v>
      </x:c>
      <x:c r="M145" s="45" t="str">
        <x:v>C2</x:v>
      </x:c>
      <x:c r="N145" s="45" t="str">
        <x:v>Sí</x:v>
      </x:c>
      <x:c r="O145" s="45" t="str">
        <x:v>Jesus Antonio Elguera Flores</x:v>
      </x:c>
      <x:c r="P145" s="45" t="str">
        <x:v>Ops y Directorio Alsea · octubre 2026</x:v>
      </x:c>
      <x:c r="Q145" s="45" t="str">
        <x:v>Puntos proporcionados</x:v>
      </x:c>
      <x:c r="R145" s="45" t="str">
        <x:v>Abierta</x:v>
      </x:c>
      <x:c r="S145" s="45" t="str"/>
      <x:c r="T145" s="45" t="n">
        <x:f>IF(AND(OR(E145="Abierta",E145="Próxima Apertura"),N145="Sí",ISNUMBER(I145),ISNUMBER(J145),ABS(I145)&lt;=90,ABS(J145)&lt;=180),1,0)</x:f>
        <x:v>1</x:v>
      </x:c>
    </x:row>
    <x:row r="146" ht="23" customHeight="1">
      <x:c r="A146" s="45" t="str">
        <x:v>Centro Sur</x:v>
      </x:c>
      <x:c r="B146" s="45" t="str">
        <x:v>Jesus Antonio Elguera Flores</x:v>
      </x:c>
      <x:c r="C146" s="50" t="str">
        <x:v>38800</x:v>
      </x:c>
      <x:c r="D146" s="45" t="str">
        <x:v>Antenas PA</x:v>
      </x:c>
      <x:c r="E146" s="45" t="str">
        <x:v>Abierta</x:v>
      </x:c>
      <x:c r="F146" s="51" t="d">
        <x:v>2018-06-07T00:00:00.000Z</x:v>
      </x:c>
      <x:c r="G146" s="45" t="str">
        <x:v>Iztapalapa</x:v>
      </x:c>
      <x:c r="H146" s="45" t="str">
        <x:v>Ciudad De México</x:v>
      </x:c>
      <x:c r="I146" s="52" t="n">
        <x:v>19.31365</x:v>
      </x:c>
      <x:c r="J146" s="52" t="n">
        <x:v>-99.075362</x:v>
      </x:c>
      <x:c r="K146" s="45" t="str">
        <x:v>Cafe</x:v>
      </x:c>
      <x:c r="L146" s="45" t="str">
        <x:v>Retail</x:v>
      </x:c>
      <x:c r="M146" s="45" t="str">
        <x:v>C2</x:v>
      </x:c>
      <x:c r="N146" s="45" t="str">
        <x:v>Sí</x:v>
      </x:c>
      <x:c r="O146" s="45" t="str">
        <x:v>Jesus Antonio Elguera Flores</x:v>
      </x:c>
      <x:c r="P146" s="45" t="str">
        <x:v>Ops y Directorio Alsea · octubre 2026</x:v>
      </x:c>
      <x:c r="Q146" s="45" t="str">
        <x:v>Puntos proporcionados</x:v>
      </x:c>
      <x:c r="R146" s="45" t="str">
        <x:v>Abierta</x:v>
      </x:c>
      <x:c r="S146" s="45" t="str"/>
      <x:c r="T146" s="45" t="n">
        <x:f>IF(AND(OR(E146="Abierta",E146="Próxima Apertura"),N146="Sí",ISNUMBER(I146),ISNUMBER(J146),ABS(I146)&lt;=90,ABS(J146)&lt;=180),1,0)</x:f>
        <x:v>1</x:v>
      </x:c>
    </x:row>
    <x:row r="147" ht="23" customHeight="1">
      <x:c r="A147" s="45" t="str">
        <x:v>Centro Sur</x:v>
      </x:c>
      <x:c r="B147" s="45" t="str">
        <x:v>Jesus Antonio Elguera Flores</x:v>
      </x:c>
      <x:c r="C147" s="50" t="str">
        <x:v>38801</x:v>
      </x:c>
      <x:c r="D147" s="45" t="str">
        <x:v>Antenas PB</x:v>
      </x:c>
      <x:c r="E147" s="45" t="str">
        <x:v>Abierta</x:v>
      </x:c>
      <x:c r="F147" s="51" t="d">
        <x:v>2018-06-07T00:00:00.000Z</x:v>
      </x:c>
      <x:c r="G147" s="45" t="str">
        <x:v>Iztapalapa</x:v>
      </x:c>
      <x:c r="H147" s="45" t="str">
        <x:v>Ciudad De México</x:v>
      </x:c>
      <x:c r="I147" s="52" t="n">
        <x:v>19.3136968</x:v>
      </x:c>
      <x:c r="J147" s="52" t="n">
        <x:v>-99.0756838</x:v>
      </x:c>
      <x:c r="K147" s="45" t="str">
        <x:v>Kiosko</x:v>
      </x:c>
      <x:c r="L147" s="45" t="str">
        <x:v>Retail</x:v>
      </x:c>
      <x:c r="M147" s="45" t="str">
        <x:v>C2</x:v>
      </x:c>
      <x:c r="N147" s="45" t="str">
        <x:v>Sí</x:v>
      </x:c>
      <x:c r="O147" s="45" t="str">
        <x:v>Jesus Antonio Elguera Flores</x:v>
      </x:c>
      <x:c r="P147" s="45" t="str">
        <x:v>Ops y Directorio Alsea · octubre 2026</x:v>
      </x:c>
      <x:c r="Q147" s="45" t="str">
        <x:v>Puntos proporcionados</x:v>
      </x:c>
      <x:c r="R147" s="45" t="str">
        <x:v>Abierta</x:v>
      </x:c>
      <x:c r="S147" s="45" t="str"/>
      <x:c r="T147" s="45" t="n">
        <x:f>IF(AND(OR(E147="Abierta",E147="Próxima Apertura"),N147="Sí",ISNUMBER(I147),ISNUMBER(J147),ABS(I147)&lt;=90,ABS(J147)&lt;=180),1,0)</x:f>
        <x:v>1</x:v>
      </x:c>
    </x:row>
    <x:row r="148" ht="23" customHeight="1">
      <x:c r="A148" s="45" t="str">
        <x:v>Centro Sur</x:v>
      </x:c>
      <x:c r="B148" s="45" t="str">
        <x:v>Jesus Antonio Elguera Flores</x:v>
      </x:c>
      <x:c r="C148" s="50" t="str">
        <x:v>38855</x:v>
      </x:c>
      <x:c r="D148" s="45" t="str">
        <x:v>Plaza Zapotitlán DT</x:v>
      </x:c>
      <x:c r="E148" s="45" t="str">
        <x:v>Abierta</x:v>
      </x:c>
      <x:c r="F148" s="51" t="d">
        <x:v>2018-12-21T00:00:00.000Z</x:v>
      </x:c>
      <x:c r="G148" s="45" t="str">
        <x:v>Tlahuac</x:v>
      </x:c>
      <x:c r="H148" s="45" t="str">
        <x:v>Ciudad De México</x:v>
      </x:c>
      <x:c r="I148" s="52" t="n">
        <x:v>19.299734</x:v>
      </x:c>
      <x:c r="J148" s="52" t="n">
        <x:v>-99.042536</x:v>
      </x:c>
      <x:c r="K148" s="45" t="str">
        <x:v>Drive_Thru</x:v>
      </x:c>
      <x:c r="L148" s="45" t="str">
        <x:v>Retail</x:v>
      </x:c>
      <x:c r="M148" s="45" t="str">
        <x:v>C2</x:v>
      </x:c>
      <x:c r="N148" s="45" t="str">
        <x:v>Sí</x:v>
      </x:c>
      <x:c r="O148" s="45" t="str">
        <x:v>Jesus Antonio Elguera Flores</x:v>
      </x:c>
      <x:c r="P148" s="45" t="str">
        <x:v>Ops y Directorio Alsea · octubre 2026</x:v>
      </x:c>
      <x:c r="Q148" s="45" t="str">
        <x:v>Puntos proporcionados</x:v>
      </x:c>
      <x:c r="R148" s="45" t="str">
        <x:v>Abierta</x:v>
      </x:c>
      <x:c r="S148" s="45" t="str"/>
      <x:c r="T148" s="45" t="n">
        <x:f>IF(AND(OR(E148="Abierta",E148="Próxima Apertura"),N148="Sí",ISNUMBER(I148),ISNUMBER(J148),ABS(I148)&lt;=90,ABS(J148)&lt;=180),1,0)</x:f>
        <x:v>1</x:v>
      </x:c>
    </x:row>
    <x:row r="149" ht="23" customHeight="1">
      <x:c r="A149" s="45" t="str">
        <x:v>Centro Sur</x:v>
      </x:c>
      <x:c r="B149" s="45" t="str">
        <x:v>Jesus Antonio Elguera Flores</x:v>
      </x:c>
      <x:c r="C149" s="50" t="str">
        <x:v>43026</x:v>
      </x:c>
      <x:c r="D149" s="45" t="str">
        <x:v>Plaza Ermita</x:v>
      </x:c>
      <x:c r="E149" s="45" t="str">
        <x:v>Abierta</x:v>
      </x:c>
      <x:c r="F149" s="51" t="d">
        <x:v>2023-12-30T00:00:00.000Z</x:v>
      </x:c>
      <x:c r="G149" s="45" t="str">
        <x:v>Iztapalapa</x:v>
      </x:c>
      <x:c r="H149" s="45" t="str">
        <x:v>Ciudad De México</x:v>
      </x:c>
      <x:c r="I149" s="52" t="n">
        <x:v>19.347618</x:v>
      </x:c>
      <x:c r="J149" s="52" t="n">
        <x:v>-99.018528</x:v>
      </x:c>
      <x:c r="K149" s="45" t="str">
        <x:v>Kiosko</x:v>
      </x:c>
      <x:c r="L149" s="45" t="str">
        <x:v>Retail</x:v>
      </x:c>
      <x:c r="M149" s="45" t="str">
        <x:v>C1</x:v>
      </x:c>
      <x:c r="N149" s="45" t="str">
        <x:v>Sí</x:v>
      </x:c>
      <x:c r="O149" s="45" t="str">
        <x:v>Jesus Antonio Elguera Flores</x:v>
      </x:c>
      <x:c r="P149" s="45" t="str">
        <x:v>Ops y Directorio Alsea · octubre 2026</x:v>
      </x:c>
      <x:c r="Q149" s="45" t="str">
        <x:v>Puntos proporcionados</x:v>
      </x:c>
      <x:c r="R149" s="45" t="str">
        <x:v>Abierta</x:v>
      </x:c>
      <x:c r="S149" s="45" t="str"/>
      <x:c r="T149" s="45" t="n">
        <x:f>IF(AND(OR(E149="Abierta",E149="Próxima Apertura"),N149="Sí",ISNUMBER(I149),ISNUMBER(J149),ABS(I149)&lt;=90,ABS(J149)&lt;=180),1,0)</x:f>
        <x:v>1</x:v>
      </x:c>
    </x:row>
    <x:row r="150" ht="23" customHeight="1">
      <x:c r="A150" s="45" t="str">
        <x:v>Centro Sur</x:v>
      </x:c>
      <x:c r="B150" s="45" t="str">
        <x:v>Jesus Antonio Elguera Flores</x:v>
      </x:c>
      <x:c r="C150" s="50" t="str">
        <x:v>43163</x:v>
      </x:c>
      <x:c r="D150" s="45" t="str">
        <x:v>Av. México Ixtapaluca</x:v>
      </x:c>
      <x:c r="E150" s="45" t="str">
        <x:v>Abierta</x:v>
      </x:c>
      <x:c r="F150" s="51" t="d">
        <x:v>2025-12-27T00:00:00.000Z</x:v>
      </x:c>
      <x:c r="G150" s="45" t="str">
        <x:v>Ixtapaluca</x:v>
      </x:c>
      <x:c r="H150" s="45" t="str">
        <x:v>Estado De México</x:v>
      </x:c>
      <x:c r="I150" s="52" t="n">
        <x:v>19.30999</x:v>
      </x:c>
      <x:c r="J150" s="52" t="n">
        <x:v>-98.890266</x:v>
      </x:c>
      <x:c r="K150" s="45" t="str">
        <x:v>Drive_Thru</x:v>
      </x:c>
      <x:c r="L150" s="45" t="str">
        <x:v>Transfers</x:v>
      </x:c>
      <x:c r="M150" s="45" t="str">
        <x:v>C2</x:v>
      </x:c>
      <x:c r="N150" s="45" t="str">
        <x:v>Sí</x:v>
      </x:c>
      <x:c r="O150" s="45" t="str">
        <x:v>Jesus Antonio Elguera Flores</x:v>
      </x:c>
      <x:c r="P150" s="45" t="str">
        <x:v>Ops y Directorio Alsea · octubre 2026</x:v>
      </x:c>
      <x:c r="Q150" s="45" t="str">
        <x:v>Puntos proporcionados</x:v>
      </x:c>
      <x:c r="R150" s="45" t="str">
        <x:v>Abierta</x:v>
      </x:c>
      <x:c r="S150" s="45" t="str"/>
      <x:c r="T150" s="45" t="n">
        <x:f>IF(AND(OR(E150="Abierta",E150="Próxima Apertura"),N150="Sí",ISNUMBER(I150),ISNUMBER(J150),ABS(I150)&lt;=90,ABS(J150)&lt;=180),1,0)</x:f>
        <x:v>1</x:v>
      </x:c>
    </x:row>
    <x:row r="151" ht="23" customHeight="1">
      <x:c r="A151" s="45" t="str">
        <x:v>Centro Sur</x:v>
      </x:c>
      <x:c r="B151" s="45" t="str">
        <x:v>Jesus Antonio Elguera Flores</x:v>
      </x:c>
      <x:c r="C151" s="50" t="str">
        <x:v>43169</x:v>
      </x:c>
      <x:c r="D151" s="45" t="str">
        <x:v>Plaza Tepozán</x:v>
      </x:c>
      <x:c r="E151" s="45" t="str">
        <x:v>Abierta</x:v>
      </x:c>
      <x:c r="F151" s="51" t="d">
        <x:v>2025-08-14T00:00:00.000Z</x:v>
      </x:c>
      <x:c r="G151" s="45" t="str">
        <x:v>La paz</x:v>
      </x:c>
      <x:c r="H151" s="45" t="str">
        <x:v>Estado De México</x:v>
      </x:c>
      <x:c r="I151" s="52" t="n">
        <x:v>19.3632504</x:v>
      </x:c>
      <x:c r="J151" s="52" t="n">
        <x:v>-98.9897963</x:v>
      </x:c>
      <x:c r="K151" s="45" t="str">
        <x:v>Kiosko</x:v>
      </x:c>
      <x:c r="L151" s="45" t="str">
        <x:v>Retail</x:v>
      </x:c>
      <x:c r="M151" s="45" t="str">
        <x:v>C2</x:v>
      </x:c>
      <x:c r="N151" s="45" t="str">
        <x:v>Sí</x:v>
      </x:c>
      <x:c r="O151" s="45" t="str">
        <x:v>Jesus Antonio Elguera Flores</x:v>
      </x:c>
      <x:c r="P151" s="45" t="str">
        <x:v>Ops y Directorio Alsea · octubre 2026</x:v>
      </x:c>
      <x:c r="Q151" s="45" t="str">
        <x:v>Puntos proporcionados</x:v>
      </x:c>
      <x:c r="R151" s="45" t="str">
        <x:v>Abierta</x:v>
      </x:c>
      <x:c r="S151" s="45" t="str"/>
      <x:c r="T151" s="45" t="n">
        <x:f>IF(AND(OR(E151="Abierta",E151="Próxima Apertura"),N151="Sí",ISNUMBER(I151),ISNUMBER(J151),ABS(I151)&lt;=90,ABS(J151)&lt;=180),1,0)</x:f>
        <x:v>1</x:v>
      </x:c>
    </x:row>
    <x:row r="152" ht="23" customHeight="1">
      <x:c r="A152" s="45" t="str">
        <x:v>Centro Sur</x:v>
      </x:c>
      <x:c r="B152" s="45" t="str">
        <x:v>Luis Alberto Quevedo Rodriguez</x:v>
      </x:c>
      <x:c r="C152" s="50" t="str">
        <x:v>38134</x:v>
      </x:c>
      <x:c r="D152" s="45" t="str">
        <x:v>Pilares</x:v>
      </x:c>
      <x:c r="E152" s="45" t="str">
        <x:v>Abierta</x:v>
      </x:c>
      <x:c r="F152" s="51" t="d">
        <x:v>2004-11-19T00:00:00.000Z</x:v>
      </x:c>
      <x:c r="G152" s="45" t="str">
        <x:v>Benito Juárez</x:v>
      </x:c>
      <x:c r="H152" s="45" t="str">
        <x:v>Ciudad De México</x:v>
      </x:c>
      <x:c r="I152" s="52" t="n">
        <x:v>19.376829</x:v>
      </x:c>
      <x:c r="J152" s="52" t="n">
        <x:v>-99.162112</x:v>
      </x:c>
      <x:c r="K152" s="45" t="str">
        <x:v>Drive_Thru</x:v>
      </x:c>
      <x:c r="L152" s="45" t="str">
        <x:v>Retail</x:v>
      </x:c>
      <x:c r="M152" s="45" t="str">
        <x:v>C1</x:v>
      </x:c>
      <x:c r="N152" s="45" t="str">
        <x:v>Sí</x:v>
      </x:c>
      <x:c r="O152" s="45" t="str">
        <x:v>Luis Alberto Quevedo Rodriguez</x:v>
      </x:c>
      <x:c r="P152" s="45" t="str">
        <x:v>Ops y Directorio Alsea · octubre 2026</x:v>
      </x:c>
      <x:c r="Q152" s="45" t="str">
        <x:v>Puntos proporcionados</x:v>
      </x:c>
      <x:c r="R152" s="45" t="str">
        <x:v>Abierta</x:v>
      </x:c>
      <x:c r="S152" s="45" t="str"/>
      <x:c r="T152" s="45" t="n">
        <x:f>IF(AND(OR(E152="Abierta",E152="Próxima Apertura"),N152="Sí",ISNUMBER(I152),ISNUMBER(J152),ABS(I152)&lt;=90,ABS(J152)&lt;=180),1,0)</x:f>
        <x:v>1</x:v>
      </x:c>
    </x:row>
    <x:row r="153" ht="23" customHeight="1">
      <x:c r="A153" s="45" t="str">
        <x:v>Centro Sur</x:v>
      </x:c>
      <x:c r="B153" s="45" t="str">
        <x:v>Luis Alberto Quevedo Rodriguez</x:v>
      </x:c>
      <x:c r="C153" s="50" t="str">
        <x:v>38260</x:v>
      </x:c>
      <x:c r="D153" s="45" t="str">
        <x:v>Tlacoquemecatl</x:v>
      </x:c>
      <x:c r="E153" s="45" t="str">
        <x:v>Abierta</x:v>
      </x:c>
      <x:c r="F153" s="51" t="d">
        <x:v>2007-10-09T00:00:00.000Z</x:v>
      </x:c>
      <x:c r="G153" s="45" t="str">
        <x:v>Benito Juárez</x:v>
      </x:c>
      <x:c r="H153" s="45" t="str">
        <x:v>Ciudad De México</x:v>
      </x:c>
      <x:c r="I153" s="52" t="n">
        <x:v>19.3777265</x:v>
      </x:c>
      <x:c r="J153" s="52" t="n">
        <x:v>-99.1706009</x:v>
      </x:c>
      <x:c r="K153" s="45" t="str">
        <x:v>Cafe</x:v>
      </x:c>
      <x:c r="L153" s="45" t="str">
        <x:v>Neighborhood</x:v>
      </x:c>
      <x:c r="M153" s="45" t="str">
        <x:v>C1</x:v>
      </x:c>
      <x:c r="N153" s="45" t="str">
        <x:v>Sí</x:v>
      </x:c>
      <x:c r="O153" s="45" t="str">
        <x:v>Luis Alberto Quevedo Rodriguez</x:v>
      </x:c>
      <x:c r="P153" s="45" t="str">
        <x:v>Ops y Directorio Alsea · octubre 2026</x:v>
      </x:c>
      <x:c r="Q153" s="45" t="str">
        <x:v>Puntos proporcionados</x:v>
      </x:c>
      <x:c r="R153" s="45" t="str">
        <x:v>Abierta</x:v>
      </x:c>
      <x:c r="S153" s="45" t="str"/>
      <x:c r="T153" s="45" t="n">
        <x:f>IF(AND(OR(E153="Abierta",E153="Próxima Apertura"),N153="Sí",ISNUMBER(I153),ISNUMBER(J153),ABS(I153)&lt;=90,ABS(J153)&lt;=180),1,0)</x:f>
        <x:v>1</x:v>
      </x:c>
    </x:row>
    <x:row r="154" ht="23" customHeight="1">
      <x:c r="A154" s="45" t="str">
        <x:v>Centro Sur</x:v>
      </x:c>
      <x:c r="B154" s="45" t="str">
        <x:v>Luis Alberto Quevedo Rodriguez</x:v>
      </x:c>
      <x:c r="C154" s="50" t="str">
        <x:v>38340</x:v>
      </x:c>
      <x:c r="D154" s="45" t="str">
        <x:v>Division del Norte</x:v>
      </x:c>
      <x:c r="E154" s="45" t="str">
        <x:v>Abierta</x:v>
      </x:c>
      <x:c r="F154" s="51" t="d">
        <x:v>2008-09-28T00:00:00.000Z</x:v>
      </x:c>
      <x:c r="G154" s="45" t="str">
        <x:v>Coyoacán</x:v>
      </x:c>
      <x:c r="H154" s="45" t="str">
        <x:v>Ciudad De México</x:v>
      </x:c>
      <x:c r="I154" s="52" t="n">
        <x:v>19.3540504</x:v>
      </x:c>
      <x:c r="J154" s="52" t="n">
        <x:v>-99.1518575</x:v>
      </x:c>
      <x:c r="K154" s="45" t="str">
        <x:v>Cafe</x:v>
      </x:c>
      <x:c r="L154" s="45" t="str">
        <x:v>Neighborhood</x:v>
      </x:c>
      <x:c r="M154" s="45" t="str">
        <x:v>C1</x:v>
      </x:c>
      <x:c r="N154" s="45" t="str">
        <x:v>Sí</x:v>
      </x:c>
      <x:c r="O154" s="45" t="str">
        <x:v>Luis Alberto Quevedo Rodriguez</x:v>
      </x:c>
      <x:c r="P154" s="45" t="str">
        <x:v>Ops y Directorio Alsea · octubre 2026</x:v>
      </x:c>
      <x:c r="Q154" s="45" t="str">
        <x:v>Puntos proporcionados</x:v>
      </x:c>
      <x:c r="R154" s="45" t="str">
        <x:v>Abierta</x:v>
      </x:c>
      <x:c r="S154" s="45" t="str"/>
      <x:c r="T154" s="45" t="n">
        <x:f>IF(AND(OR(E154="Abierta",E154="Próxima Apertura"),N154="Sí",ISNUMBER(I154),ISNUMBER(J154),ABS(I154)&lt;=90,ABS(J154)&lt;=180),1,0)</x:f>
        <x:v>1</x:v>
      </x:c>
    </x:row>
    <x:row r="155" ht="23" customHeight="1">
      <x:c r="A155" s="45" t="str">
        <x:v>Centro Sur</x:v>
      </x:c>
      <x:c r="B155" s="45" t="str">
        <x:v>Luis Alberto Quevedo Rodriguez</x:v>
      </x:c>
      <x:c r="C155" s="50" t="str">
        <x:v>38464</x:v>
      </x:c>
      <x:c r="D155" s="45" t="str">
        <x:v>Corporativo Coyoacan</x:v>
      </x:c>
      <x:c r="E155" s="45" t="str">
        <x:v>Abierta</x:v>
      </x:c>
      <x:c r="F155" s="51" t="d">
        <x:v>2012-09-27T00:00:00.000Z</x:v>
      </x:c>
      <x:c r="G155" s="45" t="str">
        <x:v>Benito Juárez</x:v>
      </x:c>
      <x:c r="H155" s="45" t="str">
        <x:v>Ciudad De México</x:v>
      </x:c>
      <x:c r="I155" s="52" t="n">
        <x:v>19.3655787</x:v>
      </x:c>
      <x:c r="J155" s="52" t="n">
        <x:v>-99.172227</x:v>
      </x:c>
      <x:c r="K155" s="45" t="str">
        <x:v>Cafe</x:v>
      </x:c>
      <x:c r="L155" s="45" t="str">
        <x:v>Office_Complex</x:v>
      </x:c>
      <x:c r="M155" s="45" t="str">
        <x:v>C2</x:v>
      </x:c>
      <x:c r="N155" s="45" t="str">
        <x:v>Sí</x:v>
      </x:c>
      <x:c r="O155" s="45" t="str">
        <x:v>Luis Alberto Quevedo Rodriguez</x:v>
      </x:c>
      <x:c r="P155" s="45" t="str">
        <x:v>Ops y Directorio Alsea · octubre 2026</x:v>
      </x:c>
      <x:c r="Q155" s="45" t="str">
        <x:v>Puntos proporcionados</x:v>
      </x:c>
      <x:c r="R155" s="45" t="str">
        <x:v>Abierta</x:v>
      </x:c>
      <x:c r="S155" s="45" t="str"/>
      <x:c r="T155" s="45" t="n">
        <x:f>IF(AND(OR(E155="Abierta",E155="Próxima Apertura"),N155="Sí",ISNUMBER(I155),ISNUMBER(J155),ABS(I155)&lt;=90,ABS(J155)&lt;=180),1,0)</x:f>
        <x:v>1</x:v>
      </x:c>
    </x:row>
    <x:row r="156" ht="23" customHeight="1">
      <x:c r="A156" s="45" t="str">
        <x:v>Centro Sur</x:v>
      </x:c>
      <x:c r="B156" s="45" t="str">
        <x:v>Luis Alberto Quevedo Rodriguez</x:v>
      </x:c>
      <x:c r="C156" s="50" t="str">
        <x:v>38482</x:v>
      </x:c>
      <x:c r="D156" s="45" t="str">
        <x:v>Pestalozzi</x:v>
      </x:c>
      <x:c r="E156" s="45" t="str">
        <x:v>Abierta</x:v>
      </x:c>
      <x:c r="F156" s="51" t="d">
        <x:v>2013-03-21T00:00:00.000Z</x:v>
      </x:c>
      <x:c r="G156" s="45" t="str">
        <x:v>Benito Juárez</x:v>
      </x:c>
      <x:c r="H156" s="45" t="str">
        <x:v>Ciudad De México</x:v>
      </x:c>
      <x:c r="I156" s="52" t="n">
        <x:v>19.3794077</x:v>
      </x:c>
      <x:c r="J156" s="52" t="n">
        <x:v>-99.1611832</x:v>
      </x:c>
      <x:c r="K156" s="45" t="str">
        <x:v>Cafe</x:v>
      </x:c>
      <x:c r="L156" s="45" t="str">
        <x:v>Neighborhood</x:v>
      </x:c>
      <x:c r="M156" s="45" t="str">
        <x:v>C1</x:v>
      </x:c>
      <x:c r="N156" s="45" t="str">
        <x:v>Sí</x:v>
      </x:c>
      <x:c r="O156" s="45" t="str">
        <x:v>Luis Alberto Quevedo Rodriguez</x:v>
      </x:c>
      <x:c r="P156" s="45" t="str">
        <x:v>Ops y Directorio Alsea · octubre 2026</x:v>
      </x:c>
      <x:c r="Q156" s="45" t="str">
        <x:v>Puntos proporcionados</x:v>
      </x:c>
      <x:c r="R156" s="45" t="str">
        <x:v>Abierta</x:v>
      </x:c>
      <x:c r="S156" s="45" t="str"/>
      <x:c r="T156" s="45" t="n">
        <x:f>IF(AND(OR(E156="Abierta",E156="Próxima Apertura"),N156="Sí",ISNUMBER(I156),ISNUMBER(J156),ABS(I156)&lt;=90,ABS(J156)&lt;=180),1,0)</x:f>
        <x:v>1</x:v>
      </x:c>
    </x:row>
    <x:row r="157" ht="23" customHeight="1">
      <x:c r="A157" s="45" t="str">
        <x:v>Centro Sur</x:v>
      </x:c>
      <x:c r="B157" s="45" t="str">
        <x:v>Luis Alberto Quevedo Rodriguez</x:v>
      </x:c>
      <x:c r="C157" s="50" t="str">
        <x:v>38501</x:v>
      </x:c>
      <x:c r="D157" s="45" t="str">
        <x:v>Patio Universidad</x:v>
      </x:c>
      <x:c r="E157" s="45" t="str">
        <x:v>Abierta</x:v>
      </x:c>
      <x:c r="F157" s="51" t="d">
        <x:v>2013-08-05T00:00:00.000Z</x:v>
      </x:c>
      <x:c r="G157" s="45" t="str">
        <x:v>Benito Juárez</x:v>
      </x:c>
      <x:c r="H157" s="45" t="str">
        <x:v>Ciudad De México</x:v>
      </x:c>
      <x:c r="I157" s="52" t="n">
        <x:v>19.365887</x:v>
      </x:c>
      <x:c r="J157" s="52" t="n">
        <x:v>-99.167724</x:v>
      </x:c>
      <x:c r="K157" s="45" t="str">
        <x:v>Cafe</x:v>
      </x:c>
      <x:c r="L157" s="45" t="str">
        <x:v>Retail</x:v>
      </x:c>
      <x:c r="M157" s="45" t="str">
        <x:v>C1</x:v>
      </x:c>
      <x:c r="N157" s="45" t="str">
        <x:v>Sí</x:v>
      </x:c>
      <x:c r="O157" s="45" t="str">
        <x:v>Luis Alberto Quevedo Rodriguez</x:v>
      </x:c>
      <x:c r="P157" s="45" t="str">
        <x:v>Ops y Directorio Alsea · octubre 2026</x:v>
      </x:c>
      <x:c r="Q157" s="45" t="str">
        <x:v>Puntos proporcionados</x:v>
      </x:c>
      <x:c r="R157" s="45" t="str">
        <x:v>Abierta</x:v>
      </x:c>
      <x:c r="S157" s="45" t="str"/>
      <x:c r="T157" s="45" t="n">
        <x:f>IF(AND(OR(E157="Abierta",E157="Próxima Apertura"),N157="Sí",ISNUMBER(I157),ISNUMBER(J157),ABS(I157)&lt;=90,ABS(J157)&lt;=180),1,0)</x:f>
        <x:v>1</x:v>
      </x:c>
    </x:row>
    <x:row r="158" ht="23" customHeight="1">
      <x:c r="A158" s="45" t="str">
        <x:v>Centro Sur</x:v>
      </x:c>
      <x:c r="B158" s="45" t="str">
        <x:v>Luis Alberto Quevedo Rodriguez</x:v>
      </x:c>
      <x:c r="C158" s="50" t="str">
        <x:v>38513</x:v>
      </x:c>
      <x:c r="D158" s="45" t="str">
        <x:v>San Lorenzo</x:v>
      </x:c>
      <x:c r="E158" s="45" t="str">
        <x:v>Abierta</x:v>
      </x:c>
      <x:c r="F158" s="51" t="d">
        <x:v>2013-09-26T00:00:00.000Z</x:v>
      </x:c>
      <x:c r="G158" s="45" t="str">
        <x:v>Benito Juárez</x:v>
      </x:c>
      <x:c r="H158" s="45" t="str">
        <x:v>Ciudad De México</x:v>
      </x:c>
      <x:c r="I158" s="52" t="n">
        <x:v>19.375599</x:v>
      </x:c>
      <x:c r="J158" s="52" t="n">
        <x:v>-99.177831</x:v>
      </x:c>
      <x:c r="K158" s="45" t="str">
        <x:v>Cafe</x:v>
      </x:c>
      <x:c r="L158" s="45" t="str">
        <x:v>Neighborhood</x:v>
      </x:c>
      <x:c r="M158" s="45" t="str">
        <x:v>C1</x:v>
      </x:c>
      <x:c r="N158" s="45" t="str">
        <x:v>Sí</x:v>
      </x:c>
      <x:c r="O158" s="45" t="str">
        <x:v>Luis Alberto Quevedo Rodriguez</x:v>
      </x:c>
      <x:c r="P158" s="45" t="str">
        <x:v>Ops y Directorio Alsea · octubre 2026</x:v>
      </x:c>
      <x:c r="Q158" s="45" t="str">
        <x:v>Puntos proporcionados</x:v>
      </x:c>
      <x:c r="R158" s="45" t="str">
        <x:v>Abierta</x:v>
      </x:c>
      <x:c r="S158" s="45" t="str"/>
      <x:c r="T158" s="45" t="n">
        <x:f>IF(AND(OR(E158="Abierta",E158="Próxima Apertura"),N158="Sí",ISNUMBER(I158),ISNUMBER(J158),ABS(I158)&lt;=90,ABS(J158)&lt;=180),1,0)</x:f>
        <x:v>1</x:v>
      </x:c>
    </x:row>
    <x:row r="159" ht="23" customHeight="1">
      <x:c r="A159" s="45" t="str">
        <x:v>Centro Sur</x:v>
      </x:c>
      <x:c r="B159" s="45" t="str">
        <x:v>Luis Alberto Quevedo Rodriguez</x:v>
      </x:c>
      <x:c r="C159" s="50" t="str">
        <x:v>38526</x:v>
      </x:c>
      <x:c r="D159" s="45" t="str">
        <x:v>City Shops Del Valle</x:v>
      </x:c>
      <x:c r="E159" s="45" t="str">
        <x:v>Abierta</x:v>
      </x:c>
      <x:c r="F159" s="51" t="d">
        <x:v>2013-12-12T00:00:00.000Z</x:v>
      </x:c>
      <x:c r="G159" s="45" t="str">
        <x:v>Benito Juárez</x:v>
      </x:c>
      <x:c r="H159" s="45" t="str">
        <x:v>Ciudad De México</x:v>
      </x:c>
      <x:c r="I159" s="52" t="n">
        <x:v>19.3728374</x:v>
      </x:c>
      <x:c r="J159" s="52" t="n">
        <x:v>-99.1731003</x:v>
      </x:c>
      <x:c r="K159" s="45" t="str">
        <x:v>Cafe</x:v>
      </x:c>
      <x:c r="L159" s="45" t="str">
        <x:v>Retail</x:v>
      </x:c>
      <x:c r="M159" s="45" t="str">
        <x:v>C1</x:v>
      </x:c>
      <x:c r="N159" s="45" t="str">
        <x:v>Sí</x:v>
      </x:c>
      <x:c r="O159" s="45" t="str">
        <x:v>Luis Alberto Quevedo Rodriguez</x:v>
      </x:c>
      <x:c r="P159" s="45" t="str">
        <x:v>Ops y Directorio Alsea · octubre 2026</x:v>
      </x:c>
      <x:c r="Q159" s="45" t="str">
        <x:v>Puntos proporcionados</x:v>
      </x:c>
      <x:c r="R159" s="45" t="str">
        <x:v>Abierta</x:v>
      </x:c>
      <x:c r="S159" s="45" t="str"/>
      <x:c r="T159" s="45" t="n">
        <x:f>IF(AND(OR(E159="Abierta",E159="Próxima Apertura"),N159="Sí",ISNUMBER(I159),ISNUMBER(J159),ABS(I159)&lt;=90,ABS(J159)&lt;=180),1,0)</x:f>
        <x:v>1</x:v>
      </x:c>
    </x:row>
    <x:row r="160" ht="23" customHeight="1">
      <x:c r="A160" s="45" t="str">
        <x:v>Centro Sur</x:v>
      </x:c>
      <x:c r="B160" s="45" t="str">
        <x:v>Luis Alberto Quevedo Rodriguez</x:v>
      </x:c>
      <x:c r="C160" s="50" t="str">
        <x:v>38569</x:v>
      </x:c>
      <x:c r="D160" s="45" t="str">
        <x:v>Plaza Universidad</x:v>
      </x:c>
      <x:c r="E160" s="45" t="str">
        <x:v>Abierta</x:v>
      </x:c>
      <x:c r="F160" s="51" t="d">
        <x:v>2015-01-27T00:00:00.000Z</x:v>
      </x:c>
      <x:c r="G160" s="45" t="str">
        <x:v>Benito Juárez</x:v>
      </x:c>
      <x:c r="H160" s="45" t="str">
        <x:v>Ciudad De México</x:v>
      </x:c>
      <x:c r="I160" s="52" t="n">
        <x:v>19.367646</x:v>
      </x:c>
      <x:c r="J160" s="52" t="n">
        <x:v>-99.165231</x:v>
      </x:c>
      <x:c r="K160" s="45" t="str">
        <x:v>Cafe</x:v>
      </x:c>
      <x:c r="L160" s="45" t="str">
        <x:v>Retail</x:v>
      </x:c>
      <x:c r="M160" s="45" t="str">
        <x:v>C1</x:v>
      </x:c>
      <x:c r="N160" s="45" t="str">
        <x:v>Sí</x:v>
      </x:c>
      <x:c r="O160" s="45" t="str">
        <x:v>Luis Alberto Quevedo Rodriguez</x:v>
      </x:c>
      <x:c r="P160" s="45" t="str">
        <x:v>Ops y Directorio Alsea · octubre 2026</x:v>
      </x:c>
      <x:c r="Q160" s="45" t="str">
        <x:v>Puntos proporcionados</x:v>
      </x:c>
      <x:c r="R160" s="45" t="str">
        <x:v>Abierta</x:v>
      </x:c>
      <x:c r="S160" s="45" t="str"/>
      <x:c r="T160" s="45" t="n">
        <x:f>IF(AND(OR(E160="Abierta",E160="Próxima Apertura"),N160="Sí",ISNUMBER(I160),ISNUMBER(J160),ABS(I160)&lt;=90,ABS(J160)&lt;=180),1,0)</x:f>
        <x:v>1</x:v>
      </x:c>
    </x:row>
    <x:row r="161" ht="23" customHeight="1">
      <x:c r="A161" s="45" t="str">
        <x:v>Centro Sur</x:v>
      </x:c>
      <x:c r="B161" s="45" t="str">
        <x:v>Luis Alberto Quevedo Rodriguez</x:v>
      </x:c>
      <x:c r="C161" s="50" t="str">
        <x:v>38570</x:v>
      </x:c>
      <x:c r="D161" s="45" t="str">
        <x:v>Universidad 767</x:v>
      </x:c>
      <x:c r="E161" s="45" t="str">
        <x:v>Abierta</x:v>
      </x:c>
      <x:c r="F161" s="51" t="d">
        <x:v>2015-04-18T00:00:00.000Z</x:v>
      </x:c>
      <x:c r="G161" s="45" t="str">
        <x:v>Benito Juárez</x:v>
      </x:c>
      <x:c r="H161" s="45" t="str">
        <x:v>Ciudad De México</x:v>
      </x:c>
      <x:c r="I161" s="52" t="n">
        <x:v>19.373859</x:v>
      </x:c>
      <x:c r="J161" s="52" t="n">
        <x:v>-99.162846</x:v>
      </x:c>
      <x:c r="K161" s="45" t="str">
        <x:v>Kiosko</x:v>
      </x:c>
      <x:c r="L161" s="45" t="str">
        <x:v>Retail</x:v>
      </x:c>
      <x:c r="M161" s="45" t="str">
        <x:v>C1</x:v>
      </x:c>
      <x:c r="N161" s="45" t="str">
        <x:v>Sí</x:v>
      </x:c>
      <x:c r="O161" s="45" t="str">
        <x:v>Luis Alberto Quevedo Rodriguez</x:v>
      </x:c>
      <x:c r="P161" s="45" t="str">
        <x:v>Ops y Directorio Alsea · octubre 2026</x:v>
      </x:c>
      <x:c r="Q161" s="45" t="str">
        <x:v>Puntos proporcionados</x:v>
      </x:c>
      <x:c r="R161" s="45" t="str">
        <x:v>Abierta</x:v>
      </x:c>
      <x:c r="S161" s="45" t="str"/>
      <x:c r="T161" s="45" t="n">
        <x:f>IF(AND(OR(E161="Abierta",E161="Próxima Apertura"),N161="Sí",ISNUMBER(I161),ISNUMBER(J161),ABS(I161)&lt;=90,ABS(J161)&lt;=180),1,0)</x:f>
        <x:v>1</x:v>
      </x:c>
    </x:row>
    <x:row r="162" ht="23" customHeight="1">
      <x:c r="A162" s="45" t="str">
        <x:v>Centro Sur</x:v>
      </x:c>
      <x:c r="B162" s="45" t="str">
        <x:v>Luis Alberto Quevedo Rodriguez</x:v>
      </x:c>
      <x:c r="C162" s="50" t="str">
        <x:v>38579</x:v>
      </x:c>
      <x:c r="D162" s="45" t="str">
        <x:v>Division del Norte II</x:v>
      </x:c>
      <x:c r="E162" s="45" t="str">
        <x:v>Abierta</x:v>
      </x:c>
      <x:c r="F162" s="51" t="d">
        <x:v>2015-05-23T00:00:00.000Z</x:v>
      </x:c>
      <x:c r="G162" s="45" t="str">
        <x:v>Benito Juárez</x:v>
      </x:c>
      <x:c r="H162" s="45" t="str">
        <x:v>Ciudad De México</x:v>
      </x:c>
      <x:c r="I162" s="52" t="n">
        <x:v>19.3690062</x:v>
      </x:c>
      <x:c r="J162" s="52" t="n">
        <x:v>-99.1560959</x:v>
      </x:c>
      <x:c r="K162" s="45" t="str">
        <x:v>Drive_Thru</x:v>
      </x:c>
      <x:c r="L162" s="45" t="str">
        <x:v>Retail</x:v>
      </x:c>
      <x:c r="M162" s="45" t="str">
        <x:v>C2</x:v>
      </x:c>
      <x:c r="N162" s="45" t="str">
        <x:v>Sí</x:v>
      </x:c>
      <x:c r="O162" s="45" t="str">
        <x:v>Luis Alberto Quevedo Rodriguez</x:v>
      </x:c>
      <x:c r="P162" s="45" t="str">
        <x:v>Ops y Directorio Alsea · octubre 2026</x:v>
      </x:c>
      <x:c r="Q162" s="45" t="str">
        <x:v>Puntos proporcionados</x:v>
      </x:c>
      <x:c r="R162" s="45" t="str">
        <x:v>Abierta</x:v>
      </x:c>
      <x:c r="S162" s="45" t="str"/>
      <x:c r="T162" s="45" t="n">
        <x:f>IF(AND(OR(E162="Abierta",E162="Próxima Apertura"),N162="Sí",ISNUMBER(I162),ISNUMBER(J162),ABS(I162)&lt;=90,ABS(J162)&lt;=180),1,0)</x:f>
        <x:v>1</x:v>
      </x:c>
    </x:row>
    <x:row r="163" ht="23" customHeight="1">
      <x:c r="A163" s="45" t="str">
        <x:v>Centro Sur</x:v>
      </x:c>
      <x:c r="B163" s="45" t="str">
        <x:v>Luis Alberto Quevedo Rodriguez</x:v>
      </x:c>
      <x:c r="C163" s="50" t="str">
        <x:v>38619</x:v>
      </x:c>
      <x:c r="D163" s="45" t="str">
        <x:v>Calzada de Tlalpan</x:v>
      </x:c>
      <x:c r="E163" s="45" t="str">
        <x:v>Abierta</x:v>
      </x:c>
      <x:c r="F163" s="51" t="d">
        <x:v>2015-09-30T00:00:00.000Z</x:v>
      </x:c>
      <x:c r="G163" s="45" t="str">
        <x:v>Benito Juárez</x:v>
      </x:c>
      <x:c r="H163" s="45" t="str">
        <x:v>Ciudad De México</x:v>
      </x:c>
      <x:c r="I163" s="52" t="n">
        <x:v>19.38315</x:v>
      </x:c>
      <x:c r="J163" s="52" t="n">
        <x:v>-99.1390983</x:v>
      </x:c>
      <x:c r="K163" s="45" t="str">
        <x:v>Drive_Thru</x:v>
      </x:c>
      <x:c r="L163" s="45" t="str">
        <x:v>Transfers</x:v>
      </x:c>
      <x:c r="M163" s="45" t="str">
        <x:v>C2</x:v>
      </x:c>
      <x:c r="N163" s="45" t="str">
        <x:v>Sí</x:v>
      </x:c>
      <x:c r="O163" s="45" t="str">
        <x:v>Luis Alberto Quevedo Rodriguez</x:v>
      </x:c>
      <x:c r="P163" s="45" t="str">
        <x:v>Ops y Directorio Alsea · octubre 2026</x:v>
      </x:c>
      <x:c r="Q163" s="45" t="str">
        <x:v>Puntos proporcionados</x:v>
      </x:c>
      <x:c r="R163" s="45" t="str">
        <x:v>Abierta</x:v>
      </x:c>
      <x:c r="S163" s="45" t="str"/>
      <x:c r="T163" s="45" t="n">
        <x:f>IF(AND(OR(E163="Abierta",E163="Próxima Apertura"),N163="Sí",ISNUMBER(I163),ISNUMBER(J163),ABS(I163)&lt;=90,ABS(J163)&lt;=180),1,0)</x:f>
        <x:v>1</x:v>
      </x:c>
    </x:row>
    <x:row r="164" ht="23" customHeight="1">
      <x:c r="A164" s="45" t="str">
        <x:v>Centro Sur</x:v>
      </x:c>
      <x:c r="B164" s="45" t="str">
        <x:v>Luis Alberto Quevedo Rodriguez</x:v>
      </x:c>
      <x:c r="C164" s="50" t="str">
        <x:v>38888</x:v>
      </x:c>
      <x:c r="D164" s="45" t="str">
        <x:v>Mitikah</x:v>
      </x:c>
      <x:c r="E164" s="45" t="str">
        <x:v>Abierta</x:v>
      </x:c>
      <x:c r="F164" s="51" t="d">
        <x:v>2020-09-01T00:00:00.000Z</x:v>
      </x:c>
      <x:c r="G164" s="45" t="str">
        <x:v>Benito Juárez</x:v>
      </x:c>
      <x:c r="H164" s="45" t="str">
        <x:v>Ciudad De México</x:v>
      </x:c>
      <x:c r="I164" s="52" t="n">
        <x:v>19.3593108</x:v>
      </x:c>
      <x:c r="J164" s="52" t="n">
        <x:v>-99.1688535</x:v>
      </x:c>
      <x:c r="K164" s="45" t="str">
        <x:v>Cafe</x:v>
      </x:c>
      <x:c r="L164" s="45" t="str">
        <x:v>Retail</x:v>
      </x:c>
      <x:c r="M164" s="45" t="str">
        <x:v>C2</x:v>
      </x:c>
      <x:c r="N164" s="45" t="str">
        <x:v>Sí</x:v>
      </x:c>
      <x:c r="O164" s="45" t="str">
        <x:v>Luis Alberto Quevedo Rodriguez</x:v>
      </x:c>
      <x:c r="P164" s="45" t="str">
        <x:v>Ops y Directorio Alsea · octubre 2026</x:v>
      </x:c>
      <x:c r="Q164" s="45" t="str">
        <x:v>Puntos proporcionados</x:v>
      </x:c>
      <x:c r="R164" s="45" t="str">
        <x:v>Abierta</x:v>
      </x:c>
      <x:c r="S164" s="45" t="str"/>
      <x:c r="T164" s="45" t="n">
        <x:f>IF(AND(OR(E164="Abierta",E164="Próxima Apertura"),N164="Sí",ISNUMBER(I164),ISNUMBER(J164),ABS(I164)&lt;=90,ABS(J164)&lt;=180),1,0)</x:f>
        <x:v>1</x:v>
      </x:c>
    </x:row>
    <x:row r="165" ht="23" customHeight="1">
      <x:c r="A165" s="45" t="str">
        <x:v>Centro Sur</x:v>
      </x:c>
      <x:c r="B165" s="45" t="str">
        <x:v>Luis Alberto Quevedo Rodriguez</x:v>
      </x:c>
      <x:c r="C165" s="50" t="str">
        <x:v>38941</x:v>
      </x:c>
      <x:c r="D165" s="45" t="str">
        <x:v>Mitikah Restaurantes</x:v>
      </x:c>
      <x:c r="E165" s="45" t="str">
        <x:v>Abierta</x:v>
      </x:c>
      <x:c r="F165" s="51" t="d">
        <x:v>2022-11-10T00:00:00.000Z</x:v>
      </x:c>
      <x:c r="G165" s="45" t="str">
        <x:v>Benito Juárez</x:v>
      </x:c>
      <x:c r="H165" s="45" t="str">
        <x:v>Ciudad De México</x:v>
      </x:c>
      <x:c r="I165" s="52" t="n">
        <x:v>19.3579717</x:v>
      </x:c>
      <x:c r="J165" s="52" t="n">
        <x:v>-99.1288233</x:v>
      </x:c>
      <x:c r="K165" s="45" t="str">
        <x:v>Kiosko</x:v>
      </x:c>
      <x:c r="L165" s="45" t="str">
        <x:v>Retail</x:v>
      </x:c>
      <x:c r="M165" s="45" t="str">
        <x:v>C2</x:v>
      </x:c>
      <x:c r="N165" s="45" t="str">
        <x:v>Sí</x:v>
      </x:c>
      <x:c r="O165" s="45" t="str">
        <x:v>Luis Alberto Quevedo Rodriguez</x:v>
      </x:c>
      <x:c r="P165" s="45" t="str">
        <x:v>Ops y Directorio Alsea · octubre 2026</x:v>
      </x:c>
      <x:c r="Q165" s="45" t="str">
        <x:v>Puntos proporcionados</x:v>
      </x:c>
      <x:c r="R165" s="45" t="str">
        <x:v>Abierta</x:v>
      </x:c>
      <x:c r="S165" s="45" t="str"/>
      <x:c r="T165" s="45" t="n">
        <x:f>IF(AND(OR(E165="Abierta",E165="Próxima Apertura"),N165="Sí",ISNUMBER(I165),ISNUMBER(J165),ABS(I165)&lt;=90,ABS(J165)&lt;=180),1,0)</x:f>
        <x:v>1</x:v>
      </x:c>
    </x:row>
    <x:row r="166" ht="23" customHeight="1">
      <x:c r="A166" s="45" t="str">
        <x:v>Centro Sur</x:v>
      </x:c>
      <x:c r="B166" s="45" t="str">
        <x:v>Moni Morales</x:v>
      </x:c>
      <x:c r="C166" s="50" t="str">
        <x:v>38351</x:v>
      </x:c>
      <x:c r="D166" s="45" t="str">
        <x:v>Ciudad Jardin l</x:v>
      </x:c>
      <x:c r="E166" s="45" t="str">
        <x:v>Abierta</x:v>
      </x:c>
      <x:c r="F166" s="51" t="d">
        <x:v>2008-12-08T00:00:00.000Z</x:v>
      </x:c>
      <x:c r="G166" s="45" t="str">
        <x:v>Nezahualcóyotl</x:v>
      </x:c>
      <x:c r="H166" s="45" t="str">
        <x:v>Estado De México</x:v>
      </x:c>
      <x:c r="I166" s="52" t="n">
        <x:v>19.42523</x:v>
      </x:c>
      <x:c r="J166" s="52" t="n">
        <x:v>-99.0252</x:v>
      </x:c>
      <x:c r="K166" s="45" t="str">
        <x:v>Cafe</x:v>
      </x:c>
      <x:c r="L166" s="45" t="str">
        <x:v>Retail</x:v>
      </x:c>
      <x:c r="M166" s="45" t="str">
        <x:v>C1</x:v>
      </x:c>
      <x:c r="N166" s="45" t="str">
        <x:v>Sí</x:v>
      </x:c>
      <x:c r="O166" s="45" t="str">
        <x:v>Monica Selene Morales Ibarra</x:v>
      </x:c>
      <x:c r="P166" s="45" t="str">
        <x:v>Ops y Directorio Alsea · octubre 2026</x:v>
      </x:c>
      <x:c r="Q166" s="45" t="str">
        <x:v>CMS anterior</x:v>
      </x:c>
      <x:c r="R166" s="45" t="str">
        <x:v>Abierta</x:v>
      </x:c>
      <x:c r="S166" s="45" t="str"/>
      <x:c r="T166" s="45" t="n">
        <x:f>IF(AND(OR(E166="Abierta",E166="Próxima Apertura"),N166="Sí",ISNUMBER(I166),ISNUMBER(J166),ABS(I166)&lt;=90,ABS(J166)&lt;=180),1,0)</x:f>
        <x:v>1</x:v>
      </x:c>
    </x:row>
    <x:row r="167" ht="23" customHeight="1">
      <x:c r="A167" s="45" t="str">
        <x:v>Centro Sur</x:v>
      </x:c>
      <x:c r="B167" s="45" t="str">
        <x:v>Moni Morales</x:v>
      </x:c>
      <x:c r="C167" s="50" t="str">
        <x:v>38375</x:v>
      </x:c>
      <x:c r="D167" s="45" t="str">
        <x:v>Americas Ecatepec</x:v>
      </x:c>
      <x:c r="E167" s="45" t="str">
        <x:v>Abierta</x:v>
      </x:c>
      <x:c r="F167" s="51" t="d">
        <x:v>2010-03-31T00:00:00.000Z</x:v>
      </x:c>
      <x:c r="G167" s="45" t="str">
        <x:v>Ecatepec De Morelos</x:v>
      </x:c>
      <x:c r="H167" s="45" t="str">
        <x:v>Estado De México</x:v>
      </x:c>
      <x:c r="I167" s="52" t="n">
        <x:v>19.58276</x:v>
      </x:c>
      <x:c r="J167" s="52" t="n">
        <x:v>-99.02315</x:v>
      </x:c>
      <x:c r="K167" s="45" t="str">
        <x:v>Cafe</x:v>
      </x:c>
      <x:c r="L167" s="45" t="str">
        <x:v>Retail</x:v>
      </x:c>
      <x:c r="M167" s="45" t="str">
        <x:v>C2</x:v>
      </x:c>
      <x:c r="N167" s="45" t="str">
        <x:v>Sí</x:v>
      </x:c>
      <x:c r="O167" s="45" t="str">
        <x:v>Monica Selene Morales Ibarra</x:v>
      </x:c>
      <x:c r="P167" s="45" t="str">
        <x:v>Ops y Directorio Alsea · octubre 2026</x:v>
      </x:c>
      <x:c r="Q167" s="45" t="str">
        <x:v>CMS anterior</x:v>
      </x:c>
      <x:c r="R167" s="45" t="str">
        <x:v>Abierta</x:v>
      </x:c>
      <x:c r="S167" s="45" t="str"/>
      <x:c r="T167" s="45" t="n">
        <x:f>IF(AND(OR(E167="Abierta",E167="Próxima Apertura"),N167="Sí",ISNUMBER(I167),ISNUMBER(J167),ABS(I167)&lt;=90,ABS(J167)&lt;=180),1,0)</x:f>
        <x:v>1</x:v>
      </x:c>
    </x:row>
    <x:row r="168" ht="23" customHeight="1">
      <x:c r="A168" s="45" t="str">
        <x:v>Centro Sur</x:v>
      </x:c>
      <x:c r="B168" s="45" t="str">
        <x:v>Moni Morales</x:v>
      </x:c>
      <x:c r="C168" s="50" t="str">
        <x:v>38429</x:v>
      </x:c>
      <x:c r="D168" s="45" t="str">
        <x:v>Plaza Aragon</x:v>
      </x:c>
      <x:c r="E168" s="45" t="str">
        <x:v>Abierta</x:v>
      </x:c>
      <x:c r="F168" s="51" t="d">
        <x:v>2011-11-26T00:00:00.000Z</x:v>
      </x:c>
      <x:c r="G168" s="45" t="str">
        <x:v>Ecatepec De Morelos</x:v>
      </x:c>
      <x:c r="H168" s="45" t="str">
        <x:v>Estado De México</x:v>
      </x:c>
      <x:c r="I168" s="52" t="n">
        <x:v>19.53098</x:v>
      </x:c>
      <x:c r="J168" s="52" t="n">
        <x:v>-99.02709</x:v>
      </x:c>
      <x:c r="K168" s="45" t="str">
        <x:v>Cafe</x:v>
      </x:c>
      <x:c r="L168" s="45" t="str">
        <x:v>Retail</x:v>
      </x:c>
      <x:c r="M168" s="45" t="str">
        <x:v>C2</x:v>
      </x:c>
      <x:c r="N168" s="45" t="str">
        <x:v>Sí</x:v>
      </x:c>
      <x:c r="O168" s="45" t="str">
        <x:v>Monica Selene Morales Ibarra</x:v>
      </x:c>
      <x:c r="P168" s="45" t="str">
        <x:v>Ops y Directorio Alsea · octubre 2026</x:v>
      </x:c>
      <x:c r="Q168" s="45" t="str">
        <x:v>CMS anterior</x:v>
      </x:c>
      <x:c r="R168" s="45" t="str">
        <x:v>Abierta</x:v>
      </x:c>
      <x:c r="S168" s="45" t="str"/>
      <x:c r="T168" s="45" t="n">
        <x:f>IF(AND(OR(E168="Abierta",E168="Próxima Apertura"),N168="Sí",ISNUMBER(I168),ISNUMBER(J168),ABS(I168)&lt;=90,ABS(J168)&lt;=180),1,0)</x:f>
        <x:v>1</x:v>
      </x:c>
    </x:row>
    <x:row r="169" ht="23" customHeight="1">
      <x:c r="A169" s="45" t="str">
        <x:v>Centro Sur</x:v>
      </x:c>
      <x:c r="B169" s="45" t="str">
        <x:v>Moni Morales</x:v>
      </x:c>
      <x:c r="C169" s="50" t="str">
        <x:v>38511</x:v>
      </x:c>
      <x:c r="D169" s="45" t="str">
        <x:v>Ciudad Jardin ll</x:v>
      </x:c>
      <x:c r="E169" s="45" t="str">
        <x:v>Abierta</x:v>
      </x:c>
      <x:c r="F169" s="51" t="d">
        <x:v>2013-09-27T00:00:00.000Z</x:v>
      </x:c>
      <x:c r="G169" s="45" t="str">
        <x:v>Nezahualcóyotl</x:v>
      </x:c>
      <x:c r="H169" s="45" t="str">
        <x:v>Estado De México</x:v>
      </x:c>
      <x:c r="I169" s="52" t="n">
        <x:v>19.42508</x:v>
      </x:c>
      <x:c r="J169" s="52" t="n">
        <x:v>-99.02475</x:v>
      </x:c>
      <x:c r="K169" s="45" t="str">
        <x:v>Kiosko</x:v>
      </x:c>
      <x:c r="L169" s="45" t="str">
        <x:v>Retail</x:v>
      </x:c>
      <x:c r="M169" s="45" t="str">
        <x:v>C1</x:v>
      </x:c>
      <x:c r="N169" s="45" t="str">
        <x:v>Sí</x:v>
      </x:c>
      <x:c r="O169" s="45" t="str">
        <x:v>Monica Selene Morales Ibarra</x:v>
      </x:c>
      <x:c r="P169" s="45" t="str">
        <x:v>Ops y Directorio Alsea · octubre 2026</x:v>
      </x:c>
      <x:c r="Q169" s="45" t="str">
        <x:v>CMS anterior</x:v>
      </x:c>
      <x:c r="R169" s="45" t="str">
        <x:v>Abierta</x:v>
      </x:c>
      <x:c r="S169" s="45" t="str"/>
      <x:c r="T169" s="45" t="n">
        <x:f>IF(AND(OR(E169="Abierta",E169="Próxima Apertura"),N169="Sí",ISNUMBER(I169),ISNUMBER(J169),ABS(I169)&lt;=90,ABS(J169)&lt;=180),1,0)</x:f>
        <x:v>1</x:v>
      </x:c>
    </x:row>
    <x:row r="170" ht="23" customHeight="1">
      <x:c r="A170" s="45" t="str">
        <x:v>Centro Sur</x:v>
      </x:c>
      <x:c r="B170" s="45" t="str">
        <x:v>Moni Morales</x:v>
      </x:c>
      <x:c r="C170" s="50" t="str">
        <x:v>38567</x:v>
      </x:c>
      <x:c r="D170" s="45" t="str">
        <x:v>Aragon II</x:v>
      </x:c>
      <x:c r="E170" s="45" t="str">
        <x:v>Abierta</x:v>
      </x:c>
      <x:c r="F170" s="51" t="d">
        <x:v>2014-12-29T00:00:00.000Z</x:v>
      </x:c>
      <x:c r="G170" s="45" t="str">
        <x:v>Ecatepec De Morelos</x:v>
      </x:c>
      <x:c r="H170" s="45" t="str">
        <x:v>Estado De México</x:v>
      </x:c>
      <x:c r="I170" s="52" t="n">
        <x:v>19.53007</x:v>
      </x:c>
      <x:c r="J170" s="52" t="n">
        <x:v>-99.02735</x:v>
      </x:c>
      <x:c r="K170" s="45" t="str">
        <x:v>Cafe</x:v>
      </x:c>
      <x:c r="L170" s="45" t="str">
        <x:v>Retail</x:v>
      </x:c>
      <x:c r="M170" s="45" t="str">
        <x:v>C2</x:v>
      </x:c>
      <x:c r="N170" s="45" t="str">
        <x:v>Sí</x:v>
      </x:c>
      <x:c r="O170" s="45" t="str">
        <x:v>Monica Selene Morales Ibarra</x:v>
      </x:c>
      <x:c r="P170" s="45" t="str">
        <x:v>Ops y Directorio Alsea · octubre 2026</x:v>
      </x:c>
      <x:c r="Q170" s="45" t="str">
        <x:v>CMS anterior</x:v>
      </x:c>
      <x:c r="R170" s="45" t="str">
        <x:v>Abierta</x:v>
      </x:c>
      <x:c r="S170" s="45" t="str"/>
      <x:c r="T170" s="45" t="n">
        <x:f>IF(AND(OR(E170="Abierta",E170="Próxima Apertura"),N170="Sí",ISNUMBER(I170),ISNUMBER(J170),ABS(I170)&lt;=90,ABS(J170)&lt;=180),1,0)</x:f>
        <x:v>1</x:v>
      </x:c>
    </x:row>
    <x:row r="171" ht="23" customHeight="1">
      <x:c r="A171" s="45" t="str">
        <x:v>Centro Sur</x:v>
      </x:c>
      <x:c r="B171" s="45" t="str">
        <x:v>Moni Morales</x:v>
      </x:c>
      <x:c r="C171" s="50" t="str">
        <x:v>38678</x:v>
      </x:c>
      <x:c r="D171" s="45" t="str">
        <x:v>Power Center las Americas</x:v>
      </x:c>
      <x:c r="E171" s="45" t="str">
        <x:v>Abierta</x:v>
      </x:c>
      <x:c r="F171" s="51" t="d">
        <x:v>2016-09-29T00:00:00.000Z</x:v>
      </x:c>
      <x:c r="G171" s="45" t="str">
        <x:v>Ecatepec De Morelos</x:v>
      </x:c>
      <x:c r="H171" s="45" t="str">
        <x:v>Estado De México</x:v>
      </x:c>
      <x:c r="I171" s="52" t="n">
        <x:v>19.58102</x:v>
      </x:c>
      <x:c r="J171" s="52" t="n">
        <x:v>-99.0211</x:v>
      </x:c>
      <x:c r="K171" s="45" t="str">
        <x:v>Cafe</x:v>
      </x:c>
      <x:c r="L171" s="45" t="str">
        <x:v>Retail</x:v>
      </x:c>
      <x:c r="M171" s="45" t="str">
        <x:v>C2</x:v>
      </x:c>
      <x:c r="N171" s="45" t="str">
        <x:v>Sí</x:v>
      </x:c>
      <x:c r="O171" s="45" t="str">
        <x:v>Monica Selene Morales Ibarra</x:v>
      </x:c>
      <x:c r="P171" s="45" t="str">
        <x:v>Ops y Directorio Alsea · octubre 2026</x:v>
      </x:c>
      <x:c r="Q171" s="45" t="str">
        <x:v>CMS anterior</x:v>
      </x:c>
      <x:c r="R171" s="45" t="str">
        <x:v>Abierta</x:v>
      </x:c>
      <x:c r="S171" s="45" t="str"/>
      <x:c r="T171" s="45" t="n">
        <x:f>IF(AND(OR(E171="Abierta",E171="Próxima Apertura"),N171="Sí",ISNUMBER(I171),ISNUMBER(J171),ABS(I171)&lt;=90,ABS(J171)&lt;=180),1,0)</x:f>
        <x:v>1</x:v>
      </x:c>
    </x:row>
    <x:row r="172" ht="23" customHeight="1">
      <x:c r="A172" s="45" t="str">
        <x:v>Centro Sur</x:v>
      </x:c>
      <x:c r="B172" s="45" t="str">
        <x:v>Moni Morales</x:v>
      </x:c>
      <x:c r="C172" s="50" t="str">
        <x:v>38684</x:v>
      </x:c>
      <x:c r="D172" s="45" t="str">
        <x:v>Plaza Chimalhuacan</x:v>
      </x:c>
      <x:c r="E172" s="45" t="str">
        <x:v>Abierta</x:v>
      </x:c>
      <x:c r="F172" s="51" t="d">
        <x:v>2016-11-15T00:00:00.000Z</x:v>
      </x:c>
      <x:c r="G172" s="45" t="str">
        <x:v>Chimalhuacan</x:v>
      </x:c>
      <x:c r="H172" s="45" t="str">
        <x:v>Estado De México</x:v>
      </x:c>
      <x:c r="I172" s="52" t="n">
        <x:v>19.41017</x:v>
      </x:c>
      <x:c r="J172" s="52" t="n">
        <x:v>-98.92779</x:v>
      </x:c>
      <x:c r="K172" s="45" t="str">
        <x:v>Cafe</x:v>
      </x:c>
      <x:c r="L172" s="45" t="str">
        <x:v>Retail</x:v>
      </x:c>
      <x:c r="M172" s="45" t="str">
        <x:v>C2</x:v>
      </x:c>
      <x:c r="N172" s="45" t="str">
        <x:v>Sí</x:v>
      </x:c>
      <x:c r="O172" s="45" t="str">
        <x:v>Monica Selene Morales Ibarra</x:v>
      </x:c>
      <x:c r="P172" s="45" t="str">
        <x:v>Ops y Directorio Alsea · octubre 2026</x:v>
      </x:c>
      <x:c r="Q172" s="45" t="str">
        <x:v>CMS anterior</x:v>
      </x:c>
      <x:c r="R172" s="45" t="str">
        <x:v>Abierta</x:v>
      </x:c>
      <x:c r="S172" s="45" t="str"/>
      <x:c r="T172" s="45" t="n">
        <x:f>IF(AND(OR(E172="Abierta",E172="Próxima Apertura"),N172="Sí",ISNUMBER(I172),ISNUMBER(J172),ABS(I172)&lt;=90,ABS(J172)&lt;=180),1,0)</x:f>
        <x:v>1</x:v>
      </x:c>
    </x:row>
    <x:row r="173" ht="23" customHeight="1">
      <x:c r="A173" s="45" t="str">
        <x:v>Centro Sur</x:v>
      </x:c>
      <x:c r="B173" s="45" t="str">
        <x:v>Moni Morales</x:v>
      </x:c>
      <x:c r="C173" s="50" t="str">
        <x:v>38716</x:v>
      </x:c>
      <x:c r="D173" s="45" t="str">
        <x:v>Multiplaza Bosques</x:v>
      </x:c>
      <x:c r="E173" s="45" t="str">
        <x:v>Abierta</x:v>
      </x:c>
      <x:c r="F173" s="51" t="d">
        <x:v>2017-02-14T00:00:00.000Z</x:v>
      </x:c>
      <x:c r="G173" s="45" t="str">
        <x:v>Nezahualcóyotl</x:v>
      </x:c>
      <x:c r="H173" s="45" t="str">
        <x:v>Estado De México</x:v>
      </x:c>
      <x:c r="I173" s="52" t="n">
        <x:v>19.46499</x:v>
      </x:c>
      <x:c r="J173" s="52" t="n">
        <x:v>-99.05669</x:v>
      </x:c>
      <x:c r="K173" s="45" t="str">
        <x:v>Cafe</x:v>
      </x:c>
      <x:c r="L173" s="45" t="str">
        <x:v>Retail</x:v>
      </x:c>
      <x:c r="M173" s="45" t="str">
        <x:v>C2</x:v>
      </x:c>
      <x:c r="N173" s="45" t="str">
        <x:v>Sí</x:v>
      </x:c>
      <x:c r="O173" s="45" t="str">
        <x:v>Monica Selene Morales Ibarra</x:v>
      </x:c>
      <x:c r="P173" s="45" t="str">
        <x:v>Ops y Directorio Alsea · octubre 2026</x:v>
      </x:c>
      <x:c r="Q173" s="45" t="str">
        <x:v>CMS anterior</x:v>
      </x:c>
      <x:c r="R173" s="45" t="str">
        <x:v>Abierta</x:v>
      </x:c>
      <x:c r="S173" s="45" t="str"/>
      <x:c r="T173" s="45" t="n">
        <x:f>IF(AND(OR(E173="Abierta",E173="Próxima Apertura"),N173="Sí",ISNUMBER(I173),ISNUMBER(J173),ABS(I173)&lt;=90,ABS(J173)&lt;=180),1,0)</x:f>
        <x:v>1</x:v>
      </x:c>
    </x:row>
    <x:row r="174" ht="23" customHeight="1">
      <x:c r="A174" s="45" t="str">
        <x:v>Centro Sur</x:v>
      </x:c>
      <x:c r="B174" s="45" t="str">
        <x:v>Moni Morales</x:v>
      </x:c>
      <x:c r="C174" s="50" t="str">
        <x:v>38718</x:v>
      </x:c>
      <x:c r="D174" s="45" t="str">
        <x:v>Paseo Ventura</x:v>
      </x:c>
      <x:c r="E174" s="45" t="str">
        <x:v>Abierta</x:v>
      </x:c>
      <x:c r="F174" s="51" t="d">
        <x:v>2017-04-12T00:00:00.000Z</x:v>
      </x:c>
      <x:c r="G174" s="45" t="str">
        <x:v>Ecatepec De Morelos</x:v>
      </x:c>
      <x:c r="H174" s="45" t="str">
        <x:v>Estado De México</x:v>
      </x:c>
      <x:c r="I174" s="52" t="n">
        <x:v>19.58117</x:v>
      </x:c>
      <x:c r="J174" s="52" t="n">
        <x:v>-99.0187</x:v>
      </x:c>
      <x:c r="K174" s="45" t="str">
        <x:v>Cafe</x:v>
      </x:c>
      <x:c r="L174" s="45" t="str">
        <x:v>Retail</x:v>
      </x:c>
      <x:c r="M174" s="45" t="str">
        <x:v>C2</x:v>
      </x:c>
      <x:c r="N174" s="45" t="str">
        <x:v>Sí</x:v>
      </x:c>
      <x:c r="O174" s="45" t="str">
        <x:v>Monica Selene Morales Ibarra</x:v>
      </x:c>
      <x:c r="P174" s="45" t="str">
        <x:v>Ops y Directorio Alsea · octubre 2026</x:v>
      </x:c>
      <x:c r="Q174" s="45" t="str">
        <x:v>CMS anterior</x:v>
      </x:c>
      <x:c r="R174" s="45" t="str">
        <x:v>Abierta</x:v>
      </x:c>
      <x:c r="S174" s="45" t="str"/>
      <x:c r="T174" s="45" t="n">
        <x:f>IF(AND(OR(E174="Abierta",E174="Próxima Apertura"),N174="Sí",ISNUMBER(I174),ISNUMBER(J174),ABS(I174)&lt;=90,ABS(J174)&lt;=180),1,0)</x:f>
        <x:v>1</x:v>
      </x:c>
    </x:row>
    <x:row r="175" ht="23" customHeight="1">
      <x:c r="A175" s="45" t="str">
        <x:v>Centro Sur</x:v>
      </x:c>
      <x:c r="B175" s="45" t="str">
        <x:v>Moni Morales</x:v>
      </x:c>
      <x:c r="C175" s="50" t="str">
        <x:v>38996</x:v>
      </x:c>
      <x:c r="D175" s="45" t="str">
        <x:v>Valle de Aragon</x:v>
      </x:c>
      <x:c r="E175" s="45" t="str">
        <x:v>Abierta</x:v>
      </x:c>
      <x:c r="F175" s="51" t="d">
        <x:v>2023-12-08T00:00:00.000Z</x:v>
      </x:c>
      <x:c r="G175" s="45" t="str">
        <x:v>Ecatepec De Morelos</x:v>
      </x:c>
      <x:c r="H175" s="45" t="str">
        <x:v>Estado De México</x:v>
      </x:c>
      <x:c r="I175" s="52" t="n">
        <x:v>19.498880275436</x:v>
      </x:c>
      <x:c r="J175" s="52" t="n">
        <x:v>-99.0443736597989</x:v>
      </x:c>
      <x:c r="K175" s="45" t="str">
        <x:v>Cafe</x:v>
      </x:c>
      <x:c r="L175" s="45" t="str">
        <x:v>Retail</x:v>
      </x:c>
      <x:c r="M175" s="45" t="str">
        <x:v>C2</x:v>
      </x:c>
      <x:c r="N175" s="45" t="str">
        <x:v>Sí</x:v>
      </x:c>
      <x:c r="O175" s="45" t="str">
        <x:v>Monica Selene Morales Ibarra</x:v>
      </x:c>
      <x:c r="P175" s="45" t="str">
        <x:v>Ops y Directorio Alsea · octubre 2026</x:v>
      </x:c>
      <x:c r="Q175" s="45" t="str">
        <x:v>CMS anterior</x:v>
      </x:c>
      <x:c r="R175" s="45" t="str">
        <x:v>Abierta</x:v>
      </x:c>
      <x:c r="S175" s="45" t="str"/>
      <x:c r="T175" s="45" t="n">
        <x:f>IF(AND(OR(E175="Abierta",E175="Próxima Apertura"),N175="Sí",ISNUMBER(I175),ISNUMBER(J175),ABS(I175)&lt;=90,ABS(J175)&lt;=180),1,0)</x:f>
        <x:v>1</x:v>
      </x:c>
    </x:row>
    <x:row r="176" ht="23" customHeight="1">
      <x:c r="A176" s="45" t="str">
        <x:v>Centro Sur</x:v>
      </x:c>
      <x:c r="B176" s="45" t="str">
        <x:v>Moni Morales</x:v>
      </x:c>
      <x:c r="C176" s="50" t="str">
        <x:v>43034</x:v>
      </x:c>
      <x:c r="D176" s="45" t="str">
        <x:v>Macroplaza Tecamac</x:v>
      </x:c>
      <x:c r="E176" s="45" t="str">
        <x:v>Abierta</x:v>
      </x:c>
      <x:c r="F176" s="51" t="d">
        <x:v>2024-09-29T00:00:00.000Z</x:v>
      </x:c>
      <x:c r="G176" s="45" t="str">
        <x:v>Tecamac</x:v>
      </x:c>
      <x:c r="H176" s="45" t="str">
        <x:v>Estado De México</x:v>
      </x:c>
      <x:c r="I176" s="52" t="n">
        <x:v>19.6179442998697</x:v>
      </x:c>
      <x:c r="J176" s="52" t="n">
        <x:v>-99.039584933474</x:v>
      </x:c>
      <x:c r="K176" s="45" t="str">
        <x:v>Cafe</x:v>
      </x:c>
      <x:c r="L176" s="45" t="str">
        <x:v>Retail</x:v>
      </x:c>
      <x:c r="M176" s="45" t="str">
        <x:v>C2</x:v>
      </x:c>
      <x:c r="N176" s="45" t="str">
        <x:v>Sí</x:v>
      </x:c>
      <x:c r="O176" s="45" t="str">
        <x:v>Monica Selene Morales Ibarra</x:v>
      </x:c>
      <x:c r="P176" s="45" t="str">
        <x:v>Ops y Directorio Alsea · octubre 2026</x:v>
      </x:c>
      <x:c r="Q176" s="45" t="str">
        <x:v>CMS anterior</x:v>
      </x:c>
      <x:c r="R176" s="45" t="str">
        <x:v>Abierta</x:v>
      </x:c>
      <x:c r="S176" s="45" t="str"/>
      <x:c r="T176" s="45" t="n">
        <x:f>IF(AND(OR(E176="Abierta",E176="Próxima Apertura"),N176="Sí",ISNUMBER(I176),ISNUMBER(J176),ABS(I176)&lt;=90,ABS(J176)&lt;=180),1,0)</x:f>
        <x:v>1</x:v>
      </x:c>
    </x:row>
    <x:row r="177" ht="23" customHeight="1">
      <x:c r="A177" s="45" t="str">
        <x:v>Centro Sur</x:v>
      </x:c>
      <x:c r="B177" s="45" t="str">
        <x:v>Moni Morales</x:v>
      </x:c>
      <x:c r="C177" s="50" t="str">
        <x:v>43164</x:v>
      </x:c>
      <x:c r="D177" s="45" t="str">
        <x:v>Blvd Ojo de Agua DT</x:v>
      </x:c>
      <x:c r="E177" s="45" t="str">
        <x:v>Abierta</x:v>
      </x:c>
      <x:c r="F177" s="51" t="d">
        <x:v>2026-03-11T00:00:00.000Z</x:v>
      </x:c>
      <x:c r="G177" s="45" t="str">
        <x:v>Tecamac</x:v>
      </x:c>
      <x:c r="H177" s="45" t="str">
        <x:v>Estado De México</x:v>
      </x:c>
      <x:c r="I177" s="52" t="n">
        <x:v>19.666318258441624</x:v>
      </x:c>
      <x:c r="J177" s="52" t="n">
        <x:v>-99.0161348482073</x:v>
      </x:c>
      <x:c r="K177" s="45" t="str">
        <x:v>Drive_Thru</x:v>
      </x:c>
      <x:c r="L177" s="45" t="str">
        <x:v>Transfers</x:v>
      </x:c>
      <x:c r="M177" s="45" t="str">
        <x:v>C2</x:v>
      </x:c>
      <x:c r="N177" s="45" t="str">
        <x:v>Sí</x:v>
      </x:c>
      <x:c r="O177" s="45" t="str">
        <x:v>Monica Selene Morales Ibarra</x:v>
      </x:c>
      <x:c r="P177" s="45" t="str">
        <x:v>Ops y Directorio Alsea · octubre 2026</x:v>
      </x:c>
      <x:c r="Q177" s="45" t="str">
        <x:v>CMS anterior</x:v>
      </x:c>
      <x:c r="R177" s="45" t="str">
        <x:v>Abierta</x:v>
      </x:c>
      <x:c r="S177" s="45" t="str"/>
      <x:c r="T177" s="45" t="n">
        <x:f>IF(AND(OR(E177="Abierta",E177="Próxima Apertura"),N177="Sí",ISNUMBER(I177),ISNUMBER(J177),ABS(I177)&lt;=90,ABS(J177)&lt;=180),1,0)</x:f>
        <x:v>1</x:v>
      </x:c>
    </x:row>
    <x:row r="178" ht="23" customHeight="1">
      <x:c r="A178" s="45" t="str">
        <x:v>Centro Sur</x:v>
      </x:c>
      <x:c r="B178" s="45" t="str">
        <x:v>Moni Morales</x:v>
      </x:c>
      <x:c r="C178" s="50" t="str">
        <x:v>43183</x:v>
      </x:c>
      <x:c r="D178" s="45" t="str">
        <x:v>Puerta Texcoco</x:v>
      </x:c>
      <x:c r="E178" s="45" t="str">
        <x:v>Abierta</x:v>
      </x:c>
      <x:c r="F178" s="51" t="d">
        <x:v>2026-03-30T00:00:00.000Z</x:v>
      </x:c>
      <x:c r="G178" s="45" t="str">
        <x:v>Texcoco</x:v>
      </x:c>
      <x:c r="H178" s="45" t="str">
        <x:v>Estado De México</x:v>
      </x:c>
      <x:c r="I178" s="52" t="n">
        <x:v>19.428823952970074</x:v>
      </x:c>
      <x:c r="J178" s="52" t="n">
        <x:v>-98.9112730309757</x:v>
      </x:c>
      <x:c r="K178" s="45" t="str">
        <x:v>Kiosko</x:v>
      </x:c>
      <x:c r="L178" s="45" t="str">
        <x:v>Retail</x:v>
      </x:c>
      <x:c r="M178" s="45" t="str">
        <x:v>C2</x:v>
      </x:c>
      <x:c r="N178" s="45" t="str">
        <x:v>Sí</x:v>
      </x:c>
      <x:c r="O178" s="45" t="str">
        <x:v>Monica Selene Morales Ibarra</x:v>
      </x:c>
      <x:c r="P178" s="45" t="str">
        <x:v>Ops y Directorio Alsea · octubre 2026</x:v>
      </x:c>
      <x:c r="Q178" s="45" t="str">
        <x:v>CMS anterior</x:v>
      </x:c>
      <x:c r="R178" s="45" t="str">
        <x:v>Abierta</x:v>
      </x:c>
      <x:c r="S178" s="45" t="str"/>
      <x:c r="T178" s="45" t="n">
        <x:f>IF(AND(OR(E178="Abierta",E178="Próxima Apertura"),N178="Sí",ISNUMBER(I178),ISNUMBER(J178),ABS(I178)&lt;=90,ABS(J178)&lt;=180),1,0)</x:f>
        <x:v>1</x:v>
      </x:c>
    </x:row>
    <x:row r="179" ht="23" customHeight="1">
      <x:c r="A179" s="45" t="str">
        <x:v>Centro Sur</x:v>
      </x:c>
      <x:c r="B179" s="45" t="str">
        <x:v>Sin asignación</x:v>
      </x:c>
      <x:c r="C179" s="50" t="str">
        <x:v>38140</x:v>
      </x:c>
      <x:c r="D179" s="45" t="str">
        <x:v>Centro Coyoacan</x:v>
      </x:c>
      <x:c r="E179" s="45" t="str">
        <x:v>Cierre Definitivo</x:v>
      </x:c>
      <x:c r="F179" s="51"/>
      <x:c r="G179" s="45" t="str">
        <x:v>Ciudad de México</x:v>
      </x:c>
      <x:c r="H179" s="45" t="str">
        <x:v>Ciudad de México</x:v>
      </x:c>
      <x:c r="I179" s="52" t="n">
        <x:v>19.3606</x:v>
      </x:c>
      <x:c r="J179" s="52" t="n">
        <x:v>-99.1708</x:v>
      </x:c>
      <x:c r="K179" s="45" t="str"/>
      <x:c r="L179" s="45" t="str"/>
      <x:c r="M179" s="45" t="str"/>
      <x:c r="N179" s="45" t="str">
        <x:v>No</x:v>
      </x:c>
      <x:c r="O179" s="45" t="str">
        <x:v>Sin asignación</x:v>
      </x:c>
      <x:c r="P179" s="45" t="str">
        <x:v>Directorio Alsea octubre 2026</x:v>
      </x:c>
      <x:c r="Q179" s="45" t="str">
        <x:v>Directorio Alsea octubre 2026</x:v>
      </x:c>
      <x:c r="R179" s="45" t="str">
        <x:v>Cierre Definitivo</x:v>
      </x:c>
      <x:c r="S179" s="45" t="str"/>
      <x:c r="T179" s="45" t="n">
        <x:f>IF(AND(OR(E179="Abierta",E179="Próxima Apertura"),N179="Sí",ISNUMBER(I179),ISNUMBER(J179),ABS(I179)&lt;=90,ABS(J179)&lt;=180),1,0)</x:f>
        <x:v>0</x:v>
      </x:c>
    </x:row>
    <x:row r="180" ht="23" customHeight="1">
      <x:c r="A180" s="45" t="str">
        <x:v>Centro Sur</x:v>
      </x:c>
      <x:c r="B180" s="45" t="str">
        <x:v>Sin asignación</x:v>
      </x:c>
      <x:c r="C180" s="50" t="str">
        <x:v>38856</x:v>
      </x:c>
      <x:c r="D180" s="45" t="str">
        <x:v>Cinemex Artz</x:v>
      </x:c>
      <x:c r="E180" s="45" t="str">
        <x:v>Cierre Definitivo</x:v>
      </x:c>
      <x:c r="F180" s="51" t="d">
        <x:v>2019-02-21T00:00:00.000Z</x:v>
      </x:c>
      <x:c r="G180" s="45" t="str">
        <x:v>Álvaro Obregón</x:v>
      </x:c>
      <x:c r="H180" s="45" t="str">
        <x:v>Ciudad De México</x:v>
      </x:c>
      <x:c r="I180" s="52" t="n">
        <x:v>19.3132</x:v>
      </x:c>
      <x:c r="J180" s="52" t="n">
        <x:v>-99.2186</x:v>
      </x:c>
      <x:c r="K180" s="45" t="str">
        <x:v>-</x:v>
      </x:c>
      <x:c r="L180" s="45" t="str">
        <x:v>Tourism_and_Entertainment</x:v>
      </x:c>
      <x:c r="M180" s="45" t="str"/>
      <x:c r="N180" s="45" t="str">
        <x:v>No</x:v>
      </x:c>
      <x:c r="O180" s="45" t="str">
        <x:v>Sin asignación</x:v>
      </x:c>
      <x:c r="P180" s="45" t="str">
        <x:v>Ops y Directorio Alsea · octubre 2026</x:v>
      </x:c>
      <x:c r="Q180" s="45" t="str">
        <x:v>Directorio Alsea octubre 2026</x:v>
      </x:c>
      <x:c r="R180" s="45" t="str">
        <x:v>Cierre Definitivo</x:v>
      </x:c>
      <x:c r="S180" s="45" t="str"/>
      <x:c r="T180" s="45" t="n">
        <x:f>IF(AND(OR(E180="Abierta",E180="Próxima Apertura"),N180="Sí",ISNUMBER(I180),ISNUMBER(J180),ABS(I180)&lt;=90,ABS(J180)&lt;=180),1,0)</x:f>
        <x:v>0</x:v>
      </x:c>
    </x:row>
    <x:row r="181" ht="23" customHeight="1">
      <x:c r="A181" s="45" t="str">
        <x:v>Centro Poniente</x:v>
      </x:c>
      <x:c r="B181" s="45" t="str">
        <x:v>Adriana Alejandra Tanus Buhler</x:v>
      </x:c>
      <x:c r="C181" s="50" t="str">
        <x:v>38103</x:v>
      </x:c>
      <x:c r="D181" s="45" t="str">
        <x:v>Aguilas</x:v>
      </x:c>
      <x:c r="E181" s="45" t="str">
        <x:v>Abierta</x:v>
      </x:c>
      <x:c r="F181" s="51" t="d">
        <x:v>2002-11-11T00:00:00.000Z</x:v>
      </x:c>
      <x:c r="G181" s="45" t="str">
        <x:v>Álvaro Obregón</x:v>
      </x:c>
      <x:c r="H181" s="45" t="str">
        <x:v>Ciudad De México</x:v>
      </x:c>
      <x:c r="I181" s="52" t="n">
        <x:v>19.3611737</x:v>
      </x:c>
      <x:c r="J181" s="52" t="n">
        <x:v>-99.1975057</x:v>
      </x:c>
      <x:c r="K181" s="45" t="str">
        <x:v>Cafe</x:v>
      </x:c>
      <x:c r="L181" s="45" t="str">
        <x:v>Neighborhood</x:v>
      </x:c>
      <x:c r="M181" s="45" t="str">
        <x:v>C2</x:v>
      </x:c>
      <x:c r="N181" s="45" t="str">
        <x:v>Sí</x:v>
      </x:c>
      <x:c r="O181" s="45" t="str">
        <x:v>Adriana Alejandra Tanus Buhler</x:v>
      </x:c>
      <x:c r="P181" s="45" t="str">
        <x:v>Ops y Directorio Alsea · octubre 2026</x:v>
      </x:c>
      <x:c r="Q181" s="45" t="str">
        <x:v>Puntos proporcionados</x:v>
      </x:c>
      <x:c r="R181" s="45" t="str">
        <x:v>Abierta</x:v>
      </x:c>
      <x:c r="S181" s="45" t="str"/>
      <x:c r="T181" s="45" t="n">
        <x:f>IF(AND(OR(E181="Abierta",E181="Próxima Apertura"),N181="Sí",ISNUMBER(I181),ISNUMBER(J181),ABS(I181)&lt;=90,ABS(J181)&lt;=180),1,0)</x:f>
        <x:v>1</x:v>
      </x:c>
    </x:row>
    <x:row r="182" ht="23" customHeight="1">
      <x:c r="A182" s="45" t="str">
        <x:v>Centro Poniente</x:v>
      </x:c>
      <x:c r="B182" s="45" t="str">
        <x:v>Adriana Alejandra Tanus Buhler</x:v>
      </x:c>
      <x:c r="C182" s="50" t="str">
        <x:v>38104</x:v>
      </x:c>
      <x:c r="D182" s="45" t="str">
        <x:v>Olivar</x:v>
      </x:c>
      <x:c r="E182" s="45" t="str">
        <x:v>Cierre Temporal</x:v>
      </x:c>
      <x:c r="F182" s="51" t="d">
        <x:v>2002-12-26T00:00:00.000Z</x:v>
      </x:c>
      <x:c r="G182" s="45" t="str">
        <x:v>Álvaro Obregón</x:v>
      </x:c>
      <x:c r="H182" s="45" t="str">
        <x:v>Ciudad De México</x:v>
      </x:c>
      <x:c r="I182" s="52" t="n">
        <x:v>19.3372467</x:v>
      </x:c>
      <x:c r="J182" s="52" t="n">
        <x:v>-99.2376761</x:v>
      </x:c>
      <x:c r="K182" s="45" t="str">
        <x:v>Cafe</x:v>
      </x:c>
      <x:c r="L182" s="45" t="str">
        <x:v>Neighborhood</x:v>
      </x:c>
      <x:c r="M182" s="45" t="str">
        <x:v>C2</x:v>
      </x:c>
      <x:c r="N182" s="45" t="str">
        <x:v>No</x:v>
      </x:c>
      <x:c r="O182" s="45" t="str">
        <x:v>Adriana Alejandra Tanus Buhler</x:v>
      </x:c>
      <x:c r="P182" s="45" t="str">
        <x:v>Ops y Directorio Alsea · octubre 2026</x:v>
      </x:c>
      <x:c r="Q182" s="45" t="str">
        <x:v>Puntos proporcionados</x:v>
      </x:c>
      <x:c r="R182" s="45" t="str">
        <x:v>Abierta</x:v>
      </x:c>
      <x:c r="S182" s="45" t="str">
        <x:v>Ops: Cierre Temporal. Alsea: Abierta. Se conserva el estatus operativo más específico.</x:v>
      </x:c>
      <x:c r="T182" s="45" t="n">
        <x:f>IF(AND(OR(E182="Abierta",E182="Próxima Apertura"),N182="Sí",ISNUMBER(I182),ISNUMBER(J182),ABS(I182)&lt;=90,ABS(J182)&lt;=180),1,0)</x:f>
        <x:v>0</x:v>
      </x:c>
    </x:row>
    <x:row r="183" ht="23" customHeight="1">
      <x:c r="A183" s="45" t="str">
        <x:v>Centro Poniente</x:v>
      </x:c>
      <x:c r="B183" s="45" t="str">
        <x:v>Adriana Alejandra Tanus Buhler</x:v>
      </x:c>
      <x:c r="C183" s="50" t="str">
        <x:v>38106</x:v>
      </x:c>
      <x:c r="D183" s="45" t="str">
        <x:v>Prado Norte</x:v>
      </x:c>
      <x:c r="E183" s="45" t="str">
        <x:v>Abierta</x:v>
      </x:c>
      <x:c r="F183" s="51" t="d">
        <x:v>2003-03-17T00:00:00.000Z</x:v>
      </x:c>
      <x:c r="G183" s="45" t="str">
        <x:v>Miguel Hidalgo</x:v>
      </x:c>
      <x:c r="H183" s="45" t="str">
        <x:v>Ciudad De México</x:v>
      </x:c>
      <x:c r="I183" s="52" t="n">
        <x:v>19.427679</x:v>
      </x:c>
      <x:c r="J183" s="52" t="n">
        <x:v>-99.20917</x:v>
      </x:c>
      <x:c r="K183" s="45" t="str">
        <x:v>Cafe</x:v>
      </x:c>
      <x:c r="L183" s="45" t="str">
        <x:v>Neighborhood</x:v>
      </x:c>
      <x:c r="M183" s="45" t="str">
        <x:v>C2</x:v>
      </x:c>
      <x:c r="N183" s="45" t="str">
        <x:v>Sí</x:v>
      </x:c>
      <x:c r="O183" s="45" t="str">
        <x:v>Adriana Alejandra Tanus Buhler</x:v>
      </x:c>
      <x:c r="P183" s="45" t="str">
        <x:v>Ops y Directorio Alsea · octubre 2026</x:v>
      </x:c>
      <x:c r="Q183" s="45" t="str">
        <x:v>Puntos proporcionados</x:v>
      </x:c>
      <x:c r="R183" s="45" t="str">
        <x:v>Abierta</x:v>
      </x:c>
      <x:c r="S183" s="45" t="str"/>
      <x:c r="T183" s="45" t="n">
        <x:f>IF(AND(OR(E183="Abierta",E183="Próxima Apertura"),N183="Sí",ISNUMBER(I183),ISNUMBER(J183),ABS(I183)&lt;=90,ABS(J183)&lt;=180),1,0)</x:f>
        <x:v>1</x:v>
      </x:c>
    </x:row>
    <x:row r="184" ht="23" customHeight="1">
      <x:c r="A184" s="45" t="str">
        <x:v>Centro Poniente</x:v>
      </x:c>
      <x:c r="B184" s="45" t="str">
        <x:v>Adriana Alejandra Tanus Buhler</x:v>
      </x:c>
      <x:c r="C184" s="50" t="str">
        <x:v>38112</x:v>
      </x:c>
      <x:c r="D184" s="45" t="str">
        <x:v>Insurgentes Parroquia</x:v>
      </x:c>
      <x:c r="E184" s="45" t="str">
        <x:v>Abierta</x:v>
      </x:c>
      <x:c r="F184" s="51" t="d">
        <x:v>2003-07-25T00:00:00.000Z</x:v>
      </x:c>
      <x:c r="G184" s="45" t="str">
        <x:v>Benito Juárez</x:v>
      </x:c>
      <x:c r="H184" s="45" t="str">
        <x:v>Ciudad De México</x:v>
      </x:c>
      <x:c r="I184" s="52" t="n">
        <x:v>19.3706487</x:v>
      </x:c>
      <x:c r="J184" s="52" t="n">
        <x:v>-99.1801493</x:v>
      </x:c>
      <x:c r="K184" s="45" t="str">
        <x:v>Cafe</x:v>
      </x:c>
      <x:c r="L184" s="45" t="str">
        <x:v>Office_Complex</x:v>
      </x:c>
      <x:c r="M184" s="45" t="str">
        <x:v>C1</x:v>
      </x:c>
      <x:c r="N184" s="45" t="str">
        <x:v>Sí</x:v>
      </x:c>
      <x:c r="O184" s="45" t="str">
        <x:v>Adriana Alejandra Tanus Buhler</x:v>
      </x:c>
      <x:c r="P184" s="45" t="str">
        <x:v>Ops y Directorio Alsea · octubre 2026</x:v>
      </x:c>
      <x:c r="Q184" s="45" t="str">
        <x:v>Puntos proporcionados</x:v>
      </x:c>
      <x:c r="R184" s="45" t="str">
        <x:v>Abierta</x:v>
      </x:c>
      <x:c r="S184" s="45" t="str"/>
      <x:c r="T184" s="45" t="n">
        <x:f>IF(AND(OR(E184="Abierta",E184="Próxima Apertura"),N184="Sí",ISNUMBER(I184),ISNUMBER(J184),ABS(I184)&lt;=90,ABS(J184)&lt;=180),1,0)</x:f>
        <x:v>1</x:v>
      </x:c>
    </x:row>
    <x:row r="185" ht="23" customHeight="1">
      <x:c r="A185" s="45" t="str">
        <x:v>Centro Poniente</x:v>
      </x:c>
      <x:c r="B185" s="45" t="str">
        <x:v>Adriana Alejandra Tanus Buhler</x:v>
      </x:c>
      <x:c r="C185" s="50" t="str">
        <x:v>38188</x:v>
      </x:c>
      <x:c r="D185" s="45" t="str">
        <x:v>Palmas</x:v>
      </x:c>
      <x:c r="E185" s="45" t="str">
        <x:v>Abierta</x:v>
      </x:c>
      <x:c r="F185" s="51" t="d">
        <x:v>2006-06-20T00:00:00.000Z</x:v>
      </x:c>
      <x:c r="G185" s="45" t="str">
        <x:v>Miguel Hidalgo</x:v>
      </x:c>
      <x:c r="H185" s="45" t="str">
        <x:v>Ciudad De México</x:v>
      </x:c>
      <x:c r="I185" s="52" t="n">
        <x:v>19.429397</x:v>
      </x:c>
      <x:c r="J185" s="52" t="n">
        <x:v>-99.215921</x:v>
      </x:c>
      <x:c r="K185" s="45" t="str">
        <x:v>Cafe</x:v>
      </x:c>
      <x:c r="L185" s="45" t="str">
        <x:v>Retail</x:v>
      </x:c>
      <x:c r="M185" s="45" t="str">
        <x:v>C2</x:v>
      </x:c>
      <x:c r="N185" s="45" t="str">
        <x:v>Sí</x:v>
      </x:c>
      <x:c r="O185" s="45" t="str">
        <x:v>Adriana Alejandra Tanus Buhler</x:v>
      </x:c>
      <x:c r="P185" s="45" t="str">
        <x:v>Ops y Directorio Alsea · octubre 2026</x:v>
      </x:c>
      <x:c r="Q185" s="45" t="str">
        <x:v>Puntos proporcionados</x:v>
      </x:c>
      <x:c r="R185" s="45" t="str">
        <x:v>Abierta</x:v>
      </x:c>
      <x:c r="S185" s="45" t="str"/>
      <x:c r="T185" s="45" t="n">
        <x:f>IF(AND(OR(E185="Abierta",E185="Próxima Apertura"),N185="Sí",ISNUMBER(I185),ISNUMBER(J185),ABS(I185)&lt;=90,ABS(J185)&lt;=180),1,0)</x:f>
        <x:v>1</x:v>
      </x:c>
    </x:row>
    <x:row r="186" ht="23" customHeight="1">
      <x:c r="A186" s="45" t="str">
        <x:v>Centro Poniente</x:v>
      </x:c>
      <x:c r="B186" s="45" t="str">
        <x:v>Adriana Alejandra Tanus Buhler</x:v>
      </x:c>
      <x:c r="C186" s="50" t="str">
        <x:v>38227</x:v>
      </x:c>
      <x:c r="D186" s="45" t="str">
        <x:v>Lomas Plaza</x:v>
      </x:c>
      <x:c r="E186" s="45" t="str">
        <x:v>Abierta</x:v>
      </x:c>
      <x:c r="F186" s="51" t="d">
        <x:v>2007-04-20T00:00:00.000Z</x:v>
      </x:c>
      <x:c r="G186" s="45" t="str">
        <x:v>Miguel Hidalgo</x:v>
      </x:c>
      <x:c r="H186" s="45" t="str">
        <x:v>Ciudad De México</x:v>
      </x:c>
      <x:c r="I186" s="52" t="n">
        <x:v>19.4301651</x:v>
      </x:c>
      <x:c r="J186" s="52" t="n">
        <x:v>-99.2068075</x:v>
      </x:c>
      <x:c r="K186" s="45" t="str">
        <x:v>Cafe</x:v>
      </x:c>
      <x:c r="L186" s="45" t="str">
        <x:v>Office_Complex</x:v>
      </x:c>
      <x:c r="M186" s="45" t="str">
        <x:v>C2</x:v>
      </x:c>
      <x:c r="N186" s="45" t="str">
        <x:v>Sí</x:v>
      </x:c>
      <x:c r="O186" s="45" t="str">
        <x:v>Adriana Alejandra Tanus Buhler</x:v>
      </x:c>
      <x:c r="P186" s="45" t="str">
        <x:v>Ops y Directorio Alsea · octubre 2026</x:v>
      </x:c>
      <x:c r="Q186" s="45" t="str">
        <x:v>Puntos proporcionados</x:v>
      </x:c>
      <x:c r="R186" s="45" t="str">
        <x:v>Abierta</x:v>
      </x:c>
      <x:c r="S186" s="45" t="str"/>
      <x:c r="T186" s="45" t="n">
        <x:f>IF(AND(OR(E186="Abierta",E186="Próxima Apertura"),N186="Sí",ISNUMBER(I186),ISNUMBER(J186),ABS(I186)&lt;=90,ABS(J186)&lt;=180),1,0)</x:f>
        <x:v>1</x:v>
      </x:c>
    </x:row>
    <x:row r="187" ht="23" customHeight="1">
      <x:c r="A187" s="45" t="str">
        <x:v>Centro Poniente</x:v>
      </x:c>
      <x:c r="B187" s="45" t="str">
        <x:v>Adriana Alejandra Tanus Buhler</x:v>
      </x:c>
      <x:c r="C187" s="50" t="str">
        <x:v>38617</x:v>
      </x:c>
      <x:c r="D187" s="45" t="str">
        <x:v>Axomiatla</x:v>
      </x:c>
      <x:c r="E187" s="45" t="str">
        <x:v>Abierta</x:v>
      </x:c>
      <x:c r="F187" s="51" t="d">
        <x:v>2015-09-24T00:00:00.000Z</x:v>
      </x:c>
      <x:c r="G187" s="45" t="str">
        <x:v>Álvaro Obregón</x:v>
      </x:c>
      <x:c r="H187" s="45" t="str">
        <x:v>Ciudad De México</x:v>
      </x:c>
      <x:c r="I187" s="52" t="n">
        <x:v>19.3408296</x:v>
      </x:c>
      <x:c r="J187" s="52" t="n">
        <x:v>-99.2520733</x:v>
      </x:c>
      <x:c r="K187" s="45" t="str">
        <x:v>Cafe</x:v>
      </x:c>
      <x:c r="L187" s="45" t="str">
        <x:v>Neighborhood</x:v>
      </x:c>
      <x:c r="M187" s="45" t="str">
        <x:v>C2</x:v>
      </x:c>
      <x:c r="N187" s="45" t="str">
        <x:v>Sí</x:v>
      </x:c>
      <x:c r="O187" s="45" t="str">
        <x:v>Adriana Alejandra Tanus Buhler</x:v>
      </x:c>
      <x:c r="P187" s="45" t="str">
        <x:v>Ops y Directorio Alsea · octubre 2026</x:v>
      </x:c>
      <x:c r="Q187" s="45" t="str">
        <x:v>Puntos proporcionados</x:v>
      </x:c>
      <x:c r="R187" s="45" t="str">
        <x:v>Abierta</x:v>
      </x:c>
      <x:c r="S187" s="45" t="str"/>
      <x:c r="T187" s="45" t="n">
        <x:f>IF(AND(OR(E187="Abierta",E187="Próxima Apertura"),N187="Sí",ISNUMBER(I187),ISNUMBER(J187),ABS(I187)&lt;=90,ABS(J187)&lt;=180),1,0)</x:f>
        <x:v>1</x:v>
      </x:c>
    </x:row>
    <x:row r="188" ht="23" customHeight="1">
      <x:c r="A188" s="45" t="str">
        <x:v>Centro Poniente</x:v>
      </x:c>
      <x:c r="B188" s="45" t="str">
        <x:v>Adriana Alejandra Tanus Buhler</x:v>
      </x:c>
      <x:c r="C188" s="50" t="str">
        <x:v>38646</x:v>
      </x:c>
      <x:c r="D188" s="45" t="str">
        <x:v>Carracci</x:v>
      </x:c>
      <x:c r="E188" s="45" t="str">
        <x:v>Abierta</x:v>
      </x:c>
      <x:c r="F188" s="51" t="d">
        <x:v>2016-06-20T00:00:00.000Z</x:v>
      </x:c>
      <x:c r="G188" s="45" t="str">
        <x:v>Benito Juárez</x:v>
      </x:c>
      <x:c r="H188" s="45" t="str">
        <x:v>Ciudad De México</x:v>
      </x:c>
      <x:c r="I188" s="52" t="n">
        <x:v>19.3769634</x:v>
      </x:c>
      <x:c r="J188" s="52" t="n">
        <x:v>-99.1862414</x:v>
      </x:c>
      <x:c r="K188" s="45" t="str">
        <x:v>Drive_Thru</x:v>
      </x:c>
      <x:c r="L188" s="45" t="str">
        <x:v>Transfers</x:v>
      </x:c>
      <x:c r="M188" s="45" t="str">
        <x:v>C1</x:v>
      </x:c>
      <x:c r="N188" s="45" t="str">
        <x:v>Sí</x:v>
      </x:c>
      <x:c r="O188" s="45" t="str">
        <x:v>Adriana Alejandra Tanus Buhler</x:v>
      </x:c>
      <x:c r="P188" s="45" t="str">
        <x:v>Ops y Directorio Alsea · octubre 2026</x:v>
      </x:c>
      <x:c r="Q188" s="45" t="str">
        <x:v>Puntos proporcionados</x:v>
      </x:c>
      <x:c r="R188" s="45" t="str">
        <x:v>Abierta</x:v>
      </x:c>
      <x:c r="S188" s="45" t="str"/>
      <x:c r="T188" s="45" t="n">
        <x:f>IF(AND(OR(E188="Abierta",E188="Próxima Apertura"),N188="Sí",ISNUMBER(I188),ISNUMBER(J188),ABS(I188)&lt;=90,ABS(J188)&lt;=180),1,0)</x:f>
        <x:v>1</x:v>
      </x:c>
    </x:row>
    <x:row r="189" ht="23" customHeight="1">
      <x:c r="A189" s="45" t="str">
        <x:v>Centro Poniente</x:v>
      </x:c>
      <x:c r="B189" s="45" t="str">
        <x:v>Adriana Alejandra Tanus Buhler</x:v>
      </x:c>
      <x:c r="C189" s="50" t="str">
        <x:v>38692</x:v>
      </x:c>
      <x:c r="D189" s="45" t="str">
        <x:v>Plaza Exhibimex</x:v>
      </x:c>
      <x:c r="E189" s="45" t="str">
        <x:v>Abierta</x:v>
      </x:c>
      <x:c r="F189" s="51" t="d">
        <x:v>2016-12-12T00:00:00.000Z</x:v>
      </x:c>
      <x:c r="G189" s="45" t="str">
        <x:v>Álvaro Obregón</x:v>
      </x:c>
      <x:c r="H189" s="45" t="str">
        <x:v>Ciudad De México</x:v>
      </x:c>
      <x:c r="I189" s="52" t="n">
        <x:v>19.388473</x:v>
      </x:c>
      <x:c r="J189" s="52" t="n">
        <x:v>-99.191163</x:v>
      </x:c>
      <x:c r="K189" s="45" t="str">
        <x:v>Cafe</x:v>
      </x:c>
      <x:c r="L189" s="45" t="str">
        <x:v>Retail</x:v>
      </x:c>
      <x:c r="M189" s="45" t="str">
        <x:v>C1</x:v>
      </x:c>
      <x:c r="N189" s="45" t="str">
        <x:v>Sí</x:v>
      </x:c>
      <x:c r="O189" s="45" t="str">
        <x:v>Adriana Alejandra Tanus Buhler</x:v>
      </x:c>
      <x:c r="P189" s="45" t="str">
        <x:v>Ops y Directorio Alsea · octubre 2026</x:v>
      </x:c>
      <x:c r="Q189" s="45" t="str">
        <x:v>Puntos proporcionados</x:v>
      </x:c>
      <x:c r="R189" s="45" t="str">
        <x:v>Abierta</x:v>
      </x:c>
      <x:c r="S189" s="45" t="str"/>
      <x:c r="T189" s="45" t="n">
        <x:f>IF(AND(OR(E189="Abierta",E189="Próxima Apertura"),N189="Sí",ISNUMBER(I189),ISNUMBER(J189),ABS(I189)&lt;=90,ABS(J189)&lt;=180),1,0)</x:f>
        <x:v>1</x:v>
      </x:c>
    </x:row>
    <x:row r="190" ht="23" customHeight="1">
      <x:c r="A190" s="45" t="str">
        <x:v>Centro Poniente</x:v>
      </x:c>
      <x:c r="B190" s="45" t="str">
        <x:v>Adriana Alejandra Tanus Buhler</x:v>
      </x:c>
      <x:c r="C190" s="50" t="str">
        <x:v>38730</x:v>
      </x:c>
      <x:c r="D190" s="45" t="str">
        <x:v>Manacar PB</x:v>
      </x:c>
      <x:c r="E190" s="45" t="str">
        <x:v>Abierta</x:v>
      </x:c>
      <x:c r="F190" s="51" t="d">
        <x:v>2017-07-28T00:00:00.000Z</x:v>
      </x:c>
      <x:c r="G190" s="45" t="str">
        <x:v>Benito Juárez</x:v>
      </x:c>
      <x:c r="H190" s="45" t="str">
        <x:v>Ciudad De México</x:v>
      </x:c>
      <x:c r="I190" s="52" t="n">
        <x:v>19.3687492</x:v>
      </x:c>
      <x:c r="J190" s="52" t="n">
        <x:v>-99.1815395</x:v>
      </x:c>
      <x:c r="K190" s="45" t="str">
        <x:v>Cafe</x:v>
      </x:c>
      <x:c r="L190" s="45" t="str">
        <x:v>Office_Complex</x:v>
      </x:c>
      <x:c r="M190" s="45" t="str">
        <x:v>C1</x:v>
      </x:c>
      <x:c r="N190" s="45" t="str">
        <x:v>Sí</x:v>
      </x:c>
      <x:c r="O190" s="45" t="str">
        <x:v>Adriana Alejandra Tanus Buhler</x:v>
      </x:c>
      <x:c r="P190" s="45" t="str">
        <x:v>Ops y Directorio Alsea · octubre 2026</x:v>
      </x:c>
      <x:c r="Q190" s="45" t="str">
        <x:v>Puntos proporcionados</x:v>
      </x:c>
      <x:c r="R190" s="45" t="str">
        <x:v>Abierta</x:v>
      </x:c>
      <x:c r="S190" s="45" t="str"/>
      <x:c r="T190" s="45" t="n">
        <x:f>IF(AND(OR(E190="Abierta",E190="Próxima Apertura"),N190="Sí",ISNUMBER(I190),ISNUMBER(J190),ABS(I190)&lt;=90,ABS(J190)&lt;=180),1,0)</x:f>
        <x:v>1</x:v>
      </x:c>
    </x:row>
    <x:row r="191" ht="23" customHeight="1">
      <x:c r="A191" s="45" t="str">
        <x:v>Centro Poniente</x:v>
      </x:c>
      <x:c r="B191" s="45" t="str">
        <x:v>Adriana Alejandra Tanus Buhler</x:v>
      </x:c>
      <x:c r="C191" s="50" t="str">
        <x:v>38746</x:v>
      </x:c>
      <x:c r="D191" s="45" t="str">
        <x:v>Arcos Bosques II</x:v>
      </x:c>
      <x:c r="E191" s="45" t="str">
        <x:v>Abierta</x:v>
      </x:c>
      <x:c r="F191" s="51" t="d">
        <x:v>2018-01-11T00:00:00.000Z</x:v>
      </x:c>
      <x:c r="G191" s="45" t="str">
        <x:v>Cuajimalpa</x:v>
      </x:c>
      <x:c r="H191" s="45" t="str">
        <x:v>Ciudad De México</x:v>
      </x:c>
      <x:c r="I191" s="52" t="n">
        <x:v>19.387095</x:v>
      </x:c>
      <x:c r="J191" s="52" t="n">
        <x:v>-99.251928</x:v>
      </x:c>
      <x:c r="K191" s="45" t="str">
        <x:v>Kiosko</x:v>
      </x:c>
      <x:c r="L191" s="45" t="str">
        <x:v>Office_Complex</x:v>
      </x:c>
      <x:c r="M191" s="45" t="str">
        <x:v>C2</x:v>
      </x:c>
      <x:c r="N191" s="45" t="str">
        <x:v>Sí</x:v>
      </x:c>
      <x:c r="O191" s="45" t="str">
        <x:v>Adriana Alejandra Tanus Buhler</x:v>
      </x:c>
      <x:c r="P191" s="45" t="str">
        <x:v>Ops y Directorio Alsea · octubre 2026</x:v>
      </x:c>
      <x:c r="Q191" s="45" t="str">
        <x:v>Puntos proporcionados</x:v>
      </x:c>
      <x:c r="R191" s="45" t="str">
        <x:v>Abierta</x:v>
      </x:c>
      <x:c r="S191" s="45" t="str"/>
      <x:c r="T191" s="45" t="n">
        <x:f>IF(AND(OR(E191="Abierta",E191="Próxima Apertura"),N191="Sí",ISNUMBER(I191),ISNUMBER(J191),ABS(I191)&lt;=90,ABS(J191)&lt;=180),1,0)</x:f>
        <x:v>1</x:v>
      </x:c>
    </x:row>
    <x:row r="192" ht="23" customHeight="1">
      <x:c r="A192" s="45" t="str">
        <x:v>Centro Poniente</x:v>
      </x:c>
      <x:c r="B192" s="45" t="str">
        <x:v>Adriana Alejandra Tanus Buhler</x:v>
      </x:c>
      <x:c r="C192" s="50" t="str">
        <x:v>38954</x:v>
      </x:c>
      <x:c r="D192" s="45" t="str">
        <x:v>Universidad Anahuac Campus Sur</x:v>
      </x:c>
      <x:c r="E192" s="45" t="str">
        <x:v>Abierta</x:v>
      </x:c>
      <x:c r="F192" s="51" t="d">
        <x:v>2023-05-08T00:00:00.000Z</x:v>
      </x:c>
      <x:c r="G192" s="45" t="str">
        <x:v>Álvaro Obregón</x:v>
      </x:c>
      <x:c r="H192" s="45" t="str">
        <x:v>Ciudad De México</x:v>
      </x:c>
      <x:c r="I192" s="52" t="n">
        <x:v>19.3348162</x:v>
      </x:c>
      <x:c r="J192" s="52" t="n">
        <x:v>-99.2445265</x:v>
      </x:c>
      <x:c r="K192" s="45" t="str">
        <x:v>Cafe</x:v>
      </x:c>
      <x:c r="L192" s="45" t="str">
        <x:v>Institution</x:v>
      </x:c>
      <x:c r="M192" s="45" t="str">
        <x:v>C1</x:v>
      </x:c>
      <x:c r="N192" s="45" t="str">
        <x:v>Sí</x:v>
      </x:c>
      <x:c r="O192" s="45" t="str">
        <x:v>Adriana Alejandra Tanus Buhler</x:v>
      </x:c>
      <x:c r="P192" s="45" t="str">
        <x:v>Ops y Directorio Alsea · octubre 2026</x:v>
      </x:c>
      <x:c r="Q192" s="45" t="str">
        <x:v>Puntos proporcionados</x:v>
      </x:c>
      <x:c r="R192" s="45" t="str">
        <x:v>Abierta</x:v>
      </x:c>
      <x:c r="S192" s="45" t="str"/>
      <x:c r="T192" s="45" t="n">
        <x:f>IF(AND(OR(E192="Abierta",E192="Próxima Apertura"),N192="Sí",ISNUMBER(I192),ISNUMBER(J192),ABS(I192)&lt;=90,ABS(J192)&lt;=180),1,0)</x:f>
        <x:v>1</x:v>
      </x:c>
    </x:row>
    <x:row r="193" ht="23" customHeight="1">
      <x:c r="A193" s="45" t="str">
        <x:v>Centro Poniente</x:v>
      </x:c>
      <x:c r="B193" s="45" t="str">
        <x:v>Adriana Alejandra Tanus Buhler</x:v>
      </x:c>
      <x:c r="C193" s="50" t="str">
        <x:v>43142</x:v>
      </x:c>
      <x:c r="D193" s="45" t="str">
        <x:v>Montes Urales</x:v>
      </x:c>
      <x:c r="E193" s="45" t="str">
        <x:v>Abierta</x:v>
      </x:c>
      <x:c r="F193" s="51" t="d">
        <x:v>2024-12-27T00:00:00.000Z</x:v>
      </x:c>
      <x:c r="G193" s="45" t="str">
        <x:v>Miguel Hidalgo</x:v>
      </x:c>
      <x:c r="H193" s="45" t="str">
        <x:v>Ciudad De México</x:v>
      </x:c>
      <x:c r="I193" s="52" t="n">
        <x:v>19.4288175</x:v>
      </x:c>
      <x:c r="J193" s="52" t="n">
        <x:v>-99.2073776</x:v>
      </x:c>
      <x:c r="K193" s="45" t="str">
        <x:v>Cafe</x:v>
      </x:c>
      <x:c r="L193" s="45" t="str">
        <x:v>Office_Complex</x:v>
      </x:c>
      <x:c r="M193" s="45" t="str">
        <x:v>C2</x:v>
      </x:c>
      <x:c r="N193" s="45" t="str">
        <x:v>Sí</x:v>
      </x:c>
      <x:c r="O193" s="45" t="str">
        <x:v>Adriana Alejandra Tanus Buhler</x:v>
      </x:c>
      <x:c r="P193" s="45" t="str">
        <x:v>Ops y Directorio Alsea · octubre 2026</x:v>
      </x:c>
      <x:c r="Q193" s="45" t="str">
        <x:v>Puntos proporcionados</x:v>
      </x:c>
      <x:c r="R193" s="45" t="str">
        <x:v>Abierta</x:v>
      </x:c>
      <x:c r="S193" s="45" t="str"/>
      <x:c r="T193" s="45" t="n">
        <x:f>IF(AND(OR(E193="Abierta",E193="Próxima Apertura"),N193="Sí",ISNUMBER(I193),ISNUMBER(J193),ABS(I193)&lt;=90,ABS(J193)&lt;=180),1,0)</x:f>
        <x:v>1</x:v>
      </x:c>
    </x:row>
    <x:row r="194" ht="23" customHeight="1">
      <x:c r="A194" s="45" t="str">
        <x:v>Centro Poniente</x:v>
      </x:c>
      <x:c r="B194" s="45" t="str">
        <x:v>Andrea Nava Guzman</x:v>
      </x:c>
      <x:c r="C194" s="50" t="str">
        <x:v>38233</x:v>
      </x:c>
      <x:c r="D194" s="45" t="str">
        <x:v>Toluca Colon</x:v>
      </x:c>
      <x:c r="E194" s="45" t="str">
        <x:v>Abierta</x:v>
      </x:c>
      <x:c r="F194" s="51" t="d">
        <x:v>2007-05-22T00:00:00.000Z</x:v>
      </x:c>
      <x:c r="G194" s="45" t="str">
        <x:v>Toluca</x:v>
      </x:c>
      <x:c r="H194" s="45" t="str">
        <x:v>Estado De México</x:v>
      </x:c>
      <x:c r="I194" s="52" t="n">
        <x:v>19.279162</x:v>
      </x:c>
      <x:c r="J194" s="52" t="n">
        <x:v>-99.661345</x:v>
      </x:c>
      <x:c r="K194" s="45" t="str">
        <x:v>Cafe</x:v>
      </x:c>
      <x:c r="L194" s="45" t="str">
        <x:v>Neighborhood</x:v>
      </x:c>
      <x:c r="M194" s="45" t="str">
        <x:v>C1</x:v>
      </x:c>
      <x:c r="N194" s="45" t="str">
        <x:v>Sí</x:v>
      </x:c>
      <x:c r="O194" s="45" t="str">
        <x:v>Andrea Nava Guzman</x:v>
      </x:c>
      <x:c r="P194" s="45" t="str">
        <x:v>Ops y Directorio Alsea · octubre 2026</x:v>
      </x:c>
      <x:c r="Q194" s="45" t="str">
        <x:v>Puntos proporcionados</x:v>
      </x:c>
      <x:c r="R194" s="45" t="str">
        <x:v>Abierta</x:v>
      </x:c>
      <x:c r="S194" s="45" t="str"/>
      <x:c r="T194" s="45" t="n">
        <x:f>IF(AND(OR(E194="Abierta",E194="Próxima Apertura"),N194="Sí",ISNUMBER(I194),ISNUMBER(J194),ABS(I194)&lt;=90,ABS(J194)&lt;=180),1,0)</x:f>
        <x:v>1</x:v>
      </x:c>
    </x:row>
    <x:row r="195" ht="23" customHeight="1">
      <x:c r="A195" s="45" t="str">
        <x:v>Centro Poniente</x:v>
      </x:c>
      <x:c r="B195" s="45" t="str">
        <x:v>Andrea Nava Guzman</x:v>
      </x:c>
      <x:c r="C195" s="50" t="str">
        <x:v>38578</x:v>
      </x:c>
      <x:c r="D195" s="45" t="str">
        <x:v>Galerias Toluca</x:v>
      </x:c>
      <x:c r="E195" s="45" t="str">
        <x:v>Abierta</x:v>
      </x:c>
      <x:c r="F195" s="51" t="d">
        <x:v>2015-04-30T00:00:00.000Z</x:v>
      </x:c>
      <x:c r="G195" s="45" t="str">
        <x:v>Toluca</x:v>
      </x:c>
      <x:c r="H195" s="45" t="str">
        <x:v>Estado De México</x:v>
      </x:c>
      <x:c r="I195" s="52" t="n">
        <x:v>19.289888</x:v>
      </x:c>
      <x:c r="J195" s="52" t="n">
        <x:v>-99.622388</x:v>
      </x:c>
      <x:c r="K195" s="45" t="str">
        <x:v>Kiosko</x:v>
      </x:c>
      <x:c r="L195" s="45" t="str">
        <x:v>Retail</x:v>
      </x:c>
      <x:c r="M195" s="45" t="str">
        <x:v>C1</x:v>
      </x:c>
      <x:c r="N195" s="45" t="str">
        <x:v>Sí</x:v>
      </x:c>
      <x:c r="O195" s="45" t="str">
        <x:v>Andrea Nava Guzman</x:v>
      </x:c>
      <x:c r="P195" s="45" t="str">
        <x:v>Ops y Directorio Alsea · octubre 2026</x:v>
      </x:c>
      <x:c r="Q195" s="45" t="str">
        <x:v>Puntos proporcionados</x:v>
      </x:c>
      <x:c r="R195" s="45" t="str">
        <x:v>Abierta</x:v>
      </x:c>
      <x:c r="S195" s="45" t="str"/>
      <x:c r="T195" s="45" t="n">
        <x:f>IF(AND(OR(E195="Abierta",E195="Próxima Apertura"),N195="Sí",ISNUMBER(I195),ISNUMBER(J195),ABS(I195)&lt;=90,ABS(J195)&lt;=180),1,0)</x:f>
        <x:v>1</x:v>
      </x:c>
    </x:row>
    <x:row r="196" ht="23" customHeight="1">
      <x:c r="A196" s="45" t="str">
        <x:v>Centro Poniente</x:v>
      </x:c>
      <x:c r="B196" s="45" t="str">
        <x:v>Andrea Nava Guzman</x:v>
      </x:c>
      <x:c r="C196" s="50" t="str">
        <x:v>38769</x:v>
      </x:c>
      <x:c r="D196" s="45" t="str">
        <x:v>Patio Toluca</x:v>
      </x:c>
      <x:c r="E196" s="45" t="str">
        <x:v>Abierta</x:v>
      </x:c>
      <x:c r="F196" s="51" t="d">
        <x:v>2017-11-28T00:00:00.000Z</x:v>
      </x:c>
      <x:c r="G196" s="45" t="str">
        <x:v>Toluca</x:v>
      </x:c>
      <x:c r="H196" s="45" t="str">
        <x:v>Estado De México</x:v>
      </x:c>
      <x:c r="I196" s="52" t="n">
        <x:v>19.28706</x:v>
      </x:c>
      <x:c r="J196" s="52" t="n">
        <x:v>-99.6321359</x:v>
      </x:c>
      <x:c r="K196" s="45" t="str">
        <x:v>Cafe</x:v>
      </x:c>
      <x:c r="L196" s="45" t="str">
        <x:v>Retail</x:v>
      </x:c>
      <x:c r="M196" s="45" t="str">
        <x:v>C1</x:v>
      </x:c>
      <x:c r="N196" s="45" t="str">
        <x:v>Sí</x:v>
      </x:c>
      <x:c r="O196" s="45" t="str">
        <x:v>Andrea Nava Guzman</x:v>
      </x:c>
      <x:c r="P196" s="45" t="str">
        <x:v>Ops y Directorio Alsea · octubre 2026</x:v>
      </x:c>
      <x:c r="Q196" s="45" t="str">
        <x:v>Puntos proporcionados</x:v>
      </x:c>
      <x:c r="R196" s="45" t="str">
        <x:v>Abierta</x:v>
      </x:c>
      <x:c r="S196" s="45" t="str"/>
      <x:c r="T196" s="45" t="n">
        <x:f>IF(AND(OR(E196="Abierta",E196="Próxima Apertura"),N196="Sí",ISNUMBER(I196),ISNUMBER(J196),ABS(I196)&lt;=90,ABS(J196)&lt;=180),1,0)</x:f>
        <x:v>1</x:v>
      </x:c>
    </x:row>
    <x:row r="197" ht="23" customHeight="1">
      <x:c r="A197" s="45" t="str">
        <x:v>Centro Poniente</x:v>
      </x:c>
      <x:c r="B197" s="45" t="str">
        <x:v>Andrea Nava Guzman</x:v>
      </x:c>
      <x:c r="C197" s="50" t="str">
        <x:v>38829</x:v>
      </x:c>
      <x:c r="D197" s="45" t="str">
        <x:v>Outlet Lerma</x:v>
      </x:c>
      <x:c r="E197" s="45" t="str">
        <x:v>Abierta</x:v>
      </x:c>
      <x:c r="F197" s="51" t="d">
        <x:v>2018-05-09T00:00:00.000Z</x:v>
      </x:c>
      <x:c r="G197" s="45" t="str">
        <x:v>Lerma</x:v>
      </x:c>
      <x:c r="H197" s="45" t="str">
        <x:v>Estado De México</x:v>
      </x:c>
      <x:c r="I197" s="52" t="n">
        <x:v>19.2834273</x:v>
      </x:c>
      <x:c r="J197" s="52" t="n">
        <x:v>-99.5005873</x:v>
      </x:c>
      <x:c r="K197" s="45" t="str">
        <x:v>Cafe</x:v>
      </x:c>
      <x:c r="L197" s="45" t="str">
        <x:v>Retail</x:v>
      </x:c>
      <x:c r="M197" s="45" t="str">
        <x:v>C1</x:v>
      </x:c>
      <x:c r="N197" s="45" t="str">
        <x:v>Sí</x:v>
      </x:c>
      <x:c r="O197" s="45" t="str">
        <x:v>Andrea Nava Guzman</x:v>
      </x:c>
      <x:c r="P197" s="45" t="str">
        <x:v>Ops y Directorio Alsea · octubre 2026</x:v>
      </x:c>
      <x:c r="Q197" s="45" t="str">
        <x:v>Puntos proporcionados</x:v>
      </x:c>
      <x:c r="R197" s="45" t="str">
        <x:v>Abierta</x:v>
      </x:c>
      <x:c r="S197" s="45" t="str"/>
      <x:c r="T197" s="45" t="n">
        <x:f>IF(AND(OR(E197="Abierta",E197="Próxima Apertura"),N197="Sí",ISNUMBER(I197),ISNUMBER(J197),ABS(I197)&lt;=90,ABS(J197)&lt;=180),1,0)</x:f>
        <x:v>1</x:v>
      </x:c>
    </x:row>
    <x:row r="198" ht="23" customHeight="1">
      <x:c r="A198" s="45" t="str">
        <x:v>Centro Poniente</x:v>
      </x:c>
      <x:c r="B198" s="45" t="str">
        <x:v>Andrea Nava Guzman</x:v>
      </x:c>
      <x:c r="C198" s="50" t="str">
        <x:v>38847</x:v>
      </x:c>
      <x:c r="D198" s="45" t="str">
        <x:v>El Molino</x:v>
      </x:c>
      <x:c r="E198" s="45" t="str">
        <x:v>Abierta</x:v>
      </x:c>
      <x:c r="F198" s="51" t="d">
        <x:v>2019-06-14T00:00:00.000Z</x:v>
      </x:c>
      <x:c r="G198" s="45" t="str">
        <x:v>Toluca</x:v>
      </x:c>
      <x:c r="H198" s="45" t="str">
        <x:v>Estado De México</x:v>
      </x:c>
      <x:c r="I198" s="52" t="n">
        <x:v>19.2919237</x:v>
      </x:c>
      <x:c r="J198" s="52" t="n">
        <x:v>-99.6622011</x:v>
      </x:c>
      <x:c r="K198" s="45" t="str">
        <x:v>Cafe</x:v>
      </x:c>
      <x:c r="L198" s="45" t="str">
        <x:v>Retail</x:v>
      </x:c>
      <x:c r="M198" s="45" t="str">
        <x:v>C1</x:v>
      </x:c>
      <x:c r="N198" s="45" t="str">
        <x:v>Sí</x:v>
      </x:c>
      <x:c r="O198" s="45" t="str">
        <x:v>Andrea Nava Guzman</x:v>
      </x:c>
      <x:c r="P198" s="45" t="str">
        <x:v>Ops y Directorio Alsea · octubre 2026</x:v>
      </x:c>
      <x:c r="Q198" s="45" t="str">
        <x:v>Puntos proporcionados</x:v>
      </x:c>
      <x:c r="R198" s="45" t="str">
        <x:v>Abierta</x:v>
      </x:c>
      <x:c r="S198" s="45" t="str"/>
      <x:c r="T198" s="45" t="n">
        <x:f>IF(AND(OR(E198="Abierta",E198="Próxima Apertura"),N198="Sí",ISNUMBER(I198),ISNUMBER(J198),ABS(I198)&lt;=90,ABS(J198)&lt;=180),1,0)</x:f>
        <x:v>1</x:v>
      </x:c>
    </x:row>
    <x:row r="199" ht="23" customHeight="1">
      <x:c r="A199" s="45" t="str">
        <x:v>Centro Poniente</x:v>
      </x:c>
      <x:c r="B199" s="45" t="str">
        <x:v>Andrea Nava Guzman</x:v>
      </x:c>
      <x:c r="C199" s="50" t="str">
        <x:v>43011</x:v>
      </x:c>
      <x:c r="D199" s="45" t="str">
        <x:v>Carr Toluca-Atlacomulco DT</x:v>
      </x:c>
      <x:c r="E199" s="45" t="str">
        <x:v>Abierta</x:v>
      </x:c>
      <x:c r="F199" s="51" t="d">
        <x:v>2025-07-21T00:00:00.000Z</x:v>
      </x:c>
      <x:c r="G199" s="45" t="str">
        <x:v>Toluca</x:v>
      </x:c>
      <x:c r="H199" s="45" t="str">
        <x:v>Estado De México</x:v>
      </x:c>
      <x:c r="I199" s="52" t="n">
        <x:v>19.393662</x:v>
      </x:c>
      <x:c r="J199" s="52" t="n">
        <x:v>-99.70926</x:v>
      </x:c>
      <x:c r="K199" s="45" t="str">
        <x:v>Drive_Thru</x:v>
      </x:c>
      <x:c r="L199" s="45" t="str">
        <x:v>Neighborhood</x:v>
      </x:c>
      <x:c r="M199" s="45" t="str">
        <x:v>C2</x:v>
      </x:c>
      <x:c r="N199" s="45" t="str">
        <x:v>Sí</x:v>
      </x:c>
      <x:c r="O199" s="45" t="str">
        <x:v>Andrea Nava Guzman</x:v>
      </x:c>
      <x:c r="P199" s="45" t="str">
        <x:v>Ops y Directorio Alsea · octubre 2026</x:v>
      </x:c>
      <x:c r="Q199" s="45" t="str">
        <x:v>Puntos proporcionados</x:v>
      </x:c>
      <x:c r="R199" s="45" t="str">
        <x:v>Abierta</x:v>
      </x:c>
      <x:c r="S199" s="45" t="str"/>
      <x:c r="T199" s="45" t="n">
        <x:f>IF(AND(OR(E199="Abierta",E199="Próxima Apertura"),N199="Sí",ISNUMBER(I199),ISNUMBER(J199),ABS(I199)&lt;=90,ABS(J199)&lt;=180),1,0)</x:f>
        <x:v>1</x:v>
      </x:c>
    </x:row>
    <x:row r="200" ht="23" customHeight="1">
      <x:c r="A200" s="45" t="str">
        <x:v>Centro Poniente</x:v>
      </x:c>
      <x:c r="B200" s="45" t="str">
        <x:v>Andrea Nava Guzman</x:v>
      </x:c>
      <x:c r="C200" s="50" t="str">
        <x:v>43058</x:v>
      </x:c>
      <x:c r="D200" s="45" t="str">
        <x:v>Casa de Gobierno DT</x:v>
      </x:c>
      <x:c r="E200" s="45" t="str">
        <x:v>Abierta</x:v>
      </x:c>
      <x:c r="F200" s="51" t="d">
        <x:v>2026-03-20T00:00:00.000Z</x:v>
      </x:c>
      <x:c r="G200" s="45" t="str">
        <x:v>Toluca</x:v>
      </x:c>
      <x:c r="H200" s="45" t="str">
        <x:v>Estado De México</x:v>
      </x:c>
      <x:c r="I200" s="52" t="n">
        <x:v>19.276025</x:v>
      </x:c>
      <x:c r="J200" s="52" t="n">
        <x:v>-99.659595</x:v>
      </x:c>
      <x:c r="K200" s="45" t="str">
        <x:v>Drive_Thru</x:v>
      </x:c>
      <x:c r="L200" s="45" t="str">
        <x:v>Neighborhood</x:v>
      </x:c>
      <x:c r="M200" s="45" t="str">
        <x:v>C2</x:v>
      </x:c>
      <x:c r="N200" s="45" t="str">
        <x:v>Sí</x:v>
      </x:c>
      <x:c r="O200" s="45" t="str">
        <x:v>Andrea Nava Guzman</x:v>
      </x:c>
      <x:c r="P200" s="45" t="str">
        <x:v>Ops y Directorio Alsea · octubre 2026</x:v>
      </x:c>
      <x:c r="Q200" s="45" t="str">
        <x:v>Puntos proporcionados</x:v>
      </x:c>
      <x:c r="R200" s="45" t="str">
        <x:v>Abierta</x:v>
      </x:c>
      <x:c r="S200" s="45" t="str"/>
      <x:c r="T200" s="45" t="n">
        <x:f>IF(AND(OR(E200="Abierta",E200="Próxima Apertura"),N200="Sí",ISNUMBER(I200),ISNUMBER(J200),ABS(I200)&lt;=90,ABS(J200)&lt;=180),1,0)</x:f>
        <x:v>1</x:v>
      </x:c>
    </x:row>
    <x:row r="201" ht="23" customHeight="1">
      <x:c r="A201" s="45" t="str">
        <x:v>Centro Poniente</x:v>
      </x:c>
      <x:c r="B201" s="45" t="str">
        <x:v>Andrea Nava Guzman</x:v>
      </x:c>
      <x:c r="C201" s="50" t="str">
        <x:v>43147</x:v>
      </x:c>
      <x:c r="D201" s="45" t="str">
        <x:v>Juarez 70</x:v>
      </x:c>
      <x:c r="E201" s="45" t="str">
        <x:v>Abierta</x:v>
      </x:c>
      <x:c r="F201" s="51" t="d">
        <x:v>2025-01-22T00:00:00.000Z</x:v>
      </x:c>
      <x:c r="G201" s="45" t="str">
        <x:v>Toluca</x:v>
      </x:c>
      <x:c r="H201" s="45" t="str">
        <x:v>Estado De México</x:v>
      </x:c>
      <x:c r="I201" s="52" t="n">
        <x:v>19.2811109</x:v>
      </x:c>
      <x:c r="J201" s="52" t="n">
        <x:v>-99.6539994</x:v>
      </x:c>
      <x:c r="K201" s="45" t="str">
        <x:v>Cafe</x:v>
      </x:c>
      <x:c r="L201" s="45" t="str">
        <x:v>Retail</x:v>
      </x:c>
      <x:c r="M201" s="45" t="str">
        <x:v>C1</x:v>
      </x:c>
      <x:c r="N201" s="45" t="str">
        <x:v>Sí</x:v>
      </x:c>
      <x:c r="O201" s="45" t="str">
        <x:v>Andrea Nava Guzman</x:v>
      </x:c>
      <x:c r="P201" s="45" t="str">
        <x:v>Ops y Directorio Alsea · octubre 2026</x:v>
      </x:c>
      <x:c r="Q201" s="45" t="str">
        <x:v>Puntos proporcionados</x:v>
      </x:c>
      <x:c r="R201" s="45" t="str">
        <x:v>Abierta</x:v>
      </x:c>
      <x:c r="S201" s="45" t="str"/>
      <x:c r="T201" s="45" t="n">
        <x:f>IF(AND(OR(E201="Abierta",E201="Próxima Apertura"),N201="Sí",ISNUMBER(I201),ISNUMBER(J201),ABS(I201)&lt;=90,ABS(J201)&lt;=180),1,0)</x:f>
        <x:v>1</x:v>
      </x:c>
    </x:row>
    <x:row r="202" ht="23" customHeight="1">
      <x:c r="A202" s="45" t="str">
        <x:v>Centro Poniente</x:v>
      </x:c>
      <x:c r="B202" s="45" t="str">
        <x:v>Areli Anahi Lazcano Lezama</x:v>
      </x:c>
      <x:c r="C202" s="50" t="str">
        <x:v>38126</x:v>
      </x:c>
      <x:c r="D202" s="45" t="str">
        <x:v>Interlomas</x:v>
      </x:c>
      <x:c r="E202" s="45" t="str">
        <x:v>Abierta</x:v>
      </x:c>
      <x:c r="F202" s="51" t="d">
        <x:v>2004-03-12T00:00:00.000Z</x:v>
      </x:c>
      <x:c r="G202" s="45" t="str">
        <x:v>Huixquilucan</x:v>
      </x:c>
      <x:c r="H202" s="45" t="str">
        <x:v>Estado De México</x:v>
      </x:c>
      <x:c r="I202" s="52" t="n">
        <x:v>19.3989159</x:v>
      </x:c>
      <x:c r="J202" s="52" t="n">
        <x:v>-99.2754243</x:v>
      </x:c>
      <x:c r="K202" s="45" t="str">
        <x:v>Cafe</x:v>
      </x:c>
      <x:c r="L202" s="45" t="str">
        <x:v>Retail</x:v>
      </x:c>
      <x:c r="M202" s="45" t="str">
        <x:v>C2</x:v>
      </x:c>
      <x:c r="N202" s="45" t="str">
        <x:v>Sí</x:v>
      </x:c>
      <x:c r="O202" s="45" t="str">
        <x:v>Areli Anahi Lazcano Lezama</x:v>
      </x:c>
      <x:c r="P202" s="45" t="str">
        <x:v>Ops y Directorio Alsea · octubre 2026</x:v>
      </x:c>
      <x:c r="Q202" s="45" t="str">
        <x:v>Puntos proporcionados</x:v>
      </x:c>
      <x:c r="R202" s="45" t="str">
        <x:v>Abierta</x:v>
      </x:c>
      <x:c r="S202" s="45" t="str"/>
      <x:c r="T202" s="45" t="n">
        <x:f>IF(AND(OR(E202="Abierta",E202="Próxima Apertura"),N202="Sí",ISNUMBER(I202),ISNUMBER(J202),ABS(I202)&lt;=90,ABS(J202)&lt;=180),1,0)</x:f>
        <x:v>1</x:v>
      </x:c>
    </x:row>
    <x:row r="203" ht="23" customHeight="1">
      <x:c r="A203" s="45" t="str">
        <x:v>Centro Poniente</x:v>
      </x:c>
      <x:c r="B203" s="45" t="str">
        <x:v>Areli Anahi Lazcano Lezama</x:v>
      </x:c>
      <x:c r="C203" s="50" t="str">
        <x:v>38179</x:v>
      </x:c>
      <x:c r="D203" s="45" t="str">
        <x:v>Universidad Anáhuac</x:v>
      </x:c>
      <x:c r="E203" s="45" t="str">
        <x:v>Abierta</x:v>
      </x:c>
      <x:c r="F203" s="51" t="d">
        <x:v>2006-03-27T00:00:00.000Z</x:v>
      </x:c>
      <x:c r="G203" s="45" t="str">
        <x:v>Huixquilucan</x:v>
      </x:c>
      <x:c r="H203" s="45" t="str">
        <x:v>Estado De México</x:v>
      </x:c>
      <x:c r="I203" s="52" t="n">
        <x:v>19.4028274</x:v>
      </x:c>
      <x:c r="J203" s="52" t="n">
        <x:v>-99.2636781</x:v>
      </x:c>
      <x:c r="K203" s="45" t="str">
        <x:v>Kiosko</x:v>
      </x:c>
      <x:c r="L203" s="45" t="str">
        <x:v>Institution</x:v>
      </x:c>
      <x:c r="M203" s="45" t="str">
        <x:v>C1</x:v>
      </x:c>
      <x:c r="N203" s="45" t="str">
        <x:v>Sí</x:v>
      </x:c>
      <x:c r="O203" s="45" t="str">
        <x:v>Areli Anahi Lazcano Lezama</x:v>
      </x:c>
      <x:c r="P203" s="45" t="str">
        <x:v>Ops y Directorio Alsea · octubre 2026</x:v>
      </x:c>
      <x:c r="Q203" s="45" t="str">
        <x:v>Puntos proporcionados</x:v>
      </x:c>
      <x:c r="R203" s="45" t="str">
        <x:v>Abierta</x:v>
      </x:c>
      <x:c r="S203" s="45" t="str"/>
      <x:c r="T203" s="45" t="n">
        <x:f>IF(AND(OR(E203="Abierta",E203="Próxima Apertura"),N203="Sí",ISNUMBER(I203),ISNUMBER(J203),ABS(I203)&lt;=90,ABS(J203)&lt;=180),1,0)</x:f>
        <x:v>1</x:v>
      </x:c>
    </x:row>
    <x:row r="204" ht="23" customHeight="1">
      <x:c r="A204" s="45" t="str">
        <x:v>Centro Poniente</x:v>
      </x:c>
      <x:c r="B204" s="45" t="str">
        <x:v>Areli Anahi Lazcano Lezama</x:v>
      </x:c>
      <x:c r="C204" s="50" t="str">
        <x:v>38185</x:v>
      </x:c>
      <x:c r="D204" s="45" t="str">
        <x:v>Magnocentro</x:v>
      </x:c>
      <x:c r="E204" s="45" t="str">
        <x:v>Abierta</x:v>
      </x:c>
      <x:c r="F204" s="51" t="d">
        <x:v>2006-05-10T00:00:00.000Z</x:v>
      </x:c>
      <x:c r="G204" s="45" t="str">
        <x:v>Huixquilucan</x:v>
      </x:c>
      <x:c r="H204" s="45" t="str">
        <x:v>Estado De México</x:v>
      </x:c>
      <x:c r="I204" s="52" t="n">
        <x:v>19.406479</x:v>
      </x:c>
      <x:c r="J204" s="52" t="n">
        <x:v>-99.2719301</x:v>
      </x:c>
      <x:c r="K204" s="45" t="str">
        <x:v>Cafe</x:v>
      </x:c>
      <x:c r="L204" s="45" t="str">
        <x:v>Retail</x:v>
      </x:c>
      <x:c r="M204" s="45" t="str">
        <x:v>C2</x:v>
      </x:c>
      <x:c r="N204" s="45" t="str">
        <x:v>Sí</x:v>
      </x:c>
      <x:c r="O204" s="45" t="str">
        <x:v>Areli Anahi Lazcano Lezama</x:v>
      </x:c>
      <x:c r="P204" s="45" t="str">
        <x:v>Ops y Directorio Alsea · octubre 2026</x:v>
      </x:c>
      <x:c r="Q204" s="45" t="str">
        <x:v>Puntos proporcionados</x:v>
      </x:c>
      <x:c r="R204" s="45" t="str">
        <x:v>Abierta</x:v>
      </x:c>
      <x:c r="S204" s="45" t="str"/>
      <x:c r="T204" s="45" t="n">
        <x:f>IF(AND(OR(E204="Abierta",E204="Próxima Apertura"),N204="Sí",ISNUMBER(I204),ISNUMBER(J204),ABS(I204)&lt;=90,ABS(J204)&lt;=180),1,0)</x:f>
        <x:v>1</x:v>
      </x:c>
    </x:row>
    <x:row r="205" ht="23" customHeight="1">
      <x:c r="A205" s="45" t="str">
        <x:v>Centro Poniente</x:v>
      </x:c>
      <x:c r="B205" s="45" t="str">
        <x:v>Areli Anahi Lazcano Lezama</x:v>
      </x:c>
      <x:c r="C205" s="50" t="str">
        <x:v>38292</x:v>
      </x:c>
      <x:c r="D205" s="45" t="str">
        <x:v>Jesús del Monte</x:v>
      </x:c>
      <x:c r="E205" s="45" t="str">
        <x:v>Abierta</x:v>
      </x:c>
      <x:c r="F205" s="51" t="d">
        <x:v>2007-12-22T00:00:00.000Z</x:v>
      </x:c>
      <x:c r="G205" s="45" t="str">
        <x:v>Huixquilucan</x:v>
      </x:c>
      <x:c r="H205" s="45" t="str">
        <x:v>Estado De México</x:v>
      </x:c>
      <x:c r="I205" s="52" t="n">
        <x:v>19.3953405</x:v>
      </x:c>
      <x:c r="J205" s="52" t="n">
        <x:v>-99.2893072</x:v>
      </x:c>
      <x:c r="K205" s="45" t="str">
        <x:v>Cafe</x:v>
      </x:c>
      <x:c r="L205" s="45" t="str">
        <x:v>Retail</x:v>
      </x:c>
      <x:c r="M205" s="45" t="str">
        <x:v>C2</x:v>
      </x:c>
      <x:c r="N205" s="45" t="str">
        <x:v>Sí</x:v>
      </x:c>
      <x:c r="O205" s="45" t="str">
        <x:v>Areli Anahi Lazcano Lezama</x:v>
      </x:c>
      <x:c r="P205" s="45" t="str">
        <x:v>Ops y Directorio Alsea · octubre 2026</x:v>
      </x:c>
      <x:c r="Q205" s="45" t="str">
        <x:v>Puntos proporcionados</x:v>
      </x:c>
      <x:c r="R205" s="45" t="str">
        <x:v>Abierta</x:v>
      </x:c>
      <x:c r="S205" s="45" t="str"/>
      <x:c r="T205" s="45" t="n">
        <x:f>IF(AND(OR(E205="Abierta",E205="Próxima Apertura"),N205="Sí",ISNUMBER(I205),ISNUMBER(J205),ABS(I205)&lt;=90,ABS(J205)&lt;=180),1,0)</x:f>
        <x:v>1</x:v>
      </x:c>
    </x:row>
    <x:row r="206" ht="23" customHeight="1">
      <x:c r="A206" s="45" t="str">
        <x:v>Centro Poniente</x:v>
      </x:c>
      <x:c r="B206" s="45" t="str">
        <x:v>Areli Anahi Lazcano Lezama</x:v>
      </x:c>
      <x:c r="C206" s="50" t="str">
        <x:v>38439</x:v>
      </x:c>
      <x:c r="D206" s="45" t="str">
        <x:v>Ángeles Interlomas</x:v>
      </x:c>
      <x:c r="E206" s="45" t="str">
        <x:v>Abierta</x:v>
      </x:c>
      <x:c r="F206" s="51" t="d">
        <x:v>2011-12-06T00:00:00.000Z</x:v>
      </x:c>
      <x:c r="G206" s="45" t="str">
        <x:v>Huixquilucan</x:v>
      </x:c>
      <x:c r="H206" s="45" t="str">
        <x:v>Estado De México</x:v>
      </x:c>
      <x:c r="I206" s="52" t="n">
        <x:v>19.4400562</x:v>
      </x:c>
      <x:c r="J206" s="52" t="n">
        <x:v>-99.2899762</x:v>
      </x:c>
      <x:c r="K206" s="45" t="str">
        <x:v>Kiosko</x:v>
      </x:c>
      <x:c r="L206" s="45" t="str">
        <x:v>Institution</x:v>
      </x:c>
      <x:c r="M206" s="45" t="str">
        <x:v>C2</x:v>
      </x:c>
      <x:c r="N206" s="45" t="str">
        <x:v>Sí</x:v>
      </x:c>
      <x:c r="O206" s="45" t="str">
        <x:v>Areli Anahi Lazcano Lezama</x:v>
      </x:c>
      <x:c r="P206" s="45" t="str">
        <x:v>Ops y Directorio Alsea · octubre 2026</x:v>
      </x:c>
      <x:c r="Q206" s="45" t="str">
        <x:v>Puntos proporcionados</x:v>
      </x:c>
      <x:c r="R206" s="45" t="str">
        <x:v>Abierta</x:v>
      </x:c>
      <x:c r="S206" s="45" t="str"/>
      <x:c r="T206" s="45" t="n">
        <x:f>IF(AND(OR(E206="Abierta",E206="Próxima Apertura"),N206="Sí",ISNUMBER(I206),ISNUMBER(J206),ABS(I206)&lt;=90,ABS(J206)&lt;=180),1,0)</x:f>
        <x:v>1</x:v>
      </x:c>
    </x:row>
    <x:row r="207" ht="23" customHeight="1">
      <x:c r="A207" s="45" t="str">
        <x:v>Centro Poniente</x:v>
      </x:c>
      <x:c r="B207" s="45" t="str">
        <x:v>Areli Anahi Lazcano Lezama</x:v>
      </x:c>
      <x:c r="C207" s="50" t="str">
        <x:v>38452</x:v>
      </x:c>
      <x:c r="D207" s="45" t="str">
        <x:v>Parque Interlomas</x:v>
      </x:c>
      <x:c r="E207" s="45" t="str">
        <x:v>Abierta</x:v>
      </x:c>
      <x:c r="F207" s="51" t="d">
        <x:v>2012-04-29T00:00:00.000Z</x:v>
      </x:c>
      <x:c r="G207" s="45" t="str">
        <x:v>Huixquilucan</x:v>
      </x:c>
      <x:c r="H207" s="45" t="str">
        <x:v>Estado De México</x:v>
      </x:c>
      <x:c r="I207" s="52" t="n">
        <x:v>19.395667</x:v>
      </x:c>
      <x:c r="J207" s="52" t="n">
        <x:v>-99.2884136</x:v>
      </x:c>
      <x:c r="K207" s="45" t="str">
        <x:v>Kiosko</x:v>
      </x:c>
      <x:c r="L207" s="45" t="str">
        <x:v>Retail</x:v>
      </x:c>
      <x:c r="M207" s="45" t="str">
        <x:v>C2</x:v>
      </x:c>
      <x:c r="N207" s="45" t="str">
        <x:v>Sí</x:v>
      </x:c>
      <x:c r="O207" s="45" t="str">
        <x:v>Areli Anahi Lazcano Lezama</x:v>
      </x:c>
      <x:c r="P207" s="45" t="str">
        <x:v>Ops y Directorio Alsea · octubre 2026</x:v>
      </x:c>
      <x:c r="Q207" s="45" t="str">
        <x:v>Puntos proporcionados</x:v>
      </x:c>
      <x:c r="R207" s="45" t="str">
        <x:v>Abierta</x:v>
      </x:c>
      <x:c r="S207" s="45" t="str"/>
      <x:c r="T207" s="45" t="n">
        <x:f>IF(AND(OR(E207="Abierta",E207="Próxima Apertura"),N207="Sí",ISNUMBER(I207),ISNUMBER(J207),ABS(I207)&lt;=90,ABS(J207)&lt;=180),1,0)</x:f>
        <x:v>1</x:v>
      </x:c>
    </x:row>
    <x:row r="208" ht="23" customHeight="1">
      <x:c r="A208" s="45" t="str">
        <x:v>Centro Poniente</x:v>
      </x:c>
      <x:c r="B208" s="45" t="str">
        <x:v>Areli Anahi Lazcano Lezama</x:v>
      </x:c>
      <x:c r="C208" s="50" t="str">
        <x:v>38466</x:v>
      </x:c>
      <x:c r="D208" s="45" t="str">
        <x:v>Paseo Interlomas I</x:v>
      </x:c>
      <x:c r="E208" s="45" t="str">
        <x:v>Abierta</x:v>
      </x:c>
      <x:c r="F208" s="51" t="d">
        <x:v>2012-09-28T00:00:00.000Z</x:v>
      </x:c>
      <x:c r="G208" s="45" t="str">
        <x:v>Huixquilucan</x:v>
      </x:c>
      <x:c r="H208" s="45" t="str">
        <x:v>Estado De México</x:v>
      </x:c>
      <x:c r="I208" s="52" t="n">
        <x:v>19.3972623</x:v>
      </x:c>
      <x:c r="J208" s="52" t="n">
        <x:v>-99.2815312</x:v>
      </x:c>
      <x:c r="K208" s="45" t="str">
        <x:v>Kiosko</x:v>
      </x:c>
      <x:c r="L208" s="45" t="str">
        <x:v>Retail</x:v>
      </x:c>
      <x:c r="M208" s="45" t="str">
        <x:v>C2</x:v>
      </x:c>
      <x:c r="N208" s="45" t="str">
        <x:v>Sí</x:v>
      </x:c>
      <x:c r="O208" s="45" t="str">
        <x:v>Areli Anahi Lazcano Lezama</x:v>
      </x:c>
      <x:c r="P208" s="45" t="str">
        <x:v>Ops y Directorio Alsea · octubre 2026</x:v>
      </x:c>
      <x:c r="Q208" s="45" t="str">
        <x:v>Puntos proporcionados</x:v>
      </x:c>
      <x:c r="R208" s="45" t="str">
        <x:v>Abierta</x:v>
      </x:c>
      <x:c r="S208" s="45" t="str"/>
      <x:c r="T208" s="45" t="n">
        <x:f>IF(AND(OR(E208="Abierta",E208="Próxima Apertura"),N208="Sí",ISNUMBER(I208),ISNUMBER(J208),ABS(I208)&lt;=90,ABS(J208)&lt;=180),1,0)</x:f>
        <x:v>1</x:v>
      </x:c>
    </x:row>
    <x:row r="209" ht="23" customHeight="1">
      <x:c r="A209" s="45" t="str">
        <x:v>Centro Poniente</x:v>
      </x:c>
      <x:c r="B209" s="45" t="str">
        <x:v>Areli Anahi Lazcano Lezama</x:v>
      </x:c>
      <x:c r="C209" s="50" t="str">
        <x:v>38553</x:v>
      </x:c>
      <x:c r="D209" s="45" t="str">
        <x:v>Paseo Interlomas II</x:v>
      </x:c>
      <x:c r="E209" s="45" t="str">
        <x:v>Abierta</x:v>
      </x:c>
      <x:c r="F209" s="51" t="d">
        <x:v>2014-09-28T00:00:00.000Z</x:v>
      </x:c>
      <x:c r="G209" s="45" t="str">
        <x:v>Huixquilucan</x:v>
      </x:c>
      <x:c r="H209" s="45" t="str">
        <x:v>Estado De México</x:v>
      </x:c>
      <x:c r="I209" s="52" t="n">
        <x:v>19.3985491</x:v>
      </x:c>
      <x:c r="J209" s="52" t="n">
        <x:v>-99.2828302</x:v>
      </x:c>
      <x:c r="K209" s="45" t="str">
        <x:v>Kiosko</x:v>
      </x:c>
      <x:c r="L209" s="45" t="str">
        <x:v>Retail</x:v>
      </x:c>
      <x:c r="M209" s="45" t="str">
        <x:v>C2</x:v>
      </x:c>
      <x:c r="N209" s="45" t="str">
        <x:v>Sí</x:v>
      </x:c>
      <x:c r="O209" s="45" t="str">
        <x:v>Areli Anahi Lazcano Lezama</x:v>
      </x:c>
      <x:c r="P209" s="45" t="str">
        <x:v>Ops y Directorio Alsea · octubre 2026</x:v>
      </x:c>
      <x:c r="Q209" s="45" t="str">
        <x:v>Puntos proporcionados</x:v>
      </x:c>
      <x:c r="R209" s="45" t="str">
        <x:v>Abierta</x:v>
      </x:c>
      <x:c r="S209" s="45" t="str"/>
      <x:c r="T209" s="45" t="n">
        <x:f>IF(AND(OR(E209="Abierta",E209="Próxima Apertura"),N209="Sí",ISNUMBER(I209),ISNUMBER(J209),ABS(I209)&lt;=90,ABS(J209)&lt;=180),1,0)</x:f>
        <x:v>1</x:v>
      </x:c>
    </x:row>
    <x:row r="210" ht="23" customHeight="1">
      <x:c r="A210" s="45" t="str">
        <x:v>Centro Poniente</x:v>
      </x:c>
      <x:c r="B210" s="45" t="str">
        <x:v>Areli Anahi Lazcano Lezama</x:v>
      </x:c>
      <x:c r="C210" s="50" t="str">
        <x:v>38568</x:v>
      </x:c>
      <x:c r="D210" s="45" t="str">
        <x:v>Av Stim</x:v>
      </x:c>
      <x:c r="E210" s="45" t="str">
        <x:v>Abierta</x:v>
      </x:c>
      <x:c r="F210" s="51" t="d">
        <x:v>2014-12-26T00:00:00.000Z</x:v>
      </x:c>
      <x:c r="G210" s="45" t="str">
        <x:v>Cuajimalpa</x:v>
      </x:c>
      <x:c r="H210" s="45" t="str">
        <x:v>Ciudad De México</x:v>
      </x:c>
      <x:c r="I210" s="52" t="n">
        <x:v>19.391128</x:v>
      </x:c>
      <x:c r="J210" s="52" t="n">
        <x:v>-99.259271</x:v>
      </x:c>
      <x:c r="K210" s="45" t="str">
        <x:v>Cafe</x:v>
      </x:c>
      <x:c r="L210" s="45" t="str">
        <x:v>Neighborhood</x:v>
      </x:c>
      <x:c r="M210" s="45" t="str">
        <x:v>C1</x:v>
      </x:c>
      <x:c r="N210" s="45" t="str">
        <x:v>Sí</x:v>
      </x:c>
      <x:c r="O210" s="45" t="str">
        <x:v>Areli Anahi Lazcano Lezama</x:v>
      </x:c>
      <x:c r="P210" s="45" t="str">
        <x:v>Ops y Directorio Alsea · octubre 2026</x:v>
      </x:c>
      <x:c r="Q210" s="45" t="str">
        <x:v>Puntos proporcionados</x:v>
      </x:c>
      <x:c r="R210" s="45" t="str">
        <x:v>Abierta</x:v>
      </x:c>
      <x:c r="S210" s="45" t="str"/>
      <x:c r="T210" s="45" t="n">
        <x:f>IF(AND(OR(E210="Abierta",E210="Próxima Apertura"),N210="Sí",ISNUMBER(I210),ISNUMBER(J210),ABS(I210)&lt;=90,ABS(J210)&lt;=180),1,0)</x:f>
        <x:v>1</x:v>
      </x:c>
    </x:row>
    <x:row r="211" ht="23" customHeight="1">
      <x:c r="A211" s="45" t="str">
        <x:v>Centro Poniente</x:v>
      </x:c>
      <x:c r="B211" s="45" t="str">
        <x:v>Areli Anahi Lazcano Lezama</x:v>
      </x:c>
      <x:c r="C211" s="50" t="str">
        <x:v>38799</x:v>
      </x:c>
      <x:c r="D211" s="45" t="str">
        <x:v>Paseo Interlomas III</x:v>
      </x:c>
      <x:c r="E211" s="45" t="str">
        <x:v>Abierta</x:v>
      </x:c>
      <x:c r="F211" s="51" t="d">
        <x:v>2018-03-23T00:00:00.000Z</x:v>
      </x:c>
      <x:c r="G211" s="45" t="str">
        <x:v>Huixquilucan</x:v>
      </x:c>
      <x:c r="H211" s="45" t="str">
        <x:v>Estado De México</x:v>
      </x:c>
      <x:c r="I211" s="52" t="n">
        <x:v>19.3984675</x:v>
      </x:c>
      <x:c r="J211" s="52" t="n">
        <x:v>-99.2834346</x:v>
      </x:c>
      <x:c r="K211" s="45" t="str">
        <x:v>Cafe</x:v>
      </x:c>
      <x:c r="L211" s="45" t="str">
        <x:v>Retail</x:v>
      </x:c>
      <x:c r="M211" s="45" t="str">
        <x:v>C2</x:v>
      </x:c>
      <x:c r="N211" s="45" t="str">
        <x:v>Sí</x:v>
      </x:c>
      <x:c r="O211" s="45" t="str">
        <x:v>Areli Anahi Lazcano Lezama</x:v>
      </x:c>
      <x:c r="P211" s="45" t="str">
        <x:v>Ops y Directorio Alsea · octubre 2026</x:v>
      </x:c>
      <x:c r="Q211" s="45" t="str">
        <x:v>Puntos proporcionados</x:v>
      </x:c>
      <x:c r="R211" s="45" t="str">
        <x:v>Abierta</x:v>
      </x:c>
      <x:c r="S211" s="45" t="str"/>
      <x:c r="T211" s="45" t="n">
        <x:f>IF(AND(OR(E211="Abierta",E211="Próxima Apertura"),N211="Sí",ISNUMBER(I211),ISNUMBER(J211),ABS(I211)&lt;=90,ABS(J211)&lt;=180),1,0)</x:f>
        <x:v>1</x:v>
      </x:c>
    </x:row>
    <x:row r="212" ht="23" customHeight="1">
      <x:c r="A212" s="45" t="str">
        <x:v>Centro Poniente</x:v>
      </x:c>
      <x:c r="B212" s="45" t="str">
        <x:v>Areli Anahi Lazcano Lezama</x:v>
      </x:c>
      <x:c r="C212" s="50" t="str">
        <x:v>38815</x:v>
      </x:c>
      <x:c r="D212" s="45" t="str">
        <x:v>Central Interlomas</x:v>
      </x:c>
      <x:c r="E212" s="45" t="str">
        <x:v>Abierta</x:v>
      </x:c>
      <x:c r="F212" s="51" t="d">
        <x:v>2018-09-04T00:00:00.000Z</x:v>
      </x:c>
      <x:c r="G212" s="45" t="str">
        <x:v>Huixquilucan</x:v>
      </x:c>
      <x:c r="H212" s="45" t="str">
        <x:v>Estado De México</x:v>
      </x:c>
      <x:c r="I212" s="52" t="n">
        <x:v>19.3930915</x:v>
      </x:c>
      <x:c r="J212" s="52" t="n">
        <x:v>-99.2806787</x:v>
      </x:c>
      <x:c r="K212" s="45" t="str">
        <x:v>Cafe</x:v>
      </x:c>
      <x:c r="L212" s="45" t="str">
        <x:v>Retail</x:v>
      </x:c>
      <x:c r="M212" s="45" t="str">
        <x:v>C2</x:v>
      </x:c>
      <x:c r="N212" s="45" t="str">
        <x:v>Sí</x:v>
      </x:c>
      <x:c r="O212" s="45" t="str">
        <x:v>Areli Anahi Lazcano Lezama</x:v>
      </x:c>
      <x:c r="P212" s="45" t="str">
        <x:v>Ops y Directorio Alsea · octubre 2026</x:v>
      </x:c>
      <x:c r="Q212" s="45" t="str">
        <x:v>Puntos proporcionados</x:v>
      </x:c>
      <x:c r="R212" s="45" t="str">
        <x:v>Abierta</x:v>
      </x:c>
      <x:c r="S212" s="45" t="str"/>
      <x:c r="T212" s="45" t="n">
        <x:f>IF(AND(OR(E212="Abierta",E212="Próxima Apertura"),N212="Sí",ISNUMBER(I212),ISNUMBER(J212),ABS(I212)&lt;=90,ABS(J212)&lt;=180),1,0)</x:f>
        <x:v>1</x:v>
      </x:c>
    </x:row>
    <x:row r="213" ht="23" customHeight="1">
      <x:c r="A213" s="45" t="str">
        <x:v>Centro Poniente</x:v>
      </x:c>
      <x:c r="B213" s="45" t="str">
        <x:v>Areli Anahi Lazcano Lezama</x:v>
      </x:c>
      <x:c r="C213" s="50" t="str">
        <x:v>38918</x:v>
      </x:c>
      <x:c r="D213" s="45" t="str">
        <x:v>Bosque Real</x:v>
      </x:c>
      <x:c r="E213" s="45" t="str">
        <x:v>Abierta</x:v>
      </x:c>
      <x:c r="F213" s="51" t="d">
        <x:v>2022-09-02T00:00:00.000Z</x:v>
      </x:c>
      <x:c r="G213" s="45" t="str">
        <x:v>Huixquilucan</x:v>
      </x:c>
      <x:c r="H213" s="45" t="str">
        <x:v>Estado De México</x:v>
      </x:c>
      <x:c r="I213" s="52" t="n">
        <x:v>19.4157062</x:v>
      </x:c>
      <x:c r="J213" s="52" t="n">
        <x:v>-99.2979155</x:v>
      </x:c>
      <x:c r="K213" s="45" t="str">
        <x:v>Cafe</x:v>
      </x:c>
      <x:c r="L213" s="45" t="str">
        <x:v>Retail</x:v>
      </x:c>
      <x:c r="M213" s="45" t="str">
        <x:v>C2</x:v>
      </x:c>
      <x:c r="N213" s="45" t="str">
        <x:v>Sí</x:v>
      </x:c>
      <x:c r="O213" s="45" t="str">
        <x:v>Areli Anahi Lazcano Lezama</x:v>
      </x:c>
      <x:c r="P213" s="45" t="str">
        <x:v>Ops y Directorio Alsea · octubre 2026</x:v>
      </x:c>
      <x:c r="Q213" s="45" t="str">
        <x:v>Puntos proporcionados</x:v>
      </x:c>
      <x:c r="R213" s="45" t="str">
        <x:v>Abierta</x:v>
      </x:c>
      <x:c r="S213" s="45" t="str"/>
      <x:c r="T213" s="45" t="n">
        <x:f>IF(AND(OR(E213="Abierta",E213="Próxima Apertura"),N213="Sí",ISNUMBER(I213),ISNUMBER(J213),ABS(I213)&lt;=90,ABS(J213)&lt;=180),1,0)</x:f>
        <x:v>1</x:v>
      </x:c>
    </x:row>
    <x:row r="214" ht="23" customHeight="1">
      <x:c r="A214" s="45" t="str">
        <x:v>Centro Poniente</x:v>
      </x:c>
      <x:c r="B214" s="45" t="str">
        <x:v>Areli Anahi Lazcano Lezama</x:v>
      </x:c>
      <x:c r="C214" s="50" t="str">
        <x:v>43107</x:v>
      </x:c>
      <x:c r="D214" s="45" t="str">
        <x:v>Pabellón Bosques</x:v>
      </x:c>
      <x:c r="E214" s="45" t="str">
        <x:v>Abierta</x:v>
      </x:c>
      <x:c r="F214" s="51" t="d">
        <x:v>2024-12-04T00:00:00.000Z</x:v>
      </x:c>
      <x:c r="G214" s="45" t="str">
        <x:v>Cuajimalpa</x:v>
      </x:c>
      <x:c r="H214" s="45" t="str">
        <x:v>Ciudad De México</x:v>
      </x:c>
      <x:c r="I214" s="52" t="n">
        <x:v>19.38251</x:v>
      </x:c>
      <x:c r="J214" s="52" t="n">
        <x:v>-99.2674977</x:v>
      </x:c>
      <x:c r="K214" s="45" t="str">
        <x:v>Cafe</x:v>
      </x:c>
      <x:c r="L214" s="45" t="str">
        <x:v>Retail</x:v>
      </x:c>
      <x:c r="M214" s="45" t="str">
        <x:v>C2</x:v>
      </x:c>
      <x:c r="N214" s="45" t="str">
        <x:v>Sí</x:v>
      </x:c>
      <x:c r="O214" s="45" t="str">
        <x:v>Areli Anahi Lazcano Lezama</x:v>
      </x:c>
      <x:c r="P214" s="45" t="str">
        <x:v>Ops y Directorio Alsea · octubre 2026</x:v>
      </x:c>
      <x:c r="Q214" s="45" t="str">
        <x:v>Puntos proporcionados</x:v>
      </x:c>
      <x:c r="R214" s="45" t="str">
        <x:v>Abierta</x:v>
      </x:c>
      <x:c r="S214" s="45" t="str"/>
      <x:c r="T214" s="45" t="n">
        <x:f>IF(AND(OR(E214="Abierta",E214="Próxima Apertura"),N214="Sí",ISNUMBER(I214),ISNUMBER(J214),ABS(I214)&lt;=90,ABS(J214)&lt;=180),1,0)</x:f>
        <x:v>1</x:v>
      </x:c>
    </x:row>
    <x:row r="215" ht="23" customHeight="1">
      <x:c r="A215" s="45" t="str">
        <x:v>Centro Poniente</x:v>
      </x:c>
      <x:c r="B215" s="45" t="str">
        <x:v>Daniel Flores Maldonado</x:v>
      </x:c>
      <x:c r="C215" s="50" t="str">
        <x:v>38138</x:v>
      </x:c>
      <x:c r="D215" s="45" t="str">
        <x:v>Galerias metepec 1</x:v>
      </x:c>
      <x:c r="E215" s="45" t="str">
        <x:v>Abierta</x:v>
      </x:c>
      <x:c r="F215" s="51" t="d">
        <x:v>2004-12-16T00:00:00.000Z</x:v>
      </x:c>
      <x:c r="G215" s="45" t="str">
        <x:v>Metepec</x:v>
      </x:c>
      <x:c r="H215" s="45" t="str">
        <x:v>Estado De México</x:v>
      </x:c>
      <x:c r="I215" s="52" t="n">
        <x:v>19.257614</x:v>
      </x:c>
      <x:c r="J215" s="52" t="n">
        <x:v>-99.620467</x:v>
      </x:c>
      <x:c r="K215" s="45" t="str">
        <x:v>Cafe</x:v>
      </x:c>
      <x:c r="L215" s="45" t="str">
        <x:v>Retail</x:v>
      </x:c>
      <x:c r="M215" s="45" t="str">
        <x:v>C1</x:v>
      </x:c>
      <x:c r="N215" s="45" t="str">
        <x:v>Sí</x:v>
      </x:c>
      <x:c r="O215" s="45" t="str">
        <x:v>Daniel Flores Maldonado</x:v>
      </x:c>
      <x:c r="P215" s="45" t="str">
        <x:v>Ops y Directorio Alsea · octubre 2026</x:v>
      </x:c>
      <x:c r="Q215" s="45" t="str">
        <x:v>Puntos proporcionados</x:v>
      </x:c>
      <x:c r="R215" s="45" t="str">
        <x:v>Abierta</x:v>
      </x:c>
      <x:c r="S215" s="45" t="str"/>
      <x:c r="T215" s="45" t="n">
        <x:f>IF(AND(OR(E215="Abierta",E215="Próxima Apertura"),N215="Sí",ISNUMBER(I215),ISNUMBER(J215),ABS(I215)&lt;=90,ABS(J215)&lt;=180),1,0)</x:f>
        <x:v>1</x:v>
      </x:c>
    </x:row>
    <x:row r="216" ht="23" customHeight="1">
      <x:c r="A216" s="45" t="str">
        <x:v>Centro Poniente</x:v>
      </x:c>
      <x:c r="B216" s="45" t="str">
        <x:v>Daniel Flores Maldonado</x:v>
      </x:c>
      <x:c r="C216" s="50" t="str">
        <x:v>38141</x:v>
      </x:c>
      <x:c r="D216" s="45" t="str">
        <x:v>Plaza Mayor Metepec</x:v>
      </x:c>
      <x:c r="E216" s="45" t="str">
        <x:v>Abierta</x:v>
      </x:c>
      <x:c r="F216" s="51" t="d">
        <x:v>2004-12-16T00:00:00.000Z</x:v>
      </x:c>
      <x:c r="G216" s="45" t="str">
        <x:v>Metepec</x:v>
      </x:c>
      <x:c r="H216" s="45" t="str">
        <x:v>Estado De México</x:v>
      </x:c>
      <x:c r="I216" s="52" t="n">
        <x:v>19.2610843</x:v>
      </x:c>
      <x:c r="J216" s="52" t="n">
        <x:v>-99.6169881</x:v>
      </x:c>
      <x:c r="K216" s="45" t="str">
        <x:v>Cafe</x:v>
      </x:c>
      <x:c r="L216" s="45" t="str">
        <x:v>Retail</x:v>
      </x:c>
      <x:c r="M216" s="45" t="str">
        <x:v>C1</x:v>
      </x:c>
      <x:c r="N216" s="45" t="str">
        <x:v>Sí</x:v>
      </x:c>
      <x:c r="O216" s="45" t="str">
        <x:v>Daniel Flores Maldonado</x:v>
      </x:c>
      <x:c r="P216" s="45" t="str">
        <x:v>Ops y Directorio Alsea · octubre 2026</x:v>
      </x:c>
      <x:c r="Q216" s="45" t="str">
        <x:v>Puntos proporcionados</x:v>
      </x:c>
      <x:c r="R216" s="45" t="str">
        <x:v>Abierta</x:v>
      </x:c>
      <x:c r="S216" s="45" t="str"/>
      <x:c r="T216" s="45" t="n">
        <x:f>IF(AND(OR(E216="Abierta",E216="Próxima Apertura"),N216="Sí",ISNUMBER(I216),ISNUMBER(J216),ABS(I216)&lt;=90,ABS(J216)&lt;=180),1,0)</x:f>
        <x:v>1</x:v>
      </x:c>
    </x:row>
    <x:row r="217" ht="23" customHeight="1">
      <x:c r="A217" s="45" t="str">
        <x:v>Centro Poniente</x:v>
      </x:c>
      <x:c r="B217" s="45" t="str">
        <x:v>Daniel Flores Maldonado</x:v>
      </x:c>
      <x:c r="C217" s="50" t="str">
        <x:v>38319</x:v>
      </x:c>
      <x:c r="D217" s="45" t="str">
        <x:v>Tecnologico Metepec</x:v>
      </x:c>
      <x:c r="E217" s="45" t="str">
        <x:v>Abierta</x:v>
      </x:c>
      <x:c r="F217" s="51" t="d">
        <x:v>2008-06-20T00:00:00.000Z</x:v>
      </x:c>
      <x:c r="G217" s="45" t="str">
        <x:v>Metepec</x:v>
      </x:c>
      <x:c r="H217" s="45" t="str">
        <x:v>Estado De México</x:v>
      </x:c>
      <x:c r="I217" s="52" t="n">
        <x:v>19.273702</x:v>
      </x:c>
      <x:c r="J217" s="52" t="n">
        <x:v>-99.574625</x:v>
      </x:c>
      <x:c r="K217" s="45" t="str">
        <x:v>Cafe</x:v>
      </x:c>
      <x:c r="L217" s="45" t="str">
        <x:v>Neighborhood</x:v>
      </x:c>
      <x:c r="M217" s="45" t="str">
        <x:v>C1</x:v>
      </x:c>
      <x:c r="N217" s="45" t="str">
        <x:v>Sí</x:v>
      </x:c>
      <x:c r="O217" s="45" t="str">
        <x:v>Daniel Flores Maldonado</x:v>
      </x:c>
      <x:c r="P217" s="45" t="str">
        <x:v>Ops y Directorio Alsea · octubre 2026</x:v>
      </x:c>
      <x:c r="Q217" s="45" t="str">
        <x:v>Puntos proporcionados</x:v>
      </x:c>
      <x:c r="R217" s="45" t="str">
        <x:v>Abierta</x:v>
      </x:c>
      <x:c r="S217" s="45" t="str"/>
      <x:c r="T217" s="45" t="n">
        <x:f>IF(AND(OR(E217="Abierta",E217="Próxima Apertura"),N217="Sí",ISNUMBER(I217),ISNUMBER(J217),ABS(I217)&lt;=90,ABS(J217)&lt;=180),1,0)</x:f>
        <x:v>1</x:v>
      </x:c>
    </x:row>
    <x:row r="218" ht="23" customHeight="1">
      <x:c r="A218" s="45" t="str">
        <x:v>Centro Poniente</x:v>
      </x:c>
      <x:c r="B218" s="45" t="str">
        <x:v>Daniel Flores Maldonado</x:v>
      </x:c>
      <x:c r="C218" s="50" t="str">
        <x:v>38441</x:v>
      </x:c>
      <x:c r="D218" s="45" t="str">
        <x:v>Metepec Plaza del Parque</x:v>
      </x:c>
      <x:c r="E218" s="45" t="str">
        <x:v>Abierta</x:v>
      </x:c>
      <x:c r="F218" s="51" t="d">
        <x:v>2011-12-15T00:00:00.000Z</x:v>
      </x:c>
      <x:c r="G218" s="45" t="str">
        <x:v>Metepec</x:v>
      </x:c>
      <x:c r="H218" s="45" t="str">
        <x:v>Estado De México</x:v>
      </x:c>
      <x:c r="I218" s="52" t="n">
        <x:v>19.2524589</x:v>
      </x:c>
      <x:c r="J218" s="52" t="n">
        <x:v>-99.6132211</x:v>
      </x:c>
      <x:c r="K218" s="45" t="str">
        <x:v>Cafe</x:v>
      </x:c>
      <x:c r="L218" s="45" t="str">
        <x:v>Neighborhood</x:v>
      </x:c>
      <x:c r="M218" s="45" t="str">
        <x:v>C1</x:v>
      </x:c>
      <x:c r="N218" s="45" t="str">
        <x:v>Sí</x:v>
      </x:c>
      <x:c r="O218" s="45" t="str">
        <x:v>Daniel Flores Maldonado</x:v>
      </x:c>
      <x:c r="P218" s="45" t="str">
        <x:v>Ops y Directorio Alsea · octubre 2026</x:v>
      </x:c>
      <x:c r="Q218" s="45" t="str">
        <x:v>Puntos proporcionados</x:v>
      </x:c>
      <x:c r="R218" s="45" t="str">
        <x:v>Abierta</x:v>
      </x:c>
      <x:c r="S218" s="45" t="str"/>
      <x:c r="T218" s="45" t="n">
        <x:f>IF(AND(OR(E218="Abierta",E218="Próxima Apertura"),N218="Sí",ISNUMBER(I218),ISNUMBER(J218),ABS(I218)&lt;=90,ABS(J218)&lt;=180),1,0)</x:f>
        <x:v>1</x:v>
      </x:c>
    </x:row>
    <x:row r="219" ht="23" customHeight="1">
      <x:c r="A219" s="45" t="str">
        <x:v>Centro Poniente</x:v>
      </x:c>
      <x:c r="B219" s="45" t="str">
        <x:v>Daniel Flores Maldonado</x:v>
      </x:c>
      <x:c r="C219" s="50" t="str">
        <x:v>38485</x:v>
      </x:c>
      <x:c r="D219" s="45" t="str">
        <x:v>Sendero Toluca</x:v>
      </x:c>
      <x:c r="E219" s="45" t="str">
        <x:v>Abierta</x:v>
      </x:c>
      <x:c r="F219" s="51" t="d">
        <x:v>2013-01-31T00:00:00.000Z</x:v>
      </x:c>
      <x:c r="G219" s="45" t="str">
        <x:v>Lerma</x:v>
      </x:c>
      <x:c r="H219" s="45" t="str">
        <x:v>Estado De México</x:v>
      </x:c>
      <x:c r="I219" s="52" t="n">
        <x:v>19.2909236</x:v>
      </x:c>
      <x:c r="J219" s="52" t="n">
        <x:v>-99.5552982</x:v>
      </x:c>
      <x:c r="K219" s="45" t="str">
        <x:v>Cafe</x:v>
      </x:c>
      <x:c r="L219" s="45" t="str">
        <x:v>Retail</x:v>
      </x:c>
      <x:c r="M219" s="45" t="str">
        <x:v>C1</x:v>
      </x:c>
      <x:c r="N219" s="45" t="str">
        <x:v>Sí</x:v>
      </x:c>
      <x:c r="O219" s="45" t="str">
        <x:v>Daniel Flores Maldonado</x:v>
      </x:c>
      <x:c r="P219" s="45" t="str">
        <x:v>Ops y Directorio Alsea · octubre 2026</x:v>
      </x:c>
      <x:c r="Q219" s="45" t="str">
        <x:v>Puntos proporcionados</x:v>
      </x:c>
      <x:c r="R219" s="45" t="str">
        <x:v>Abierta</x:v>
      </x:c>
      <x:c r="S219" s="45" t="str"/>
      <x:c r="T219" s="45" t="n">
        <x:f>IF(AND(OR(E219="Abierta",E219="Próxima Apertura"),N219="Sí",ISNUMBER(I219),ISNUMBER(J219),ABS(I219)&lt;=90,ABS(J219)&lt;=180),1,0)</x:f>
        <x:v>1</x:v>
      </x:c>
    </x:row>
    <x:row r="220" ht="23" customHeight="1">
      <x:c r="A220" s="45" t="str">
        <x:v>Centro Poniente</x:v>
      </x:c>
      <x:c r="B220" s="45" t="str">
        <x:v>Daniel Flores Maldonado</x:v>
      </x:c>
      <x:c r="C220" s="50" t="str">
        <x:v>38547</x:v>
      </x:c>
      <x:c r="D220" s="45" t="str">
        <x:v>Carr Toluca Mexico KM48</x:v>
      </x:c>
      <x:c r="E220" s="45" t="str">
        <x:v>Abierta</x:v>
      </x:c>
      <x:c r="F220" s="51" t="d">
        <x:v>2014-09-19T00:00:00.000Z</x:v>
      </x:c>
      <x:c r="G220" s="45" t="str">
        <x:v>Lerma</x:v>
      </x:c>
      <x:c r="H220" s="45" t="str">
        <x:v>Estado De México</x:v>
      </x:c>
      <x:c r="I220" s="52" t="n">
        <x:v>19.2816425</x:v>
      </x:c>
      <x:c r="J220" s="52" t="n">
        <x:v>-99.4894632</x:v>
      </x:c>
      <x:c r="K220" s="45" t="str">
        <x:v>Drive_Thru</x:v>
      </x:c>
      <x:c r="L220" s="45" t="str">
        <x:v>Transfers</x:v>
      </x:c>
      <x:c r="M220" s="45" t="str">
        <x:v>C2</x:v>
      </x:c>
      <x:c r="N220" s="45" t="str">
        <x:v>Sí</x:v>
      </x:c>
      <x:c r="O220" s="45" t="str">
        <x:v>Daniel Flores Maldonado</x:v>
      </x:c>
      <x:c r="P220" s="45" t="str">
        <x:v>Ops y Directorio Alsea · octubre 2026</x:v>
      </x:c>
      <x:c r="Q220" s="45" t="str">
        <x:v>Puntos proporcionados</x:v>
      </x:c>
      <x:c r="R220" s="45" t="str">
        <x:v>Abierta</x:v>
      </x:c>
      <x:c r="S220" s="45" t="str"/>
      <x:c r="T220" s="45" t="n">
        <x:f>IF(AND(OR(E220="Abierta",E220="Próxima Apertura"),N220="Sí",ISNUMBER(I220),ISNUMBER(J220),ABS(I220)&lt;=90,ABS(J220)&lt;=180),1,0)</x:f>
        <x:v>1</x:v>
      </x:c>
    </x:row>
    <x:row r="221" ht="23" customHeight="1">
      <x:c r="A221" s="45" t="str">
        <x:v>Centro Poniente</x:v>
      </x:c>
      <x:c r="B221" s="45" t="str">
        <x:v>Daniel Flores Maldonado</x:v>
      </x:c>
      <x:c r="C221" s="50" t="str">
        <x:v>38668</x:v>
      </x:c>
      <x:c r="D221" s="45" t="str">
        <x:v>Pabellon Metepec</x:v>
      </x:c>
      <x:c r="E221" s="45" t="str">
        <x:v>Abierta</x:v>
      </x:c>
      <x:c r="F221" s="51" t="d">
        <x:v>2016-09-12T00:00:00.000Z</x:v>
      </x:c>
      <x:c r="G221" s="45" t="str">
        <x:v>Metepec</x:v>
      </x:c>
      <x:c r="H221" s="45" t="str">
        <x:v>Estado De México</x:v>
      </x:c>
      <x:c r="I221" s="52" t="n">
        <x:v>19.260263</x:v>
      </x:c>
      <x:c r="J221" s="52" t="n">
        <x:v>-99.629037</x:v>
      </x:c>
      <x:c r="K221" s="45" t="str">
        <x:v>Cafe</x:v>
      </x:c>
      <x:c r="L221" s="45" t="str">
        <x:v>Retail</x:v>
      </x:c>
      <x:c r="M221" s="45" t="str">
        <x:v>C1</x:v>
      </x:c>
      <x:c r="N221" s="45" t="str">
        <x:v>Sí</x:v>
      </x:c>
      <x:c r="O221" s="45" t="str">
        <x:v>Daniel Flores Maldonado</x:v>
      </x:c>
      <x:c r="P221" s="45" t="str">
        <x:v>Ops y Directorio Alsea · octubre 2026</x:v>
      </x:c>
      <x:c r="Q221" s="45" t="str">
        <x:v>Puntos proporcionados</x:v>
      </x:c>
      <x:c r="R221" s="45" t="str">
        <x:v>Abierta</x:v>
      </x:c>
      <x:c r="S221" s="45" t="str"/>
      <x:c r="T221" s="45" t="n">
        <x:f>IF(AND(OR(E221="Abierta",E221="Próxima Apertura"),N221="Sí",ISNUMBER(I221),ISNUMBER(J221),ABS(I221)&lt;=90,ABS(J221)&lt;=180),1,0)</x:f>
        <x:v>1</x:v>
      </x:c>
    </x:row>
    <x:row r="222" ht="23" customHeight="1">
      <x:c r="A222" s="45" t="str">
        <x:v>Centro Poniente</x:v>
      </x:c>
      <x:c r="B222" s="45" t="str">
        <x:v>Daniel Flores Maldonado</x:v>
      </x:c>
      <x:c r="C222" s="50" t="str">
        <x:v>38841</x:v>
      </x:c>
      <x:c r="D222" s="45" t="str">
        <x:v>Townsquare Metepec</x:v>
      </x:c>
      <x:c r="E222" s="45" t="str">
        <x:v>Abierta</x:v>
      </x:c>
      <x:c r="F222" s="51" t="d">
        <x:v>2018-11-08T00:00:00.000Z</x:v>
      </x:c>
      <x:c r="G222" s="45" t="str">
        <x:v>Metepec</x:v>
      </x:c>
      <x:c r="H222" s="45" t="str">
        <x:v>Estado De México</x:v>
      </x:c>
      <x:c r="I222" s="52" t="n">
        <x:v>19.267225</x:v>
      </x:c>
      <x:c r="J222" s="52" t="n">
        <x:v>-99.606012</x:v>
      </x:c>
      <x:c r="K222" s="45" t="str">
        <x:v>Cafe</x:v>
      </x:c>
      <x:c r="L222" s="45" t="str">
        <x:v>Retail</x:v>
      </x:c>
      <x:c r="M222" s="45" t="str">
        <x:v>C1</x:v>
      </x:c>
      <x:c r="N222" s="45" t="str">
        <x:v>Sí</x:v>
      </x:c>
      <x:c r="O222" s="45" t="str">
        <x:v>Daniel Flores Maldonado</x:v>
      </x:c>
      <x:c r="P222" s="45" t="str">
        <x:v>Ops y Directorio Alsea · octubre 2026</x:v>
      </x:c>
      <x:c r="Q222" s="45" t="str">
        <x:v>Puntos proporcionados</x:v>
      </x:c>
      <x:c r="R222" s="45" t="str">
        <x:v>Abierta</x:v>
      </x:c>
      <x:c r="S222" s="45" t="str"/>
      <x:c r="T222" s="45" t="n">
        <x:f>IF(AND(OR(E222="Abierta",E222="Próxima Apertura"),N222="Sí",ISNUMBER(I222),ISNUMBER(J222),ABS(I222)&lt;=90,ABS(J222)&lt;=180),1,0)</x:f>
        <x:v>1</x:v>
      </x:c>
    </x:row>
    <x:row r="223" ht="23" customHeight="1">
      <x:c r="A223" s="45" t="str">
        <x:v>Centro Poniente</x:v>
      </x:c>
      <x:c r="B223" s="45" t="str">
        <x:v>Daniel Flores Maldonado</x:v>
      </x:c>
      <x:c r="C223" s="50" t="str">
        <x:v>38896</x:v>
      </x:c>
      <x:c r="D223" s="45" t="str">
        <x:v>Paseo Tollocan DT</x:v>
      </x:c>
      <x:c r="E223" s="45" t="str">
        <x:v>Abierta</x:v>
      </x:c>
      <x:c r="F223" s="51" t="d">
        <x:v>2021-10-04T00:00:00.000Z</x:v>
      </x:c>
      <x:c r="G223" s="45" t="str">
        <x:v>Toluca</x:v>
      </x:c>
      <x:c r="H223" s="45" t="str">
        <x:v>Estado De México</x:v>
      </x:c>
      <x:c r="I223" s="52" t="n">
        <x:v>19.2874252</x:v>
      </x:c>
      <x:c r="J223" s="52" t="n">
        <x:v>-99.6277542</x:v>
      </x:c>
      <x:c r="K223" s="45" t="str">
        <x:v>Drive_Thru</x:v>
      </x:c>
      <x:c r="L223" s="45" t="str">
        <x:v>Transfers</x:v>
      </x:c>
      <x:c r="M223" s="45" t="str">
        <x:v>C1</x:v>
      </x:c>
      <x:c r="N223" s="45" t="str">
        <x:v>Sí</x:v>
      </x:c>
      <x:c r="O223" s="45" t="str">
        <x:v>Daniel Flores Maldonado</x:v>
      </x:c>
      <x:c r="P223" s="45" t="str">
        <x:v>Ops y Directorio Alsea · octubre 2026</x:v>
      </x:c>
      <x:c r="Q223" s="45" t="str">
        <x:v>Puntos proporcionados</x:v>
      </x:c>
      <x:c r="R223" s="45" t="str">
        <x:v>Abierta</x:v>
      </x:c>
      <x:c r="S223" s="45" t="str"/>
      <x:c r="T223" s="45" t="n">
        <x:f>IF(AND(OR(E223="Abierta",E223="Próxima Apertura"),N223="Sí",ISNUMBER(I223),ISNUMBER(J223),ABS(I223)&lt;=90,ABS(J223)&lt;=180),1,0)</x:f>
        <x:v>1</x:v>
      </x:c>
    </x:row>
    <x:row r="224" ht="23" customHeight="1">
      <x:c r="A224" s="45" t="str">
        <x:v>Centro Poniente</x:v>
      </x:c>
      <x:c r="B224" s="45" t="str">
        <x:v>Daniel Flores Maldonado</x:v>
      </x:c>
      <x:c r="C224" s="50" t="str">
        <x:v>38957</x:v>
      </x:c>
      <x:c r="D224" s="45" t="str">
        <x:v>Avándaro</x:v>
      </x:c>
      <x:c r="E224" s="45" t="str">
        <x:v>Abierta</x:v>
      </x:c>
      <x:c r="F224" s="51" t="d">
        <x:v>2023-06-02T00:00:00.000Z</x:v>
      </x:c>
      <x:c r="G224" s="45" t="str">
        <x:v>Valle De Bravo</x:v>
      </x:c>
      <x:c r="H224" s="45" t="str">
        <x:v>Estado De México</x:v>
      </x:c>
      <x:c r="I224" s="52" t="n">
        <x:v>19.165101</x:v>
      </x:c>
      <x:c r="J224" s="52" t="n">
        <x:v>-100.1252556</x:v>
      </x:c>
      <x:c r="K224" s="45" t="str">
        <x:v>Cafe</x:v>
      </x:c>
      <x:c r="L224" s="45" t="str">
        <x:v>Tourism_and_Entertainment</x:v>
      </x:c>
      <x:c r="M224" s="45" t="str">
        <x:v>C2</x:v>
      </x:c>
      <x:c r="N224" s="45" t="str">
        <x:v>Sí</x:v>
      </x:c>
      <x:c r="O224" s="45" t="str">
        <x:v>Daniel Flores Maldonado</x:v>
      </x:c>
      <x:c r="P224" s="45" t="str">
        <x:v>Ops y Directorio Alsea · octubre 2026</x:v>
      </x:c>
      <x:c r="Q224" s="45" t="str">
        <x:v>Puntos proporcionados</x:v>
      </x:c>
      <x:c r="R224" s="45" t="str">
        <x:v>Abierta</x:v>
      </x:c>
      <x:c r="S224" s="45" t="str"/>
      <x:c r="T224" s="45" t="n">
        <x:f>IF(AND(OR(E224="Abierta",E224="Próxima Apertura"),N224="Sí",ISNUMBER(I224),ISNUMBER(J224),ABS(I224)&lt;=90,ABS(J224)&lt;=180),1,0)</x:f>
        <x:v>1</x:v>
      </x:c>
    </x:row>
    <x:row r="225" ht="23" customHeight="1">
      <x:c r="A225" s="45" t="str">
        <x:v>Centro Poniente</x:v>
      </x:c>
      <x:c r="B225" s="45" t="str">
        <x:v>Daniel Flores Maldonado</x:v>
      </x:c>
      <x:c r="C225" s="50" t="str">
        <x:v>38987</x:v>
      </x:c>
      <x:c r="D225" s="45" t="str">
        <x:v>Punta Zero Calimaya DT</x:v>
      </x:c>
      <x:c r="E225" s="45" t="str">
        <x:v>Abierta</x:v>
      </x:c>
      <x:c r="F225" s="51" t="d">
        <x:v>2023-12-30T00:00:00.000Z</x:v>
      </x:c>
      <x:c r="G225" s="45" t="str">
        <x:v>Calimaya</x:v>
      </x:c>
      <x:c r="H225" s="45" t="str">
        <x:v>Estado De México</x:v>
      </x:c>
      <x:c r="I225" s="52" t="n">
        <x:v>19.1820711</x:v>
      </x:c>
      <x:c r="J225" s="52" t="n">
        <x:v>-99.5885179</x:v>
      </x:c>
      <x:c r="K225" s="45" t="str">
        <x:v>Drive_Thru</x:v>
      </x:c>
      <x:c r="L225" s="45" t="str">
        <x:v>Neighborhood</x:v>
      </x:c>
      <x:c r="M225" s="45" t="str">
        <x:v>C1</x:v>
      </x:c>
      <x:c r="N225" s="45" t="str">
        <x:v>Sí</x:v>
      </x:c>
      <x:c r="O225" s="45" t="str">
        <x:v>Daniel Flores Maldonado</x:v>
      </x:c>
      <x:c r="P225" s="45" t="str">
        <x:v>Ops y Directorio Alsea · octubre 2026</x:v>
      </x:c>
      <x:c r="Q225" s="45" t="str">
        <x:v>Puntos proporcionados</x:v>
      </x:c>
      <x:c r="R225" s="45" t="str">
        <x:v>Abierta</x:v>
      </x:c>
      <x:c r="S225" s="45" t="str"/>
      <x:c r="T225" s="45" t="n">
        <x:f>IF(AND(OR(E225="Abierta",E225="Próxima Apertura"),N225="Sí",ISNUMBER(I225),ISNUMBER(J225),ABS(I225)&lt;=90,ABS(J225)&lt;=180),1,0)</x:f>
        <x:v>1</x:v>
      </x:c>
    </x:row>
    <x:row r="226" ht="23" customHeight="1">
      <x:c r="A226" s="45" t="str">
        <x:v>Centro Poniente</x:v>
      </x:c>
      <x:c r="B226" s="45" t="str">
        <x:v>Daniel Flores Maldonado</x:v>
      </x:c>
      <x:c r="C226" s="50" t="str">
        <x:v>43059</x:v>
      </x:c>
      <x:c r="D226" s="45" t="str">
        <x:v>La Providencia DT</x:v>
      </x:c>
      <x:c r="E226" s="45" t="str">
        <x:v>Abierta</x:v>
      </x:c>
      <x:c r="F226" s="51" t="d">
        <x:v>2025-03-11T00:00:00.000Z</x:v>
      </x:c>
      <x:c r="G226" s="45" t="str">
        <x:v>Metepec</x:v>
      </x:c>
      <x:c r="H226" s="45" t="str">
        <x:v>Estado De México</x:v>
      </x:c>
      <x:c r="I226" s="52" t="n">
        <x:v>19.2759356</x:v>
      </x:c>
      <x:c r="J226" s="52" t="n">
        <x:v>-99.6006707</x:v>
      </x:c>
      <x:c r="K226" s="45" t="str">
        <x:v>Drive_Thru</x:v>
      </x:c>
      <x:c r="L226" s="45" t="str">
        <x:v>Transfers</x:v>
      </x:c>
      <x:c r="M226" s="45" t="str">
        <x:v>C1</x:v>
      </x:c>
      <x:c r="N226" s="45" t="str">
        <x:v>Sí</x:v>
      </x:c>
      <x:c r="O226" s="45" t="str">
        <x:v>Daniel Flores Maldonado</x:v>
      </x:c>
      <x:c r="P226" s="45" t="str">
        <x:v>Ops y Directorio Alsea · octubre 2026</x:v>
      </x:c>
      <x:c r="Q226" s="45" t="str">
        <x:v>Puntos proporcionados</x:v>
      </x:c>
      <x:c r="R226" s="45" t="str">
        <x:v>Abierta</x:v>
      </x:c>
      <x:c r="S226" s="45" t="str"/>
      <x:c r="T226" s="45" t="n">
        <x:f>IF(AND(OR(E226="Abierta",E226="Próxima Apertura"),N226="Sí",ISNUMBER(I226),ISNUMBER(J226),ABS(I226)&lt;=90,ABS(J226)&lt;=180),1,0)</x:f>
        <x:v>1</x:v>
      </x:c>
    </x:row>
    <x:row r="227" ht="23" customHeight="1">
      <x:c r="A227" s="45" t="str">
        <x:v>Centro Poniente</x:v>
      </x:c>
      <x:c r="B227" s="45" t="str">
        <x:v>Daniel Flores Maldonado</x:v>
      </x:c>
      <x:c r="C227" s="50" t="str">
        <x:v>43068</x:v>
      </x:c>
      <x:c r="D227" s="45" t="str">
        <x:v>Galerias Metepec II</x:v>
      </x:c>
      <x:c r="E227" s="45" t="str">
        <x:v>Abierta</x:v>
      </x:c>
      <x:c r="F227" s="51" t="d">
        <x:v>2025-08-04T00:00:00.000Z</x:v>
      </x:c>
      <x:c r="G227" s="45" t="str">
        <x:v>Metepec</x:v>
      </x:c>
      <x:c r="H227" s="45" t="str">
        <x:v>Estado De México</x:v>
      </x:c>
      <x:c r="I227" s="52" t="n">
        <x:v>19.255922</x:v>
      </x:c>
      <x:c r="J227" s="52" t="n">
        <x:v>-99.616087</x:v>
      </x:c>
      <x:c r="K227" s="45" t="str">
        <x:v>Cafe</x:v>
      </x:c>
      <x:c r="L227" s="45" t="str">
        <x:v>Retail</x:v>
      </x:c>
      <x:c r="M227" s="45" t="str">
        <x:v>C1</x:v>
      </x:c>
      <x:c r="N227" s="45" t="str">
        <x:v>Sí</x:v>
      </x:c>
      <x:c r="O227" s="45" t="str">
        <x:v>Daniel Flores Maldonado</x:v>
      </x:c>
      <x:c r="P227" s="45" t="str">
        <x:v>Ops y Directorio Alsea · octubre 2026</x:v>
      </x:c>
      <x:c r="Q227" s="45" t="str">
        <x:v>Puntos proporcionados</x:v>
      </x:c>
      <x:c r="R227" s="45" t="str">
        <x:v>Abierta</x:v>
      </x:c>
      <x:c r="S227" s="45" t="str"/>
      <x:c r="T227" s="45" t="n">
        <x:f>IF(AND(OR(E227="Abierta",E227="Próxima Apertura"),N227="Sí",ISNUMBER(I227),ISNUMBER(J227),ABS(I227)&lt;=90,ABS(J227)&lt;=180),1,0)</x:f>
        <x:v>1</x:v>
      </x:c>
    </x:row>
    <x:row r="228" ht="23" customHeight="1">
      <x:c r="A228" s="45" t="str">
        <x:v>Centro Poniente</x:v>
      </x:c>
      <x:c r="B228" s="45" t="str">
        <x:v>Erika Julieta Contreras Aguilar</x:v>
      </x:c>
      <x:c r="C228" s="50" t="str">
        <x:v>38122</x:v>
      </x:c>
      <x:c r="D228" s="45" t="str">
        <x:v>Santa Fe</x:v>
      </x:c>
      <x:c r="E228" s="45" t="str">
        <x:v>Abierta</x:v>
      </x:c>
      <x:c r="F228" s="51" t="d">
        <x:v>2003-12-18T00:00:00.000Z</x:v>
      </x:c>
      <x:c r="G228" s="45" t="str">
        <x:v>Álvaro Obregón</x:v>
      </x:c>
      <x:c r="H228" s="45" t="str">
        <x:v>Ciudad De México</x:v>
      </x:c>
      <x:c r="I228" s="52" t="n">
        <x:v>19.3681</x:v>
      </x:c>
      <x:c r="J228" s="52" t="n">
        <x:v>-99.262773</x:v>
      </x:c>
      <x:c r="K228" s="45" t="str">
        <x:v>Cafe</x:v>
      </x:c>
      <x:c r="L228" s="45" t="str">
        <x:v>Office_Complex</x:v>
      </x:c>
      <x:c r="M228" s="45" t="str">
        <x:v>C1</x:v>
      </x:c>
      <x:c r="N228" s="45" t="str">
        <x:v>Sí</x:v>
      </x:c>
      <x:c r="O228" s="45" t="str">
        <x:v>Erika Julieta Contreras Aguilar</x:v>
      </x:c>
      <x:c r="P228" s="45" t="str">
        <x:v>Ops y Directorio Alsea · octubre 2026</x:v>
      </x:c>
      <x:c r="Q228" s="45" t="str">
        <x:v>Puntos proporcionados</x:v>
      </x:c>
      <x:c r="R228" s="45" t="str">
        <x:v>Abierta</x:v>
      </x:c>
      <x:c r="S228" s="45" t="str"/>
      <x:c r="T228" s="45" t="n">
        <x:f>IF(AND(OR(E228="Abierta",E228="Próxima Apertura"),N228="Sí",ISNUMBER(I228),ISNUMBER(J228),ABS(I228)&lt;=90,ABS(J228)&lt;=180),1,0)</x:f>
        <x:v>1</x:v>
      </x:c>
    </x:row>
    <x:row r="229" ht="23" customHeight="1">
      <x:c r="A229" s="45" t="str">
        <x:v>Centro Poniente</x:v>
      </x:c>
      <x:c r="B229" s="45" t="str">
        <x:v>Erika Julieta Contreras Aguilar</x:v>
      </x:c>
      <x:c r="C229" s="50" t="str">
        <x:v>38148</x:v>
      </x:c>
      <x:c r="D229" s="45" t="str">
        <x:v>Centro Comercial Santa Fe 1</x:v>
      </x:c>
      <x:c r="E229" s="45" t="str">
        <x:v>Abierta</x:v>
      </x:c>
      <x:c r="F229" s="51" t="d">
        <x:v>2005-03-24T00:00:00.000Z</x:v>
      </x:c>
      <x:c r="G229" s="45" t="str">
        <x:v>Cuajimalpa</x:v>
      </x:c>
      <x:c r="H229" s="45" t="str">
        <x:v>Ciudad De México</x:v>
      </x:c>
      <x:c r="I229" s="52" t="n">
        <x:v>19.3608928</x:v>
      </x:c>
      <x:c r="J229" s="52" t="n">
        <x:v>-99.2744669</x:v>
      </x:c>
      <x:c r="K229" s="45" t="str">
        <x:v>Cafe</x:v>
      </x:c>
      <x:c r="L229" s="45" t="str">
        <x:v>Retail</x:v>
      </x:c>
      <x:c r="M229" s="45" t="str">
        <x:v>C2</x:v>
      </x:c>
      <x:c r="N229" s="45" t="str">
        <x:v>Sí</x:v>
      </x:c>
      <x:c r="O229" s="45" t="str">
        <x:v>Erika Julieta Contreras Aguilar</x:v>
      </x:c>
      <x:c r="P229" s="45" t="str">
        <x:v>Ops y Directorio Alsea · octubre 2026</x:v>
      </x:c>
      <x:c r="Q229" s="45" t="str">
        <x:v>Puntos proporcionados</x:v>
      </x:c>
      <x:c r="R229" s="45" t="str">
        <x:v>Abierta</x:v>
      </x:c>
      <x:c r="S229" s="45" t="str"/>
      <x:c r="T229" s="45" t="n">
        <x:f>IF(AND(OR(E229="Abierta",E229="Próxima Apertura"),N229="Sí",ISNUMBER(I229),ISNUMBER(J229),ABS(I229)&lt;=90,ABS(J229)&lt;=180),1,0)</x:f>
        <x:v>1</x:v>
      </x:c>
    </x:row>
    <x:row r="230" ht="23" customHeight="1">
      <x:c r="A230" s="45" t="str">
        <x:v>Centro Poniente</x:v>
      </x:c>
      <x:c r="B230" s="45" t="str">
        <x:v>Erika Julieta Contreras Aguilar</x:v>
      </x:c>
      <x:c r="C230" s="50" t="str">
        <x:v>38150</x:v>
      </x:c>
      <x:c r="D230" s="45" t="str">
        <x:v>Santa Fe 2</x:v>
      </x:c>
      <x:c r="E230" s="45" t="str">
        <x:v>Abierta</x:v>
      </x:c>
      <x:c r="F230" s="51" t="d">
        <x:v>2005-03-31T00:00:00.000Z</x:v>
      </x:c>
      <x:c r="G230" s="45" t="str">
        <x:v>Álvaro Obregón</x:v>
      </x:c>
      <x:c r="H230" s="45" t="str">
        <x:v>Ciudad De México</x:v>
      </x:c>
      <x:c r="I230" s="52" t="n">
        <x:v>19.365034</x:v>
      </x:c>
      <x:c r="J230" s="52" t="n">
        <x:v>-99.265131</x:v>
      </x:c>
      <x:c r="K230" s="45" t="str">
        <x:v>Cafe</x:v>
      </x:c>
      <x:c r="L230" s="45" t="str">
        <x:v>Retail</x:v>
      </x:c>
      <x:c r="M230" s="45" t="str">
        <x:v>C1</x:v>
      </x:c>
      <x:c r="N230" s="45" t="str">
        <x:v>Sí</x:v>
      </x:c>
      <x:c r="O230" s="45" t="str">
        <x:v>Erika Julieta Contreras Aguilar</x:v>
      </x:c>
      <x:c r="P230" s="45" t="str">
        <x:v>Ops y Directorio Alsea · octubre 2026</x:v>
      </x:c>
      <x:c r="Q230" s="45" t="str">
        <x:v>Puntos proporcionados</x:v>
      </x:c>
      <x:c r="R230" s="45" t="str">
        <x:v>Abierta</x:v>
      </x:c>
      <x:c r="S230" s="45" t="str"/>
      <x:c r="T230" s="45" t="n">
        <x:f>IF(AND(OR(E230="Abierta",E230="Próxima Apertura"),N230="Sí",ISNUMBER(I230),ISNUMBER(J230),ABS(I230)&lt;=90,ABS(J230)&lt;=180),1,0)</x:f>
        <x:v>1</x:v>
      </x:c>
    </x:row>
    <x:row r="231" ht="23" customHeight="1">
      <x:c r="A231" s="45" t="str">
        <x:v>Centro Poniente</x:v>
      </x:c>
      <x:c r="B231" s="45" t="str">
        <x:v>Erika Julieta Contreras Aguilar</x:v>
      </x:c>
      <x:c r="C231" s="50" t="str">
        <x:v>38189</x:v>
      </x:c>
      <x:c r="D231" s="45" t="str">
        <x:v>Santa Fe Imax</x:v>
      </x:c>
      <x:c r="E231" s="45" t="str">
        <x:v>Abierta</x:v>
      </x:c>
      <x:c r="F231" s="51" t="d">
        <x:v>2006-06-23T00:00:00.000Z</x:v>
      </x:c>
      <x:c r="G231" s="45" t="str">
        <x:v>Cuajimalpa</x:v>
      </x:c>
      <x:c r="H231" s="45" t="str">
        <x:v>Ciudad De México</x:v>
      </x:c>
      <x:c r="I231" s="52" t="n">
        <x:v>19.3592675</x:v>
      </x:c>
      <x:c r="J231" s="52" t="n">
        <x:v>-99.2747089</x:v>
      </x:c>
      <x:c r="K231" s="45" t="str">
        <x:v>Cafe</x:v>
      </x:c>
      <x:c r="L231" s="45" t="str">
        <x:v>Retail</x:v>
      </x:c>
      <x:c r="M231" s="45" t="str">
        <x:v>C2</x:v>
      </x:c>
      <x:c r="N231" s="45" t="str">
        <x:v>Sí</x:v>
      </x:c>
      <x:c r="O231" s="45" t="str">
        <x:v>Erika Julieta Contreras Aguilar</x:v>
      </x:c>
      <x:c r="P231" s="45" t="str">
        <x:v>Ops y Directorio Alsea · octubre 2026</x:v>
      </x:c>
      <x:c r="Q231" s="45" t="str">
        <x:v>Puntos proporcionados</x:v>
      </x:c>
      <x:c r="R231" s="45" t="str">
        <x:v>Abierta</x:v>
      </x:c>
      <x:c r="S231" s="45" t="str"/>
      <x:c r="T231" s="45" t="n">
        <x:f>IF(AND(OR(E231="Abierta",E231="Próxima Apertura"),N231="Sí",ISNUMBER(I231),ISNUMBER(J231),ABS(I231)&lt;=90,ABS(J231)&lt;=180),1,0)</x:f>
        <x:v>1</x:v>
      </x:c>
    </x:row>
    <x:row r="232" ht="23" customHeight="1">
      <x:c r="A232" s="45" t="str">
        <x:v>Centro Poniente</x:v>
      </x:c>
      <x:c r="B232" s="45" t="str">
        <x:v>Erika Julieta Contreras Aguilar</x:v>
      </x:c>
      <x:c r="C232" s="50" t="str">
        <x:v>38225</x:v>
      </x:c>
      <x:c r="D232" s="45" t="str">
        <x:v>Centro Comercial Santa Fe 2</x:v>
      </x:c>
      <x:c r="E232" s="45" t="str">
        <x:v>Abierta</x:v>
      </x:c>
      <x:c r="F232" s="51" t="d">
        <x:v>2007-03-31T00:00:00.000Z</x:v>
      </x:c>
      <x:c r="G232" s="45" t="str">
        <x:v>Cuajimalpa</x:v>
      </x:c>
      <x:c r="H232" s="45" t="str">
        <x:v>Ciudad De México</x:v>
      </x:c>
      <x:c r="I232" s="52" t="n">
        <x:v>19.3621797</x:v>
      </x:c>
      <x:c r="J232" s="52" t="n">
        <x:v>-99.2714809</x:v>
      </x:c>
      <x:c r="K232" s="45" t="str">
        <x:v>Cafe</x:v>
      </x:c>
      <x:c r="L232" s="45" t="str">
        <x:v>Retail</x:v>
      </x:c>
      <x:c r="M232" s="45" t="str">
        <x:v>C2</x:v>
      </x:c>
      <x:c r="N232" s="45" t="str">
        <x:v>Sí</x:v>
      </x:c>
      <x:c r="O232" s="45" t="str">
        <x:v>Erika Julieta Contreras Aguilar</x:v>
      </x:c>
      <x:c r="P232" s="45" t="str">
        <x:v>Ops y Directorio Alsea · octubre 2026</x:v>
      </x:c>
      <x:c r="Q232" s="45" t="str">
        <x:v>Puntos proporcionados</x:v>
      </x:c>
      <x:c r="R232" s="45" t="str">
        <x:v>Abierta</x:v>
      </x:c>
      <x:c r="S232" s="45" t="str"/>
      <x:c r="T232" s="45" t="n">
        <x:f>IF(AND(OR(E232="Abierta",E232="Próxima Apertura"),N232="Sí",ISNUMBER(I232),ISNUMBER(J232),ABS(I232)&lt;=90,ABS(J232)&lt;=180),1,0)</x:f>
        <x:v>1</x:v>
      </x:c>
    </x:row>
    <x:row r="233" ht="23" customHeight="1">
      <x:c r="A233" s="45" t="str">
        <x:v>Centro Poniente</x:v>
      </x:c>
      <x:c r="B233" s="45" t="str">
        <x:v>Erika Julieta Contreras Aguilar</x:v>
      </x:c>
      <x:c r="C233" s="50" t="str">
        <x:v>38361</x:v>
      </x:c>
      <x:c r="D233" s="45" t="str">
        <x:v>Castorena</x:v>
      </x:c>
      <x:c r="E233" s="45" t="str">
        <x:v>Abierta</x:v>
      </x:c>
      <x:c r="F233" s="51" t="d">
        <x:v>2009-02-20T00:00:00.000Z</x:v>
      </x:c>
      <x:c r="G233" s="45" t="str">
        <x:v>Cuajimalpa</x:v>
      </x:c>
      <x:c r="H233" s="45" t="str">
        <x:v>Ciudad De México</x:v>
      </x:c>
      <x:c r="I233" s="52" t="n">
        <x:v>19.3606</x:v>
      </x:c>
      <x:c r="J233" s="52" t="n">
        <x:v>-99.291772</x:v>
      </x:c>
      <x:c r="K233" s="45" t="str">
        <x:v>Cafe</x:v>
      </x:c>
      <x:c r="L233" s="45" t="str">
        <x:v>Neighborhood</x:v>
      </x:c>
      <x:c r="M233" s="45" t="str">
        <x:v>C1</x:v>
      </x:c>
      <x:c r="N233" s="45" t="str">
        <x:v>Sí</x:v>
      </x:c>
      <x:c r="O233" s="45" t="str">
        <x:v>Erika Julieta Contreras Aguilar</x:v>
      </x:c>
      <x:c r="P233" s="45" t="str">
        <x:v>Ops y Directorio Alsea · octubre 2026</x:v>
      </x:c>
      <x:c r="Q233" s="45" t="str">
        <x:v>Puntos proporcionados</x:v>
      </x:c>
      <x:c r="R233" s="45" t="str">
        <x:v>Abierta</x:v>
      </x:c>
      <x:c r="S233" s="45" t="str"/>
      <x:c r="T233" s="45" t="n">
        <x:f>IF(AND(OR(E233="Abierta",E233="Próxima Apertura"),N233="Sí",ISNUMBER(I233),ISNUMBER(J233),ABS(I233)&lt;=90,ABS(J233)&lt;=180),1,0)</x:f>
        <x:v>1</x:v>
      </x:c>
    </x:row>
    <x:row r="234" ht="23" customHeight="1">
      <x:c r="A234" s="45" t="str">
        <x:v>Centro Poniente</x:v>
      </x:c>
      <x:c r="B234" s="45" t="str">
        <x:v>Erika Julieta Contreras Aguilar</x:v>
      </x:c>
      <x:c r="C234" s="50" t="str">
        <x:v>38414</x:v>
      </x:c>
      <x:c r="D234" s="45" t="str">
        <x:v>Park Plaza</x:v>
      </x:c>
      <x:c r="E234" s="45" t="str">
        <x:v>Abierta</x:v>
      </x:c>
      <x:c r="F234" s="51" t="d">
        <x:v>2011-05-02T00:00:00.000Z</x:v>
      </x:c>
      <x:c r="G234" s="45" t="str">
        <x:v>Álvaro Obregón</x:v>
      </x:c>
      <x:c r="H234" s="45" t="str">
        <x:v>Ciudad De México</x:v>
      </x:c>
      <x:c r="I234" s="52" t="n">
        <x:v>19.3651892</x:v>
      </x:c>
      <x:c r="J234" s="52" t="n">
        <x:v>-99.2593605</x:v>
      </x:c>
      <x:c r="K234" s="45" t="str">
        <x:v>Cafe</x:v>
      </x:c>
      <x:c r="L234" s="45" t="str">
        <x:v>Office_Complex</x:v>
      </x:c>
      <x:c r="M234" s="45" t="str">
        <x:v>C1</x:v>
      </x:c>
      <x:c r="N234" s="45" t="str">
        <x:v>Sí</x:v>
      </x:c>
      <x:c r="O234" s="45" t="str">
        <x:v>Erika Julieta Contreras Aguilar</x:v>
      </x:c>
      <x:c r="P234" s="45" t="str">
        <x:v>Ops y Directorio Alsea · octubre 2026</x:v>
      </x:c>
      <x:c r="Q234" s="45" t="str">
        <x:v>Puntos proporcionados</x:v>
      </x:c>
      <x:c r="R234" s="45" t="str">
        <x:v>Abierta</x:v>
      </x:c>
      <x:c r="S234" s="45" t="str"/>
      <x:c r="T234" s="45" t="n">
        <x:f>IF(AND(OR(E234="Abierta",E234="Próxima Apertura"),N234="Sí",ISNUMBER(I234),ISNUMBER(J234),ABS(I234)&lt;=90,ABS(J234)&lt;=180),1,0)</x:f>
        <x:v>1</x:v>
      </x:c>
    </x:row>
    <x:row r="235" ht="23" customHeight="1">
      <x:c r="A235" s="45" t="str">
        <x:v>Centro Poniente</x:v>
      </x:c>
      <x:c r="B235" s="45" t="str">
        <x:v>Erika Julieta Contreras Aguilar</x:v>
      </x:c>
      <x:c r="C235" s="50" t="str">
        <x:v>38438</x:v>
      </x:c>
      <x:c r="D235" s="45" t="str">
        <x:v>City Walk</x:v>
      </x:c>
      <x:c r="E235" s="45" t="str">
        <x:v>Abierta</x:v>
      </x:c>
      <x:c r="F235" s="51" t="d">
        <x:v>2011-12-13T00:00:00.000Z</x:v>
      </x:c>
      <x:c r="G235" s="45" t="str">
        <x:v>Cuajimalpa</x:v>
      </x:c>
      <x:c r="H235" s="45" t="str">
        <x:v>Ciudad De México</x:v>
      </x:c>
      <x:c r="I235" s="52" t="n">
        <x:v>19.3592865</x:v>
      </x:c>
      <x:c r="J235" s="52" t="n">
        <x:v>-99.2704603</x:v>
      </x:c>
      <x:c r="K235" s="45" t="str">
        <x:v>Cafe</x:v>
      </x:c>
      <x:c r="L235" s="45" t="str">
        <x:v>Neighborhood</x:v>
      </x:c>
      <x:c r="M235" s="45" t="str">
        <x:v>C1</x:v>
      </x:c>
      <x:c r="N235" s="45" t="str">
        <x:v>Sí</x:v>
      </x:c>
      <x:c r="O235" s="45" t="str">
        <x:v>Erika Julieta Contreras Aguilar</x:v>
      </x:c>
      <x:c r="P235" s="45" t="str">
        <x:v>Ops y Directorio Alsea · octubre 2026</x:v>
      </x:c>
      <x:c r="Q235" s="45" t="str">
        <x:v>Puntos proporcionados</x:v>
      </x:c>
      <x:c r="R235" s="45" t="str">
        <x:v>Abierta</x:v>
      </x:c>
      <x:c r="S235" s="45" t="str"/>
      <x:c r="T235" s="45" t="n">
        <x:f>IF(AND(OR(E235="Abierta",E235="Próxima Apertura"),N235="Sí",ISNUMBER(I235),ISNUMBER(J235),ABS(I235)&lt;=90,ABS(J235)&lt;=180),1,0)</x:f>
        <x:v>1</x:v>
      </x:c>
    </x:row>
    <x:row r="236" ht="23" customHeight="1">
      <x:c r="A236" s="45" t="str">
        <x:v>Centro Poniente</x:v>
      </x:c>
      <x:c r="B236" s="45" t="str">
        <x:v>Erika Julieta Contreras Aguilar</x:v>
      </x:c>
      <x:c r="C236" s="50" t="str">
        <x:v>38508</x:v>
      </x:c>
      <x:c r="D236" s="45" t="str">
        <x:v>Ampliacion Santa Fe</x:v>
      </x:c>
      <x:c r="E236" s="45" t="str">
        <x:v>Abierta</x:v>
      </x:c>
      <x:c r="F236" s="51" t="d">
        <x:v>2013-09-20T00:00:00.000Z</x:v>
      </x:c>
      <x:c r="G236" s="45" t="str">
        <x:v>Cuajimalpa</x:v>
      </x:c>
      <x:c r="H236" s="45" t="str">
        <x:v>Ciudad De México</x:v>
      </x:c>
      <x:c r="I236" s="52" t="n">
        <x:v>19.3608354</x:v>
      </x:c>
      <x:c r="J236" s="52" t="n">
        <x:v>-99.2758465</x:v>
      </x:c>
      <x:c r="K236" s="45" t="str">
        <x:v>Cafe</x:v>
      </x:c>
      <x:c r="L236" s="45" t="str">
        <x:v>Retail</x:v>
      </x:c>
      <x:c r="M236" s="45" t="str">
        <x:v>C2</x:v>
      </x:c>
      <x:c r="N236" s="45" t="str">
        <x:v>Sí</x:v>
      </x:c>
      <x:c r="O236" s="45" t="str">
        <x:v>Erika Julieta Contreras Aguilar</x:v>
      </x:c>
      <x:c r="P236" s="45" t="str">
        <x:v>Ops y Directorio Alsea · octubre 2026</x:v>
      </x:c>
      <x:c r="Q236" s="45" t="str">
        <x:v>Puntos proporcionados</x:v>
      </x:c>
      <x:c r="R236" s="45" t="str">
        <x:v>Abierta</x:v>
      </x:c>
      <x:c r="S236" s="45" t="str"/>
      <x:c r="T236" s="45" t="n">
        <x:f>IF(AND(OR(E236="Abierta",E236="Próxima Apertura"),N236="Sí",ISNUMBER(I236),ISNUMBER(J236),ABS(I236)&lt;=90,ABS(J236)&lt;=180),1,0)</x:f>
        <x:v>1</x:v>
      </x:c>
    </x:row>
    <x:row r="237" ht="23" customHeight="1">
      <x:c r="A237" s="45" t="str">
        <x:v>Centro Poniente</x:v>
      </x:c>
      <x:c r="B237" s="45" t="str">
        <x:v>Erika Julieta Contreras Aguilar</x:v>
      </x:c>
      <x:c r="C237" s="50" t="str">
        <x:v>38534</x:v>
      </x:c>
      <x:c r="D237" s="45" t="str">
        <x:v>Patio Santa Fe 1</x:v>
      </x:c>
      <x:c r="E237" s="45" t="str">
        <x:v>Abierta</x:v>
      </x:c>
      <x:c r="F237" s="51" t="d">
        <x:v>2014-05-09T00:00:00.000Z</x:v>
      </x:c>
      <x:c r="G237" s="45" t="str">
        <x:v>Álvaro Obregón</x:v>
      </x:c>
      <x:c r="H237" s="45" t="str">
        <x:v>Ciudad De México</x:v>
      </x:c>
      <x:c r="I237" s="52" t="n">
        <x:v>19.3768427</x:v>
      </x:c>
      <x:c r="J237" s="52" t="n">
        <x:v>-99.2543562</x:v>
      </x:c>
      <x:c r="K237" s="45" t="str">
        <x:v>Cafe</x:v>
      </x:c>
      <x:c r="L237" s="45" t="str">
        <x:v>Retail</x:v>
      </x:c>
      <x:c r="M237" s="45" t="str">
        <x:v>C2</x:v>
      </x:c>
      <x:c r="N237" s="45" t="str">
        <x:v>Sí</x:v>
      </x:c>
      <x:c r="O237" s="45" t="str">
        <x:v>Erika Julieta Contreras Aguilar</x:v>
      </x:c>
      <x:c r="P237" s="45" t="str">
        <x:v>Ops y Directorio Alsea · octubre 2026</x:v>
      </x:c>
      <x:c r="Q237" s="45" t="str">
        <x:v>Puntos proporcionados</x:v>
      </x:c>
      <x:c r="R237" s="45" t="str">
        <x:v>Abierta</x:v>
      </x:c>
      <x:c r="S237" s="45" t="str"/>
      <x:c r="T237" s="45" t="n">
        <x:f>IF(AND(OR(E237="Abierta",E237="Próxima Apertura"),N237="Sí",ISNUMBER(I237),ISNUMBER(J237),ABS(I237)&lt;=90,ABS(J237)&lt;=180),1,0)</x:f>
        <x:v>1</x:v>
      </x:c>
    </x:row>
    <x:row r="238" ht="23" customHeight="1">
      <x:c r="A238" s="45" t="str">
        <x:v>Centro Poniente</x:v>
      </x:c>
      <x:c r="B238" s="45" t="str">
        <x:v>Erika Julieta Contreras Aguilar</x:v>
      </x:c>
      <x:c r="C238" s="50" t="str">
        <x:v>38607</x:v>
      </x:c>
      <x:c r="D238" s="45" t="str">
        <x:v>Carretera  Mexico Toluca KM42</x:v>
      </x:c>
      <x:c r="E238" s="45" t="str">
        <x:v>Abierta</x:v>
      </x:c>
      <x:c r="F238" s="51" t="d">
        <x:v>2015-09-15T00:00:00.000Z</x:v>
      </x:c>
      <x:c r="G238" s="45" t="str">
        <x:v>Ocoyoacac</x:v>
      </x:c>
      <x:c r="H238" s="45" t="str">
        <x:v>Estado De México</x:v>
      </x:c>
      <x:c r="I238" s="52" t="n">
        <x:v>19.287764</x:v>
      </x:c>
      <x:c r="J238" s="52" t="n">
        <x:v>-99.445906</x:v>
      </x:c>
      <x:c r="K238" s="45" t="str">
        <x:v>Drive_Thru</x:v>
      </x:c>
      <x:c r="L238" s="45" t="str">
        <x:v>Transfers</x:v>
      </x:c>
      <x:c r="M238" s="45" t="str">
        <x:v>C2</x:v>
      </x:c>
      <x:c r="N238" s="45" t="str">
        <x:v>Sí</x:v>
      </x:c>
      <x:c r="O238" s="45" t="str">
        <x:v>Erika Julieta Contreras Aguilar</x:v>
      </x:c>
      <x:c r="P238" s="45" t="str">
        <x:v>Ops y Directorio Alsea · octubre 2026</x:v>
      </x:c>
      <x:c r="Q238" s="45" t="str">
        <x:v>Puntos proporcionados</x:v>
      </x:c>
      <x:c r="R238" s="45" t="str">
        <x:v>Abierta</x:v>
      </x:c>
      <x:c r="S238" s="45" t="str"/>
      <x:c r="T238" s="45" t="n">
        <x:f>IF(AND(OR(E238="Abierta",E238="Próxima Apertura"),N238="Sí",ISNUMBER(I238),ISNUMBER(J238),ABS(I238)&lt;=90,ABS(J238)&lt;=180),1,0)</x:f>
        <x:v>1</x:v>
      </x:c>
    </x:row>
    <x:row r="239" ht="23" customHeight="1">
      <x:c r="A239" s="45" t="str">
        <x:v>Centro Poniente</x:v>
      </x:c>
      <x:c r="B239" s="45" t="str">
        <x:v>Erika Julieta Contreras Aguilar</x:v>
      </x:c>
      <x:c r="C239" s="50" t="str">
        <x:v>38633</x:v>
      </x:c>
      <x:c r="D239" s="45" t="str">
        <x:v>Carretera Toluca Mexico (plaza cedros DT)</x:v>
      </x:c>
      <x:c r="E239" s="45" t="str">
        <x:v>Abierta</x:v>
      </x:c>
      <x:c r="F239" s="51" t="d">
        <x:v>2022-12-21T00:00:00.000Z</x:v>
      </x:c>
      <x:c r="G239" s="45" t="str">
        <x:v>Cuajimalpa</x:v>
      </x:c>
      <x:c r="H239" s="45" t="str">
        <x:v>Ciudad De México</x:v>
      </x:c>
      <x:c r="I239" s="52" t="n">
        <x:v>19.3523228</x:v>
      </x:c>
      <x:c r="J239" s="52" t="n">
        <x:v>-99.2947399</x:v>
      </x:c>
      <x:c r="K239" s="45" t="str">
        <x:v>Drive_Thru</x:v>
      </x:c>
      <x:c r="L239" s="45" t="str">
        <x:v>Transfers</x:v>
      </x:c>
      <x:c r="M239" s="45" t="str">
        <x:v>C1</x:v>
      </x:c>
      <x:c r="N239" s="45" t="str">
        <x:v>Sí</x:v>
      </x:c>
      <x:c r="O239" s="45" t="str">
        <x:v>Erika Julieta Contreras Aguilar</x:v>
      </x:c>
      <x:c r="P239" s="45" t="str">
        <x:v>Ops y Directorio Alsea · octubre 2026</x:v>
      </x:c>
      <x:c r="Q239" s="45" t="str">
        <x:v>Puntos proporcionados</x:v>
      </x:c>
      <x:c r="R239" s="45" t="str">
        <x:v>Abierta</x:v>
      </x:c>
      <x:c r="S239" s="45" t="str"/>
      <x:c r="T239" s="45" t="n">
        <x:f>IF(AND(OR(E239="Abierta",E239="Próxima Apertura"),N239="Sí",ISNUMBER(I239),ISNUMBER(J239),ABS(I239)&lt;=90,ABS(J239)&lt;=180),1,0)</x:f>
        <x:v>1</x:v>
      </x:c>
    </x:row>
    <x:row r="240" ht="23" customHeight="1">
      <x:c r="A240" s="45" t="str">
        <x:v>Centro Poniente</x:v>
      </x:c>
      <x:c r="B240" s="45" t="str">
        <x:v>Erika Julieta Contreras Aguilar</x:v>
      </x:c>
      <x:c r="C240" s="50" t="str">
        <x:v>38704</x:v>
      </x:c>
      <x:c r="D240" s="45" t="str">
        <x:v>Corportivo Banamex</x:v>
      </x:c>
      <x:c r="E240" s="45" t="str">
        <x:v>Abierta</x:v>
      </x:c>
      <x:c r="F240" s="51" t="d">
        <x:v>2016-12-07T00:00:00.000Z</x:v>
      </x:c>
      <x:c r="G240" s="45" t="str">
        <x:v>Álvaro Obregón</x:v>
      </x:c>
      <x:c r="H240" s="45" t="str">
        <x:v>Ciudad De México</x:v>
      </x:c>
      <x:c r="I240" s="52" t="n">
        <x:v>19.3744374</x:v>
      </x:c>
      <x:c r="J240" s="52" t="n">
        <x:v>-99.2594182</x:v>
      </x:c>
      <x:c r="K240" s="45" t="str">
        <x:v>Kiosko</x:v>
      </x:c>
      <x:c r="L240" s="45" t="str">
        <x:v>Office_Complex</x:v>
      </x:c>
      <x:c r="M240" s="45" t="str">
        <x:v>C2</x:v>
      </x:c>
      <x:c r="N240" s="45" t="str">
        <x:v>Sí</x:v>
      </x:c>
      <x:c r="O240" s="45" t="str">
        <x:v>Erika Julieta Contreras Aguilar</x:v>
      </x:c>
      <x:c r="P240" s="45" t="str">
        <x:v>Ops y Directorio Alsea · octubre 2026</x:v>
      </x:c>
      <x:c r="Q240" s="45" t="str">
        <x:v>Puntos proporcionados</x:v>
      </x:c>
      <x:c r="R240" s="45" t="str">
        <x:v>Abierta</x:v>
      </x:c>
      <x:c r="S240" s="45" t="str"/>
      <x:c r="T240" s="45" t="n">
        <x:f>IF(AND(OR(E240="Abierta",E240="Próxima Apertura"),N240="Sí",ISNUMBER(I240),ISNUMBER(J240),ABS(I240)&lt;=90,ABS(J240)&lt;=180),1,0)</x:f>
        <x:v>1</x:v>
      </x:c>
    </x:row>
    <x:row r="241" ht="23" customHeight="1">
      <x:c r="A241" s="45" t="str">
        <x:v>Centro Poniente</x:v>
      </x:c>
      <x:c r="B241" s="45" t="str">
        <x:v>Erika Julieta Contreras Aguilar</x:v>
      </x:c>
      <x:c r="C241" s="50" t="str">
        <x:v>38747</x:v>
      </x:c>
      <x:c r="D241" s="45" t="str">
        <x:v>Centro Comercial Santa Fe 3</x:v>
      </x:c>
      <x:c r="E241" s="45" t="str">
        <x:v>Abierta</x:v>
      </x:c>
      <x:c r="F241" s="51" t="d">
        <x:v>2018-07-07T00:00:00.000Z</x:v>
      </x:c>
      <x:c r="G241" s="45" t="str">
        <x:v>Cuajimalpa</x:v>
      </x:c>
      <x:c r="H241" s="45" t="str">
        <x:v>Ciudad De México</x:v>
      </x:c>
      <x:c r="I241" s="52" t="n">
        <x:v>19.3616246</x:v>
      </x:c>
      <x:c r="J241" s="52" t="n">
        <x:v>-99.2728285</x:v>
      </x:c>
      <x:c r="K241" s="45" t="str">
        <x:v>Kiosko</x:v>
      </x:c>
      <x:c r="L241" s="45" t="str">
        <x:v>Retail</x:v>
      </x:c>
      <x:c r="M241" s="45" t="str">
        <x:v>C2</x:v>
      </x:c>
      <x:c r="N241" s="45" t="str">
        <x:v>Sí</x:v>
      </x:c>
      <x:c r="O241" s="45" t="str">
        <x:v>Erika Julieta Contreras Aguilar</x:v>
      </x:c>
      <x:c r="P241" s="45" t="str">
        <x:v>Ops y Directorio Alsea · octubre 2026</x:v>
      </x:c>
      <x:c r="Q241" s="45" t="str">
        <x:v>Puntos proporcionados</x:v>
      </x:c>
      <x:c r="R241" s="45" t="str">
        <x:v>Abierta</x:v>
      </x:c>
      <x:c r="S241" s="45" t="str"/>
      <x:c r="T241" s="45" t="n">
        <x:f>IF(AND(OR(E241="Abierta",E241="Próxima Apertura"),N241="Sí",ISNUMBER(I241),ISNUMBER(J241),ABS(I241)&lt;=90,ABS(J241)&lt;=180),1,0)</x:f>
        <x:v>1</x:v>
      </x:c>
    </x:row>
    <x:row r="242" ht="23" customHeight="1">
      <x:c r="A242" s="45" t="str">
        <x:v>Centro Poniente</x:v>
      </x:c>
      <x:c r="B242" s="45" t="str">
        <x:v>Erika Julieta Contreras Aguilar</x:v>
      </x:c>
      <x:c r="C242" s="50" t="str">
        <x:v>38749</x:v>
      </x:c>
      <x:c r="D242" s="45" t="str">
        <x:v>Patio Santa Fe 2</x:v>
      </x:c>
      <x:c r="E242" s="45" t="str">
        <x:v>Abierta</x:v>
      </x:c>
      <x:c r="F242" s="51" t="d">
        <x:v>2018-01-12T00:00:00.000Z</x:v>
      </x:c>
      <x:c r="G242" s="45" t="str">
        <x:v>Álvaro Obregón</x:v>
      </x:c>
      <x:c r="H242" s="45" t="str">
        <x:v>Ciudad De México</x:v>
      </x:c>
      <x:c r="I242" s="52" t="n">
        <x:v>19.3767806</x:v>
      </x:c>
      <x:c r="J242" s="52" t="n">
        <x:v>-99.254704</x:v>
      </x:c>
      <x:c r="K242" s="45" t="str">
        <x:v>Cafe</x:v>
      </x:c>
      <x:c r="L242" s="45" t="str">
        <x:v>Retail</x:v>
      </x:c>
      <x:c r="M242" s="45" t="str">
        <x:v>C2</x:v>
      </x:c>
      <x:c r="N242" s="45" t="str">
        <x:v>Sí</x:v>
      </x:c>
      <x:c r="O242" s="45" t="str">
        <x:v>Erika Julieta Contreras Aguilar</x:v>
      </x:c>
      <x:c r="P242" s="45" t="str">
        <x:v>Ops y Directorio Alsea · octubre 2026</x:v>
      </x:c>
      <x:c r="Q242" s="45" t="str">
        <x:v>Puntos proporcionados</x:v>
      </x:c>
      <x:c r="R242" s="45" t="str">
        <x:v>Abierta</x:v>
      </x:c>
      <x:c r="S242" s="45" t="str"/>
      <x:c r="T242" s="45" t="n">
        <x:f>IF(AND(OR(E242="Abierta",E242="Próxima Apertura"),N242="Sí",ISNUMBER(I242),ISNUMBER(J242),ABS(I242)&lt;=90,ABS(J242)&lt;=180),1,0)</x:f>
        <x:v>1</x:v>
      </x:c>
    </x:row>
    <x:row r="243" ht="23" customHeight="1">
      <x:c r="A243" s="45" t="str">
        <x:v>Centro Poniente</x:v>
      </x:c>
      <x:c r="B243" s="45" t="str">
        <x:v>José de Jesús Magos Arzaluz</x:v>
      </x:c>
      <x:c r="C243" s="50" t="str">
        <x:v>38158</x:v>
      </x:c>
      <x:c r="D243" s="45" t="str">
        <x:v>Plaza Lilas</x:v>
      </x:c>
      <x:c r="E243" s="45" t="str">
        <x:v>Abierta</x:v>
      </x:c>
      <x:c r="F243" s="51" t="d">
        <x:v>2005-08-20T00:00:00.000Z</x:v>
      </x:c>
      <x:c r="G243" s="45" t="str">
        <x:v>Miguel Hidalgo</x:v>
      </x:c>
      <x:c r="H243" s="45" t="str">
        <x:v>Ciudad De México</x:v>
      </x:c>
      <x:c r="I243" s="52" t="n">
        <x:v>19.3875872</x:v>
      </x:c>
      <x:c r="J243" s="52" t="n">
        <x:v>-99.2476858</x:v>
      </x:c>
      <x:c r="K243" s="45" t="str">
        <x:v>Cafe</x:v>
      </x:c>
      <x:c r="L243" s="45" t="str">
        <x:v>Retail</x:v>
      </x:c>
      <x:c r="M243" s="45" t="str">
        <x:v>C2</x:v>
      </x:c>
      <x:c r="N243" s="45" t="str">
        <x:v>Sí</x:v>
      </x:c>
      <x:c r="O243" s="45" t="str">
        <x:v>José de Jesús Magos Arzaluz</x:v>
      </x:c>
      <x:c r="P243" s="45" t="str">
        <x:v>Ops y Directorio Alsea · octubre 2026</x:v>
      </x:c>
      <x:c r="Q243" s="45" t="str">
        <x:v>Puntos proporcionados</x:v>
      </x:c>
      <x:c r="R243" s="45" t="str">
        <x:v>Abierta</x:v>
      </x:c>
      <x:c r="S243" s="45" t="str"/>
      <x:c r="T243" s="45" t="n">
        <x:f>IF(AND(OR(E243="Abierta",E243="Próxima Apertura"),N243="Sí",ISNUMBER(I243),ISNUMBER(J243),ABS(I243)&lt;=90,ABS(J243)&lt;=180),1,0)</x:f>
        <x:v>1</x:v>
      </x:c>
    </x:row>
    <x:row r="244" ht="23" customHeight="1">
      <x:c r="A244" s="45" t="str">
        <x:v>Centro Poniente</x:v>
      </x:c>
      <x:c r="B244" s="45" t="str">
        <x:v>José de Jesús Magos Arzaluz</x:v>
      </x:c>
      <x:c r="C244" s="50" t="str">
        <x:v>38166</x:v>
      </x:c>
      <x:c r="D244" s="45" t="str">
        <x:v>Superama SantaFe</x:v>
      </x:c>
      <x:c r="E244" s="45" t="str">
        <x:v>Abierta</x:v>
      </x:c>
      <x:c r="F244" s="51" t="d">
        <x:v>2005-11-07T00:00:00.000Z</x:v>
      </x:c>
      <x:c r="G244" s="45" t="str">
        <x:v>Cuajimalpa</x:v>
      </x:c>
      <x:c r="H244" s="45" t="str">
        <x:v>Ciudad De México</x:v>
      </x:c>
      <x:c r="I244" s="52" t="n">
        <x:v>19.355871</x:v>
      </x:c>
      <x:c r="J244" s="52" t="n">
        <x:v>-99.276318</x:v>
      </x:c>
      <x:c r="K244" s="45" t="str">
        <x:v>Cafe</x:v>
      </x:c>
      <x:c r="L244" s="45" t="str">
        <x:v>Retail</x:v>
      </x:c>
      <x:c r="M244" s="45" t="str">
        <x:v>C2</x:v>
      </x:c>
      <x:c r="N244" s="45" t="str">
        <x:v>Sí</x:v>
      </x:c>
      <x:c r="O244" s="45" t="str">
        <x:v>José de Jesús Magos Arzaluz</x:v>
      </x:c>
      <x:c r="P244" s="45" t="str">
        <x:v>Ops y Directorio Alsea · octubre 2026</x:v>
      </x:c>
      <x:c r="Q244" s="45" t="str">
        <x:v>Puntos proporcionados</x:v>
      </x:c>
      <x:c r="R244" s="45" t="str">
        <x:v>Abierta</x:v>
      </x:c>
      <x:c r="S244" s="45" t="str"/>
      <x:c r="T244" s="45" t="n">
        <x:f>IF(AND(OR(E244="Abierta",E244="Próxima Apertura"),N244="Sí",ISNUMBER(I244),ISNUMBER(J244),ABS(I244)&lt;=90,ABS(J244)&lt;=180),1,0)</x:f>
        <x:v>1</x:v>
      </x:c>
    </x:row>
    <x:row r="245" ht="23" customHeight="1">
      <x:c r="A245" s="45" t="str">
        <x:v>Centro Poniente</x:v>
      </x:c>
      <x:c r="B245" s="45" t="str">
        <x:v>José de Jesús Magos Arzaluz</x:v>
      </x:c>
      <x:c r="C245" s="50" t="str">
        <x:v>38390</x:v>
      </x:c>
      <x:c r="D245" s="45" t="str">
        <x:v>Samara I</x:v>
      </x:c>
      <x:c r="E245" s="45" t="str">
        <x:v>Abierta</x:v>
      </x:c>
      <x:c r="F245" s="51" t="d">
        <x:v>2010-10-04T00:00:00.000Z</x:v>
      </x:c>
      <x:c r="G245" s="45" t="str">
        <x:v>Álvaro Obregón</x:v>
      </x:c>
      <x:c r="H245" s="45" t="str">
        <x:v>Ciudad De México</x:v>
      </x:c>
      <x:c r="I245" s="52" t="n">
        <x:v>19.3680399</x:v>
      </x:c>
      <x:c r="J245" s="52" t="n">
        <x:v>-99.2585669</x:v>
      </x:c>
      <x:c r="K245" s="45" t="str">
        <x:v>Kiosko</x:v>
      </x:c>
      <x:c r="L245" s="45" t="str">
        <x:v>Office_Complex</x:v>
      </x:c>
      <x:c r="M245" s="45" t="str">
        <x:v>C1</x:v>
      </x:c>
      <x:c r="N245" s="45" t="str">
        <x:v>Sí</x:v>
      </x:c>
      <x:c r="O245" s="45" t="str">
        <x:v>José de Jesús Magos Arzaluz</x:v>
      </x:c>
      <x:c r="P245" s="45" t="str">
        <x:v>Ops y Directorio Alsea · octubre 2026</x:v>
      </x:c>
      <x:c r="Q245" s="45" t="str">
        <x:v>Puntos proporcionados</x:v>
      </x:c>
      <x:c r="R245" s="45" t="str">
        <x:v>Abierta</x:v>
      </x:c>
      <x:c r="S245" s="45" t="str"/>
      <x:c r="T245" s="45" t="n">
        <x:f>IF(AND(OR(E245="Abierta",E245="Próxima Apertura"),N245="Sí",ISNUMBER(I245),ISNUMBER(J245),ABS(I245)&lt;=90,ABS(J245)&lt;=180),1,0)</x:f>
        <x:v>1</x:v>
      </x:c>
    </x:row>
    <x:row r="246" ht="23" customHeight="1">
      <x:c r="A246" s="45" t="str">
        <x:v>Centro Poniente</x:v>
      </x:c>
      <x:c r="B246" s="45" t="str">
        <x:v>José de Jesús Magos Arzaluz</x:v>
      </x:c>
      <x:c r="C246" s="50" t="str">
        <x:v>38400</x:v>
      </x:c>
      <x:c r="D246" s="45" t="str">
        <x:v>Centro Medico ABC Santa Fe</x:v>
      </x:c>
      <x:c r="E246" s="45" t="str">
        <x:v>Abierta</x:v>
      </x:c>
      <x:c r="F246" s="51" t="d">
        <x:v>2010-12-16T00:00:00.000Z</x:v>
      </x:c>
      <x:c r="G246" s="45" t="str">
        <x:v>Cuajimalpa</x:v>
      </x:c>
      <x:c r="H246" s="45" t="str">
        <x:v>Ciudad De México</x:v>
      </x:c>
      <x:c r="I246" s="52" t="n">
        <x:v>19.356774</x:v>
      </x:c>
      <x:c r="J246" s="52" t="n">
        <x:v>-99.282443</x:v>
      </x:c>
      <x:c r="K246" s="45" t="str">
        <x:v>Cafe</x:v>
      </x:c>
      <x:c r="L246" s="45" t="str">
        <x:v>Institution</x:v>
      </x:c>
      <x:c r="M246" s="45" t="str">
        <x:v>C2</x:v>
      </x:c>
      <x:c r="N246" s="45" t="str">
        <x:v>Sí</x:v>
      </x:c>
      <x:c r="O246" s="45" t="str">
        <x:v>José de Jesús Magos Arzaluz</x:v>
      </x:c>
      <x:c r="P246" s="45" t="str">
        <x:v>Ops y Directorio Alsea · octubre 2026</x:v>
      </x:c>
      <x:c r="Q246" s="45" t="str">
        <x:v>Puntos proporcionados</x:v>
      </x:c>
      <x:c r="R246" s="45" t="str">
        <x:v>Abierta</x:v>
      </x:c>
      <x:c r="S246" s="45" t="str"/>
      <x:c r="T246" s="45" t="n">
        <x:f>IF(AND(OR(E246="Abierta",E246="Próxima Apertura"),N246="Sí",ISNUMBER(I246),ISNUMBER(J246),ABS(I246)&lt;=90,ABS(J246)&lt;=180),1,0)</x:f>
        <x:v>1</x:v>
      </x:c>
    </x:row>
    <x:row r="247" ht="23" customHeight="1">
      <x:c r="A247" s="45" t="str">
        <x:v>Centro Poniente</x:v>
      </x:c>
      <x:c r="B247" s="45" t="str">
        <x:v>José de Jesús Magos Arzaluz</x:v>
      </x:c>
      <x:c r="C247" s="50" t="str">
        <x:v>38445</x:v>
      </x:c>
      <x:c r="D247" s="45" t="str">
        <x:v>Samara II</x:v>
      </x:c>
      <x:c r="E247" s="45" t="str">
        <x:v>Abierta</x:v>
      </x:c>
      <x:c r="F247" s="51" t="d">
        <x:v>2012-02-20T00:00:00.000Z</x:v>
      </x:c>
      <x:c r="G247" s="45" t="str">
        <x:v>Álvaro Obregón</x:v>
      </x:c>
      <x:c r="H247" s="45" t="str">
        <x:v>Ciudad De México</x:v>
      </x:c>
      <x:c r="I247" s="52" t="n">
        <x:v>19.368072</x:v>
      </x:c>
      <x:c r="J247" s="52" t="n">
        <x:v>-99.259174</x:v>
      </x:c>
      <x:c r="K247" s="45" t="str">
        <x:v>Cafe</x:v>
      </x:c>
      <x:c r="L247" s="45" t="str">
        <x:v>Retail</x:v>
      </x:c>
      <x:c r="M247" s="45" t="str">
        <x:v>C1</x:v>
      </x:c>
      <x:c r="N247" s="45" t="str">
        <x:v>Sí</x:v>
      </x:c>
      <x:c r="O247" s="45" t="str">
        <x:v>José de Jesús Magos Arzaluz</x:v>
      </x:c>
      <x:c r="P247" s="45" t="str">
        <x:v>Ops y Directorio Alsea · octubre 2026</x:v>
      </x:c>
      <x:c r="Q247" s="45" t="str">
        <x:v>Puntos proporcionados</x:v>
      </x:c>
      <x:c r="R247" s="45" t="str">
        <x:v>Abierta</x:v>
      </x:c>
      <x:c r="S247" s="45" t="str"/>
      <x:c r="T247" s="45" t="n">
        <x:f>IF(AND(OR(E247="Abierta",E247="Próxima Apertura"),N247="Sí",ISNUMBER(I247),ISNUMBER(J247),ABS(I247)&lt;=90,ABS(J247)&lt;=180),1,0)</x:f>
        <x:v>1</x:v>
      </x:c>
    </x:row>
    <x:row r="248" ht="23" customHeight="1">
      <x:c r="A248" s="45" t="str">
        <x:v>Centro Poniente</x:v>
      </x:c>
      <x:c r="B248" s="45" t="str">
        <x:v>José de Jesús Magos Arzaluz</x:v>
      </x:c>
      <x:c r="C248" s="50" t="str">
        <x:v>38512</x:v>
      </x:c>
      <x:c r="D248" s="45" t="str">
        <x:v>Garden Santa Fe</x:v>
      </x:c>
      <x:c r="E248" s="45" t="str">
        <x:v>Abierta</x:v>
      </x:c>
      <x:c r="F248" s="51" t="d">
        <x:v>2014-03-18T00:00:00.000Z</x:v>
      </x:c>
      <x:c r="G248" s="45" t="str">
        <x:v>Álvaro Obregón</x:v>
      </x:c>
      <x:c r="H248" s="45" t="str">
        <x:v>Ciudad De México</x:v>
      </x:c>
      <x:c r="I248" s="52" t="n">
        <x:v>19.3655118</x:v>
      </x:c>
      <x:c r="J248" s="52" t="n">
        <x:v>-99.2642959</x:v>
      </x:c>
      <x:c r="K248" s="45" t="str">
        <x:v>Cafe</x:v>
      </x:c>
      <x:c r="L248" s="45" t="str">
        <x:v>Retail</x:v>
      </x:c>
      <x:c r="M248" s="45" t="str">
        <x:v>C2</x:v>
      </x:c>
      <x:c r="N248" s="45" t="str">
        <x:v>Sí</x:v>
      </x:c>
      <x:c r="O248" s="45" t="str">
        <x:v>José de Jesús Magos Arzaluz</x:v>
      </x:c>
      <x:c r="P248" s="45" t="str">
        <x:v>Ops y Directorio Alsea · octubre 2026</x:v>
      </x:c>
      <x:c r="Q248" s="45" t="str">
        <x:v>Puntos proporcionados</x:v>
      </x:c>
      <x:c r="R248" s="45" t="str">
        <x:v>Abierta</x:v>
      </x:c>
      <x:c r="S248" s="45" t="str"/>
      <x:c r="T248" s="45" t="n">
        <x:f>IF(AND(OR(E248="Abierta",E248="Próxima Apertura"),N248="Sí",ISNUMBER(I248),ISNUMBER(J248),ABS(I248)&lt;=90,ABS(J248)&lt;=180),1,0)</x:f>
        <x:v>1</x:v>
      </x:c>
    </x:row>
    <x:row r="249" ht="23" customHeight="1">
      <x:c r="A249" s="45" t="str">
        <x:v>Centro Poniente</x:v>
      </x:c>
      <x:c r="B249" s="45" t="str">
        <x:v>José de Jesús Magos Arzaluz</x:v>
      </x:c>
      <x:c r="C249" s="50" t="str">
        <x:v>38532</x:v>
      </x:c>
      <x:c r="D249" s="45" t="str">
        <x:v>One o One</x:v>
      </x:c>
      <x:c r="E249" s="45" t="str">
        <x:v>Abierta</x:v>
      </x:c>
      <x:c r="F249" s="51" t="d">
        <x:v>2014-04-22T00:00:00.000Z</x:v>
      </x:c>
      <x:c r="G249" s="45" t="str">
        <x:v>Cuajimalpa</x:v>
      </x:c>
      <x:c r="H249" s="45" t="str">
        <x:v>Ciudad De México</x:v>
      </x:c>
      <x:c r="I249" s="52" t="n">
        <x:v>19.3592405</x:v>
      </x:c>
      <x:c r="J249" s="52" t="n">
        <x:v>-99.2790333</x:v>
      </x:c>
      <x:c r="K249" s="45" t="str">
        <x:v>Cafe</x:v>
      </x:c>
      <x:c r="L249" s="45" t="str">
        <x:v>Office_Complex</x:v>
      </x:c>
      <x:c r="M249" s="45" t="str">
        <x:v>C2</x:v>
      </x:c>
      <x:c r="N249" s="45" t="str">
        <x:v>Sí</x:v>
      </x:c>
      <x:c r="O249" s="45" t="str">
        <x:v>José de Jesús Magos Arzaluz</x:v>
      </x:c>
      <x:c r="P249" s="45" t="str">
        <x:v>Ops y Directorio Alsea · octubre 2026</x:v>
      </x:c>
      <x:c r="Q249" s="45" t="str">
        <x:v>Puntos proporcionados</x:v>
      </x:c>
      <x:c r="R249" s="45" t="str">
        <x:v>Abierta</x:v>
      </x:c>
      <x:c r="S249" s="45" t="str"/>
      <x:c r="T249" s="45" t="n">
        <x:f>IF(AND(OR(E249="Abierta",E249="Próxima Apertura"),N249="Sí",ISNUMBER(I249),ISNUMBER(J249),ABS(I249)&lt;=90,ABS(J249)&lt;=180),1,0)</x:f>
        <x:v>1</x:v>
      </x:c>
    </x:row>
    <x:row r="250" ht="23" customHeight="1">
      <x:c r="A250" s="45" t="str">
        <x:v>Centro Poniente</x:v>
      </x:c>
      <x:c r="B250" s="45" t="str">
        <x:v>José de Jesús Magos Arzaluz</x:v>
      </x:c>
      <x:c r="C250" s="50" t="str">
        <x:v>38751</x:v>
      </x:c>
      <x:c r="D250" s="45" t="str">
        <x:v>Torre Zentrrum II</x:v>
      </x:c>
      <x:c r="E250" s="45" t="str">
        <x:v>Abierta</x:v>
      </x:c>
      <x:c r="F250" s="51" t="d">
        <x:v>2018-01-11T00:00:00.000Z</x:v>
      </x:c>
      <x:c r="G250" s="45" t="str">
        <x:v>Cuajimalpa</x:v>
      </x:c>
      <x:c r="H250" s="45" t="str">
        <x:v>Ciudad De México</x:v>
      </x:c>
      <x:c r="I250" s="52" t="n">
        <x:v>19.3581597</x:v>
      </x:c>
      <x:c r="J250" s="52" t="n">
        <x:v>-99.2742072</x:v>
      </x:c>
      <x:c r="K250" s="45" t="str">
        <x:v>Cafe</x:v>
      </x:c>
      <x:c r="L250" s="45" t="str">
        <x:v>Office_Complex</x:v>
      </x:c>
      <x:c r="M250" s="45" t="str">
        <x:v>C1</x:v>
      </x:c>
      <x:c r="N250" s="45" t="str">
        <x:v>Sí</x:v>
      </x:c>
      <x:c r="O250" s="45" t="str">
        <x:v>José de Jesús Magos Arzaluz</x:v>
      </x:c>
      <x:c r="P250" s="45" t="str">
        <x:v>Ops y Directorio Alsea · octubre 2026</x:v>
      </x:c>
      <x:c r="Q250" s="45" t="str">
        <x:v>Puntos proporcionados</x:v>
      </x:c>
      <x:c r="R250" s="45" t="str">
        <x:v>Abierta</x:v>
      </x:c>
      <x:c r="S250" s="45" t="str"/>
      <x:c r="T250" s="45" t="n">
        <x:f>IF(AND(OR(E250="Abierta",E250="Próxima Apertura"),N250="Sí",ISNUMBER(I250),ISNUMBER(J250),ABS(I250)&lt;=90,ABS(J250)&lt;=180),1,0)</x:f>
        <x:v>1</x:v>
      </x:c>
    </x:row>
    <x:row r="251" ht="23" customHeight="1">
      <x:c r="A251" s="45" t="str">
        <x:v>Centro Poniente</x:v>
      </x:c>
      <x:c r="B251" s="45" t="str">
        <x:v>José de Jesús Magos Arzaluz</x:v>
      </x:c>
      <x:c r="C251" s="50" t="str">
        <x:v>38755</x:v>
      </x:c>
      <x:c r="D251" s="45" t="str">
        <x:v>Corporativo Santander</x:v>
      </x:c>
      <x:c r="E251" s="45" t="str">
        <x:v>Abierta</x:v>
      </x:c>
      <x:c r="F251" s="51" t="d">
        <x:v>2017-09-11T00:00:00.000Z</x:v>
      </x:c>
      <x:c r="G251" s="45" t="str">
        <x:v>Álvaro Obregón</x:v>
      </x:c>
      <x:c r="H251" s="45" t="str">
        <x:v>Ciudad De México</x:v>
      </x:c>
      <x:c r="I251" s="52" t="n">
        <x:v>19.3763885</x:v>
      </x:c>
      <x:c r="J251" s="52" t="n">
        <x:v>-99.2567267</x:v>
      </x:c>
      <x:c r="K251" s="45" t="str">
        <x:v>Cafe</x:v>
      </x:c>
      <x:c r="L251" s="45" t="str">
        <x:v>Office_Complex</x:v>
      </x:c>
      <x:c r="M251" s="45" t="str">
        <x:v>C2</x:v>
      </x:c>
      <x:c r="N251" s="45" t="str">
        <x:v>Sí</x:v>
      </x:c>
      <x:c r="O251" s="45" t="str">
        <x:v>José de Jesús Magos Arzaluz</x:v>
      </x:c>
      <x:c r="P251" s="45" t="str">
        <x:v>Ops y Directorio Alsea · octubre 2026</x:v>
      </x:c>
      <x:c r="Q251" s="45" t="str">
        <x:v>Puntos proporcionados</x:v>
      </x:c>
      <x:c r="R251" s="45" t="str">
        <x:v>Abierta</x:v>
      </x:c>
      <x:c r="S251" s="45" t="str"/>
      <x:c r="T251" s="45" t="n">
        <x:f>IF(AND(OR(E251="Abierta",E251="Próxima Apertura"),N251="Sí",ISNUMBER(I251),ISNUMBER(J251),ABS(I251)&lt;=90,ABS(J251)&lt;=180),1,0)</x:f>
        <x:v>1</x:v>
      </x:c>
    </x:row>
    <x:row r="252" ht="23" customHeight="1">
      <x:c r="A252" s="45" t="str">
        <x:v>Centro Poniente</x:v>
      </x:c>
      <x:c r="B252" s="45" t="str">
        <x:v>José de Jesús Magos Arzaluz</x:v>
      </x:c>
      <x:c r="C252" s="50" t="str">
        <x:v>38777</x:v>
      </x:c>
      <x:c r="D252" s="45" t="str">
        <x:v>Parque la Mexicana</x:v>
      </x:c>
      <x:c r="E252" s="45" t="str">
        <x:v>Abierta</x:v>
      </x:c>
      <x:c r="F252" s="51" t="d">
        <x:v>2017-12-09T00:00:00.000Z</x:v>
      </x:c>
      <x:c r="G252" s="45" t="str">
        <x:v>Cuajimalpa</x:v>
      </x:c>
      <x:c r="H252" s="45" t="str">
        <x:v>Ciudad De México</x:v>
      </x:c>
      <x:c r="I252" s="52" t="n">
        <x:v>19.358135</x:v>
      </x:c>
      <x:c r="J252" s="52" t="n">
        <x:v>-99.268652</x:v>
      </x:c>
      <x:c r="K252" s="45" t="str">
        <x:v>Cafe</x:v>
      </x:c>
      <x:c r="L252" s="45" t="str">
        <x:v>Tourism_and_Entertainment</x:v>
      </x:c>
      <x:c r="M252" s="45" t="str">
        <x:v>C2</x:v>
      </x:c>
      <x:c r="N252" s="45" t="str">
        <x:v>Sí</x:v>
      </x:c>
      <x:c r="O252" s="45" t="str">
        <x:v>José de Jesús Magos Arzaluz</x:v>
      </x:c>
      <x:c r="P252" s="45" t="str">
        <x:v>Ops y Directorio Alsea · octubre 2026</x:v>
      </x:c>
      <x:c r="Q252" s="45" t="str">
        <x:v>Puntos proporcionados</x:v>
      </x:c>
      <x:c r="R252" s="45" t="str">
        <x:v>Abierta</x:v>
      </x:c>
      <x:c r="S252" s="45" t="str"/>
      <x:c r="T252" s="45" t="n">
        <x:f>IF(AND(OR(E252="Abierta",E252="Próxima Apertura"),N252="Sí",ISNUMBER(I252),ISNUMBER(J252),ABS(I252)&lt;=90,ABS(J252)&lt;=180),1,0)</x:f>
        <x:v>1</x:v>
      </x:c>
    </x:row>
    <x:row r="253" ht="23" customHeight="1">
      <x:c r="A253" s="45" t="str">
        <x:v>Centro Poniente</x:v>
      </x:c>
      <x:c r="B253" s="45" t="str">
        <x:v>José de Jesús Magos Arzaluz</x:v>
      </x:c>
      <x:c r="C253" s="50" t="str">
        <x:v>38780</x:v>
      </x:c>
      <x:c r="D253" s="45" t="str">
        <x:v>Tec Santa Fe</x:v>
      </x:c>
      <x:c r="E253" s="45" t="str">
        <x:v>Abierta</x:v>
      </x:c>
      <x:c r="F253" s="51" t="d">
        <x:v>2018-01-30T00:00:00.000Z</x:v>
      </x:c>
      <x:c r="G253" s="45" t="str">
        <x:v>Cuajimalpa</x:v>
      </x:c>
      <x:c r="H253" s="45" t="str">
        <x:v>Ciudad De México</x:v>
      </x:c>
      <x:c r="I253" s="52" t="n">
        <x:v>19.3595389</x:v>
      </x:c>
      <x:c r="J253" s="52" t="n">
        <x:v>-99.2582655</x:v>
      </x:c>
      <x:c r="K253" s="45" t="str">
        <x:v>Cafe</x:v>
      </x:c>
      <x:c r="L253" s="45" t="str">
        <x:v>Institution</x:v>
      </x:c>
      <x:c r="M253" s="45" t="str">
        <x:v>C1</x:v>
      </x:c>
      <x:c r="N253" s="45" t="str">
        <x:v>Sí</x:v>
      </x:c>
      <x:c r="O253" s="45" t="str">
        <x:v>José de Jesús Magos Arzaluz</x:v>
      </x:c>
      <x:c r="P253" s="45" t="str">
        <x:v>Ops y Directorio Alsea · octubre 2026</x:v>
      </x:c>
      <x:c r="Q253" s="45" t="str">
        <x:v>Puntos proporcionados</x:v>
      </x:c>
      <x:c r="R253" s="45" t="str">
        <x:v>Abierta</x:v>
      </x:c>
      <x:c r="S253" s="45" t="str"/>
      <x:c r="T253" s="45" t="n">
        <x:f>IF(AND(OR(E253="Abierta",E253="Próxima Apertura"),N253="Sí",ISNUMBER(I253),ISNUMBER(J253),ABS(I253)&lt;=90,ABS(J253)&lt;=180),1,0)</x:f>
        <x:v>1</x:v>
      </x:c>
    </x:row>
    <x:row r="254" ht="23" customHeight="1">
      <x:c r="A254" s="45" t="str">
        <x:v>Centro Poniente</x:v>
      </x:c>
      <x:c r="B254" s="45" t="str">
        <x:v>José de Jesús Magos Arzaluz</x:v>
      </x:c>
      <x:c r="C254" s="50" t="str">
        <x:v>38798</x:v>
      </x:c>
      <x:c r="D254" s="45" t="str">
        <x:v>Corp. Televisa Sta Fe</x:v>
      </x:c>
      <x:c r="E254" s="45" t="str">
        <x:v>Abierta</x:v>
      </x:c>
      <x:c r="F254" s="51" t="d">
        <x:v>2018-04-06T00:00:00.000Z</x:v>
      </x:c>
      <x:c r="G254" s="45" t="str">
        <x:v>Álvaro Obregón</x:v>
      </x:c>
      <x:c r="H254" s="45" t="str">
        <x:v>Ciudad De México</x:v>
      </x:c>
      <x:c r="I254" s="52" t="n">
        <x:v>19.3758325</x:v>
      </x:c>
      <x:c r="J254" s="52" t="n">
        <x:v>-99.2519314</x:v>
      </x:c>
      <x:c r="K254" s="45" t="str">
        <x:v>Kiosko</x:v>
      </x:c>
      <x:c r="L254" s="45" t="str">
        <x:v>Office_Complex</x:v>
      </x:c>
      <x:c r="M254" s="45" t="str">
        <x:v>C2</x:v>
      </x:c>
      <x:c r="N254" s="45" t="str">
        <x:v>Sí</x:v>
      </x:c>
      <x:c r="O254" s="45" t="str">
        <x:v>José de Jesús Magos Arzaluz</x:v>
      </x:c>
      <x:c r="P254" s="45" t="str">
        <x:v>Ops y Directorio Alsea · octubre 2026</x:v>
      </x:c>
      <x:c r="Q254" s="45" t="str">
        <x:v>Puntos proporcionados</x:v>
      </x:c>
      <x:c r="R254" s="45" t="str">
        <x:v>Abierta</x:v>
      </x:c>
      <x:c r="S254" s="45" t="str"/>
      <x:c r="T254" s="45" t="n">
        <x:f>IF(AND(OR(E254="Abierta",E254="Próxima Apertura"),N254="Sí",ISNUMBER(I254),ISNUMBER(J254),ABS(I254)&lt;=90,ABS(J254)&lt;=180),1,0)</x:f>
        <x:v>1</x:v>
      </x:c>
    </x:row>
    <x:row r="255" ht="23" customHeight="1">
      <x:c r="A255" s="45" t="str">
        <x:v>Centro Poniente</x:v>
      </x:c>
      <x:c r="B255" s="45" t="str">
        <x:v>José de Jesús Magos Arzaluz</x:v>
      </x:c>
      <x:c r="C255" s="50" t="str">
        <x:v>38810</x:v>
      </x:c>
      <x:c r="D255" s="45" t="str">
        <x:v>Plaza Centenario ( Tenaria)</x:v>
      </x:c>
      <x:c r="E255" s="45" t="str">
        <x:v>Abierta</x:v>
      </x:c>
      <x:c r="F255" s="51" t="d">
        <x:v>2018-07-14T00:00:00.000Z</x:v>
      </x:c>
      <x:c r="G255" s="45" t="str">
        <x:v>Álvaro Obregón</x:v>
      </x:c>
      <x:c r="H255" s="45" t="str">
        <x:v>Ciudad De México</x:v>
      </x:c>
      <x:c r="I255" s="52" t="n">
        <x:v>19.362209</x:v>
      </x:c>
      <x:c r="J255" s="52" t="n">
        <x:v>-99.2238435</x:v>
      </x:c>
      <x:c r="K255" s="45" t="str">
        <x:v>Drive_Thru</x:v>
      </x:c>
      <x:c r="L255" s="45" t="str">
        <x:v>Retail</x:v>
      </x:c>
      <x:c r="M255" s="45" t="str">
        <x:v>C2</x:v>
      </x:c>
      <x:c r="N255" s="45" t="str">
        <x:v>Sí</x:v>
      </x:c>
      <x:c r="O255" s="45" t="str">
        <x:v>José de Jesús Magos Arzaluz</x:v>
      </x:c>
      <x:c r="P255" s="45" t="str">
        <x:v>Ops y Directorio Alsea · octubre 2026</x:v>
      </x:c>
      <x:c r="Q255" s="45" t="str">
        <x:v>Puntos proporcionados</x:v>
      </x:c>
      <x:c r="R255" s="45" t="str">
        <x:v>Abierta</x:v>
      </x:c>
      <x:c r="S255" s="45" t="str"/>
      <x:c r="T255" s="45" t="n">
        <x:f>IF(AND(OR(E255="Abierta",E255="Próxima Apertura"),N255="Sí",ISNUMBER(I255),ISNUMBER(J255),ABS(I255)&lt;=90,ABS(J255)&lt;=180),1,0)</x:f>
        <x:v>1</x:v>
      </x:c>
    </x:row>
    <x:row r="256" ht="23" customHeight="1">
      <x:c r="A256" s="45" t="str">
        <x:v>Centro Poniente</x:v>
      </x:c>
      <x:c r="B256" s="45" t="str">
        <x:v>José de Jesús Magos Arzaluz</x:v>
      </x:c>
      <x:c r="C256" s="50" t="str">
        <x:v>38929</x:v>
      </x:c>
      <x:c r="D256" s="45" t="str">
        <x:v>Aeropuerto Toluca AMB</x:v>
      </x:c>
      <x:c r="E256" s="45" t="str">
        <x:v>Abierta</x:v>
      </x:c>
      <x:c r="F256" s="51" t="d">
        <x:v>2022-09-30T00:00:00.000Z</x:v>
      </x:c>
      <x:c r="G256" s="45" t="str">
        <x:v>San Pedro Totoltepec</x:v>
      </x:c>
      <x:c r="H256" s="45" t="str">
        <x:v>Estado De México</x:v>
      </x:c>
      <x:c r="I256" s="52" t="n">
        <x:v>19.3386853</x:v>
      </x:c>
      <x:c r="J256" s="52" t="n">
        <x:v>-99.5713552</x:v>
      </x:c>
      <x:c r="K256" s="45" t="str">
        <x:v>Kiosko</x:v>
      </x:c>
      <x:c r="L256" s="45" t="str">
        <x:v>Travel_and_Channel</x:v>
      </x:c>
      <x:c r="M256" s="45" t="str">
        <x:v>C4</x:v>
      </x:c>
      <x:c r="N256" s="45" t="str">
        <x:v>Sí</x:v>
      </x:c>
      <x:c r="O256" s="45" t="str">
        <x:v>José de Jesús Magos Arzaluz</x:v>
      </x:c>
      <x:c r="P256" s="45" t="str">
        <x:v>Ops y Directorio Alsea · octubre 2026</x:v>
      </x:c>
      <x:c r="Q256" s="45" t="str">
        <x:v>Puntos proporcionados</x:v>
      </x:c>
      <x:c r="R256" s="45" t="str">
        <x:v>Abierta</x:v>
      </x:c>
      <x:c r="S256" s="45" t="str"/>
      <x:c r="T256" s="45" t="n">
        <x:f>IF(AND(OR(E256="Abierta",E256="Próxima Apertura"),N256="Sí",ISNUMBER(I256),ISNUMBER(J256),ABS(I256)&lt;=90,ABS(J256)&lt;=180),1,0)</x:f>
        <x:v>1</x:v>
      </x:c>
    </x:row>
    <x:row r="257" ht="23" customHeight="1">
      <x:c r="A257" s="45" t="str">
        <x:v>Centro Poniente</x:v>
      </x:c>
      <x:c r="B257" s="45" t="str">
        <x:v>José de Jesús Magos Arzaluz</x:v>
      </x:c>
      <x:c r="C257" s="50" t="str">
        <x:v>43162</x:v>
      </x:c>
      <x:c r="D257" s="45" t="str">
        <x:v>Apto Toluca SUE</x:v>
      </x:c>
      <x:c r="E257" s="45" t="str">
        <x:v>Abierta</x:v>
      </x:c>
      <x:c r="F257" s="51" t="d">
        <x:v>2025-09-28T00:00:00.000Z</x:v>
      </x:c>
      <x:c r="G257" s="45" t="str">
        <x:v>San Pedro Totoltepec</x:v>
      </x:c>
      <x:c r="H257" s="45" t="str">
        <x:v>Estado De México</x:v>
      </x:c>
      <x:c r="I257" s="52" t="n">
        <x:v>19.3388364</x:v>
      </x:c>
      <x:c r="J257" s="52" t="n">
        <x:v>-99.5704401</x:v>
      </x:c>
      <x:c r="K257" s="45" t="str">
        <x:v>Cafe</x:v>
      </x:c>
      <x:c r="L257" s="45" t="str">
        <x:v>Travel_and_Channel</x:v>
      </x:c>
      <x:c r="M257" s="45" t="str">
        <x:v>C4</x:v>
      </x:c>
      <x:c r="N257" s="45" t="str">
        <x:v>Sí</x:v>
      </x:c>
      <x:c r="O257" s="45" t="str">
        <x:v>José de Jesús Magos Arzaluz</x:v>
      </x:c>
      <x:c r="P257" s="45" t="str">
        <x:v>Ops y Directorio Alsea · octubre 2026</x:v>
      </x:c>
      <x:c r="Q257" s="45" t="str">
        <x:v>Puntos proporcionados</x:v>
      </x:c>
      <x:c r="R257" s="45" t="str">
        <x:v>Abierta</x:v>
      </x:c>
      <x:c r="S257" s="45" t="str"/>
      <x:c r="T257" s="45" t="n">
        <x:f>IF(AND(OR(E257="Abierta",E257="Próxima Apertura"),N257="Sí",ISNUMBER(I257),ISNUMBER(J257),ABS(I257)&lt;=90,ABS(J257)&lt;=180),1,0)</x:f>
        <x:v>1</x:v>
      </x:c>
    </x:row>
    <x:row r="258" ht="23" customHeight="1">
      <x:c r="A258" s="45" t="str">
        <x:v>Centro Poniente</x:v>
      </x:c>
      <x:c r="B258" s="45" t="str">
        <x:v>Juan Jesus Zuñiga Flores</x:v>
      </x:c>
      <x:c r="C258" s="50" t="str">
        <x:v>38193</x:v>
      </x:c>
      <x:c r="D258" s="45" t="str">
        <x:v>Metropoli Patriotismo</x:v>
      </x:c>
      <x:c r="E258" s="45" t="str">
        <x:v>Abierta</x:v>
      </x:c>
      <x:c r="F258" s="51" t="d">
        <x:v>2006-06-30T00:00:00.000Z</x:v>
      </x:c>
      <x:c r="G258" s="45" t="str">
        <x:v>Benito Juárez</x:v>
      </x:c>
      <x:c r="H258" s="45" t="str">
        <x:v>Ciudad De México</x:v>
      </x:c>
      <x:c r="I258" s="52" t="n">
        <x:v>19.3960203</x:v>
      </x:c>
      <x:c r="J258" s="52" t="n">
        <x:v>-99.180721</x:v>
      </x:c>
      <x:c r="K258" s="45" t="str">
        <x:v>Kiosko</x:v>
      </x:c>
      <x:c r="L258" s="45" t="str">
        <x:v>Retail</x:v>
      </x:c>
      <x:c r="M258" s="45" t="str">
        <x:v>C1</x:v>
      </x:c>
      <x:c r="N258" s="45" t="str">
        <x:v>Sí</x:v>
      </x:c>
      <x:c r="O258" s="45" t="str">
        <x:v>Juan Jesus Zuñiga Flores</x:v>
      </x:c>
      <x:c r="P258" s="45" t="str">
        <x:v>Ops y Directorio Alsea · octubre 2026</x:v>
      </x:c>
      <x:c r="Q258" s="45" t="str">
        <x:v>Puntos proporcionados</x:v>
      </x:c>
      <x:c r="R258" s="45" t="str">
        <x:v>Abierta</x:v>
      </x:c>
      <x:c r="S258" s="45" t="str"/>
      <x:c r="T258" s="45" t="n">
        <x:f>IF(AND(OR(E258="Abierta",E258="Próxima Apertura"),N258="Sí",ISNUMBER(I258),ISNUMBER(J258),ABS(I258)&lt;=90,ABS(J258)&lt;=180),1,0)</x:f>
        <x:v>1</x:v>
      </x:c>
    </x:row>
    <x:row r="259" ht="23" customHeight="1">
      <x:c r="A259" s="45" t="str">
        <x:v>Centro Poniente</x:v>
      </x:c>
      <x:c r="B259" s="45" t="str">
        <x:v>Juan Jesus Zuñiga Flores</x:v>
      </x:c>
      <x:c r="C259" s="50" t="str">
        <x:v>38372</x:v>
      </x:c>
      <x:c r="D259" s="45" t="str">
        <x:v>Felix Cuevas</x:v>
      </x:c>
      <x:c r="E259" s="45" t="str">
        <x:v>Abierta</x:v>
      </x:c>
      <x:c r="F259" s="51" t="d">
        <x:v>2009-12-23T00:00:00.000Z</x:v>
      </x:c>
      <x:c r="G259" s="45" t="str">
        <x:v>Benito Juárez</x:v>
      </x:c>
      <x:c r="H259" s="45" t="str">
        <x:v>Ciudad De México</x:v>
      </x:c>
      <x:c r="I259" s="52" t="n">
        <x:v>19.3740452</x:v>
      </x:c>
      <x:c r="J259" s="52" t="n">
        <x:v>-99.1786888</x:v>
      </x:c>
      <x:c r="K259" s="45" t="str">
        <x:v>Kiosko</x:v>
      </x:c>
      <x:c r="L259" s="45" t="str">
        <x:v>Office_Complex</x:v>
      </x:c>
      <x:c r="M259" s="45" t="str">
        <x:v>C1</x:v>
      </x:c>
      <x:c r="N259" s="45" t="str">
        <x:v>Sí</x:v>
      </x:c>
      <x:c r="O259" s="45" t="str">
        <x:v>Juan Jesus Zuñiga Flores</x:v>
      </x:c>
      <x:c r="P259" s="45" t="str">
        <x:v>Ops y Directorio Alsea · octubre 2026</x:v>
      </x:c>
      <x:c r="Q259" s="45" t="str">
        <x:v>Puntos proporcionados</x:v>
      </x:c>
      <x:c r="R259" s="45" t="str">
        <x:v>Abierta</x:v>
      </x:c>
      <x:c r="S259" s="45" t="str"/>
      <x:c r="T259" s="45" t="n">
        <x:f>IF(AND(OR(E259="Abierta",E259="Próxima Apertura"),N259="Sí",ISNUMBER(I259),ISNUMBER(J259),ABS(I259)&lt;=90,ABS(J259)&lt;=180),1,0)</x:f>
        <x:v>1</x:v>
      </x:c>
    </x:row>
    <x:row r="260" ht="23" customHeight="1">
      <x:c r="A260" s="45" t="str">
        <x:v>Centro Poniente</x:v>
      </x:c>
      <x:c r="B260" s="45" t="str">
        <x:v>Juan Jesus Zuñiga Flores</x:v>
      </x:c>
      <x:c r="C260" s="50" t="str">
        <x:v>38416</x:v>
      </x:c>
      <x:c r="D260" s="45" t="str">
        <x:v>Mixcoac</x:v>
      </x:c>
      <x:c r="E260" s="45" t="str">
        <x:v>Abierta</x:v>
      </x:c>
      <x:c r="F260" s="51" t="d">
        <x:v>2011-05-06T00:00:00.000Z</x:v>
      </x:c>
      <x:c r="G260" s="45" t="str">
        <x:v>Benito Juárez</x:v>
      </x:c>
      <x:c r="H260" s="45" t="str">
        <x:v>Ciudad De México</x:v>
      </x:c>
      <x:c r="I260" s="52" t="n">
        <x:v>19.3805324</x:v>
      </x:c>
      <x:c r="J260" s="52" t="n">
        <x:v>-99.1858754</x:v>
      </x:c>
      <x:c r="K260" s="45" t="str">
        <x:v>Cafe</x:v>
      </x:c>
      <x:c r="L260" s="45" t="str">
        <x:v>Retail</x:v>
      </x:c>
      <x:c r="M260" s="45" t="str">
        <x:v>C1</x:v>
      </x:c>
      <x:c r="N260" s="45" t="str">
        <x:v>Sí</x:v>
      </x:c>
      <x:c r="O260" s="45" t="str">
        <x:v>Juan Jesus Zuñiga Flores</x:v>
      </x:c>
      <x:c r="P260" s="45" t="str">
        <x:v>Ops y Directorio Alsea · octubre 2026</x:v>
      </x:c>
      <x:c r="Q260" s="45" t="str">
        <x:v>Puntos proporcionados</x:v>
      </x:c>
      <x:c r="R260" s="45" t="str">
        <x:v>Abierta</x:v>
      </x:c>
      <x:c r="S260" s="45" t="str"/>
      <x:c r="T260" s="45" t="n">
        <x:f>IF(AND(OR(E260="Abierta",E260="Próxima Apertura"),N260="Sí",ISNUMBER(I260),ISNUMBER(J260),ABS(I260)&lt;=90,ABS(J260)&lt;=180),1,0)</x:f>
        <x:v>1</x:v>
      </x:c>
    </x:row>
    <x:row r="261" ht="23" customHeight="1">
      <x:c r="A261" s="45" t="str">
        <x:v>Centro Poniente</x:v>
      </x:c>
      <x:c r="B261" s="45" t="str">
        <x:v>Juan Jesus Zuñiga Flores</x:v>
      </x:c>
      <x:c r="C261" s="50" t="str">
        <x:v>38499</x:v>
      </x:c>
      <x:c r="D261" s="45" t="str">
        <x:v>Pennsylvania</x:v>
      </x:c>
      <x:c r="E261" s="45" t="str">
        <x:v>Abierta</x:v>
      </x:c>
      <x:c r="F261" s="51" t="d">
        <x:v>2013-08-17T00:00:00.000Z</x:v>
      </x:c>
      <x:c r="G261" s="45" t="str">
        <x:v>Benito Juárez</x:v>
      </x:c>
      <x:c r="H261" s="45" t="str">
        <x:v>Ciudad De México</x:v>
      </x:c>
      <x:c r="I261" s="52" t="n">
        <x:v>19.3899719</x:v>
      </x:c>
      <x:c r="J261" s="52" t="n">
        <x:v>-99.1785221</x:v>
      </x:c>
      <x:c r="K261" s="45" t="str">
        <x:v>Cafe</x:v>
      </x:c>
      <x:c r="L261" s="45" t="str">
        <x:v>Neighborhood</x:v>
      </x:c>
      <x:c r="M261" s="45" t="str">
        <x:v>C1</x:v>
      </x:c>
      <x:c r="N261" s="45" t="str">
        <x:v>Sí</x:v>
      </x:c>
      <x:c r="O261" s="45" t="str">
        <x:v>Juan Jesus Zuñiga Flores</x:v>
      </x:c>
      <x:c r="P261" s="45" t="str">
        <x:v>Ops y Directorio Alsea · octubre 2026</x:v>
      </x:c>
      <x:c r="Q261" s="45" t="str">
        <x:v>Puntos proporcionados</x:v>
      </x:c>
      <x:c r="R261" s="45" t="str">
        <x:v>Abierta</x:v>
      </x:c>
      <x:c r="S261" s="45" t="str"/>
      <x:c r="T261" s="45" t="n">
        <x:f>IF(AND(OR(E261="Abierta",E261="Próxima Apertura"),N261="Sí",ISNUMBER(I261),ISNUMBER(J261),ABS(I261)&lt;=90,ABS(J261)&lt;=180),1,0)</x:f>
        <x:v>1</x:v>
      </x:c>
    </x:row>
    <x:row r="262" ht="23" customHeight="1">
      <x:c r="A262" s="45" t="str">
        <x:v>Centro Poniente</x:v>
      </x:c>
      <x:c r="B262" s="45" t="str">
        <x:v>Juan Jesus Zuñiga Flores</x:v>
      </x:c>
      <x:c r="C262" s="50" t="str">
        <x:v>38530</x:v>
      </x:c>
      <x:c r="D262" s="45" t="str">
        <x:v>Narvarte</x:v>
      </x:c>
      <x:c r="E262" s="45" t="str">
        <x:v>Abierta</x:v>
      </x:c>
      <x:c r="F262" s="51" t="d">
        <x:v>2014-03-24T00:00:00.000Z</x:v>
      </x:c>
      <x:c r="G262" s="45" t="str">
        <x:v>Benito Juárez</x:v>
      </x:c>
      <x:c r="H262" s="45" t="str">
        <x:v>Ciudad De México</x:v>
      </x:c>
      <x:c r="I262" s="52" t="n">
        <x:v>19.390056</x:v>
      </x:c>
      <x:c r="J262" s="52" t="n">
        <x:v>-99.152097</x:v>
      </x:c>
      <x:c r="K262" s="45" t="str">
        <x:v>Drive_Thru</x:v>
      </x:c>
      <x:c r="L262" s="45" t="str">
        <x:v>Neighborhood</x:v>
      </x:c>
      <x:c r="M262" s="45" t="str">
        <x:v>C2</x:v>
      </x:c>
      <x:c r="N262" s="45" t="str">
        <x:v>Sí</x:v>
      </x:c>
      <x:c r="O262" s="45" t="str">
        <x:v>Juan Jesus Zuñiga Flores</x:v>
      </x:c>
      <x:c r="P262" s="45" t="str">
        <x:v>Ops y Directorio Alsea · octubre 2026</x:v>
      </x:c>
      <x:c r="Q262" s="45" t="str">
        <x:v>Puntos proporcionados</x:v>
      </x:c>
      <x:c r="R262" s="45" t="str">
        <x:v>Abierta</x:v>
      </x:c>
      <x:c r="S262" s="45" t="str"/>
      <x:c r="T262" s="45" t="n">
        <x:f>IF(AND(OR(E262="Abierta",E262="Próxima Apertura"),N262="Sí",ISNUMBER(I262),ISNUMBER(J262),ABS(I262)&lt;=90,ABS(J262)&lt;=180),1,0)</x:f>
        <x:v>1</x:v>
      </x:c>
    </x:row>
    <x:row r="263" ht="23" customHeight="1">
      <x:c r="A263" s="45" t="str">
        <x:v>Centro Poniente</x:v>
      </x:c>
      <x:c r="B263" s="45" t="str">
        <x:v>Juan Jesus Zuñiga Flores</x:v>
      </x:c>
      <x:c r="C263" s="50" t="str">
        <x:v>38549</x:v>
      </x:c>
      <x:c r="D263" s="45" t="str">
        <x:v>Galerias Insurgentes</x:v>
      </x:c>
      <x:c r="E263" s="45" t="str">
        <x:v>Abierta</x:v>
      </x:c>
      <x:c r="F263" s="51" t="d">
        <x:v>2014-09-26T00:00:00.000Z</x:v>
      </x:c>
      <x:c r="G263" s="45" t="str">
        <x:v>Benito Juárez</x:v>
      </x:c>
      <x:c r="H263" s="45" t="str">
        <x:v>Ciudad De México</x:v>
      </x:c>
      <x:c r="I263" s="52" t="n">
        <x:v>19.371289</x:v>
      </x:c>
      <x:c r="J263" s="52" t="n">
        <x:v>-99.17957</x:v>
      </x:c>
      <x:c r="K263" s="45" t="str">
        <x:v>Cafe</x:v>
      </x:c>
      <x:c r="L263" s="45" t="str">
        <x:v>Retail</x:v>
      </x:c>
      <x:c r="M263" s="45" t="str">
        <x:v>C2</x:v>
      </x:c>
      <x:c r="N263" s="45" t="str">
        <x:v>Sí</x:v>
      </x:c>
      <x:c r="O263" s="45" t="str">
        <x:v>Juan Jesus Zuñiga Flores</x:v>
      </x:c>
      <x:c r="P263" s="45" t="str">
        <x:v>Ops y Directorio Alsea · octubre 2026</x:v>
      </x:c>
      <x:c r="Q263" s="45" t="str">
        <x:v>Puntos proporcionados</x:v>
      </x:c>
      <x:c r="R263" s="45" t="str">
        <x:v>Abierta</x:v>
      </x:c>
      <x:c r="S263" s="45" t="str"/>
      <x:c r="T263" s="45" t="n">
        <x:f>IF(AND(OR(E263="Abierta",E263="Próxima Apertura"),N263="Sí",ISNUMBER(I263),ISNUMBER(J263),ABS(I263)&lt;=90,ABS(J263)&lt;=180),1,0)</x:f>
        <x:v>1</x:v>
      </x:c>
    </x:row>
    <x:row r="264" ht="23" customHeight="1">
      <x:c r="A264" s="45" t="str">
        <x:v>Centro Poniente</x:v>
      </x:c>
      <x:c r="B264" s="45" t="str">
        <x:v>Juan Jesus Zuñiga Flores</x:v>
      </x:c>
      <x:c r="C264" s="50" t="str">
        <x:v>38587</x:v>
      </x:c>
      <x:c r="D264" s="45" t="str">
        <x:v>Plateros</x:v>
      </x:c>
      <x:c r="E264" s="45" t="str">
        <x:v>Abierta</x:v>
      </x:c>
      <x:c r="F264" s="51" t="d">
        <x:v>2015-06-18T00:00:00.000Z</x:v>
      </x:c>
      <x:c r="G264" s="45" t="str">
        <x:v>Álvaro Obregón</x:v>
      </x:c>
      <x:c r="H264" s="45" t="str">
        <x:v>Ciudad De México</x:v>
      </x:c>
      <x:c r="I264" s="52" t="n">
        <x:v>19.369211</x:v>
      </x:c>
      <x:c r="J264" s="52" t="n">
        <x:v>-99.193146</x:v>
      </x:c>
      <x:c r="K264" s="45" t="str">
        <x:v>Cafe</x:v>
      </x:c>
      <x:c r="L264" s="45" t="str">
        <x:v>Retail</x:v>
      </x:c>
      <x:c r="M264" s="45" t="str">
        <x:v>C1</x:v>
      </x:c>
      <x:c r="N264" s="45" t="str">
        <x:v>Sí</x:v>
      </x:c>
      <x:c r="O264" s="45" t="str">
        <x:v>Juan Jesus Zuñiga Flores</x:v>
      </x:c>
      <x:c r="P264" s="45" t="str">
        <x:v>Ops y Directorio Alsea · octubre 2026</x:v>
      </x:c>
      <x:c r="Q264" s="45" t="str">
        <x:v>Puntos proporcionados</x:v>
      </x:c>
      <x:c r="R264" s="45" t="str">
        <x:v>Abierta</x:v>
      </x:c>
      <x:c r="S264" s="45" t="str"/>
      <x:c r="T264" s="45" t="n">
        <x:f>IF(AND(OR(E264="Abierta",E264="Próxima Apertura"),N264="Sí",ISNUMBER(I264),ISNUMBER(J264),ABS(I264)&lt;=90,ABS(J264)&lt;=180),1,0)</x:f>
        <x:v>1</x:v>
      </x:c>
    </x:row>
    <x:row r="265" ht="23" customHeight="1">
      <x:c r="A265" s="45" t="str">
        <x:v>Centro Poniente</x:v>
      </x:c>
      <x:c r="B265" s="45" t="str">
        <x:v>Juan Jesus Zuñiga Flores</x:v>
      </x:c>
      <x:c r="C265" s="50" t="str">
        <x:v>38715</x:v>
      </x:c>
      <x:c r="D265" s="45" t="str">
        <x:v>Av. Coyoacan DT only</x:v>
      </x:c>
      <x:c r="E265" s="45" t="str">
        <x:v>Abierta</x:v>
      </x:c>
      <x:c r="F265" s="51" t="d">
        <x:v>2017-02-24T00:00:00.000Z</x:v>
      </x:c>
      <x:c r="G265" s="45" t="str">
        <x:v>Benito Juárez</x:v>
      </x:c>
      <x:c r="H265" s="45" t="str">
        <x:v>Ciudad De México</x:v>
      </x:c>
      <x:c r="I265" s="52" t="n">
        <x:v>19.3863785</x:v>
      </x:c>
      <x:c r="J265" s="52" t="n">
        <x:v>-99.1674723</x:v>
      </x:c>
      <x:c r="K265" s="45" t="str">
        <x:v>Drive_Thru</x:v>
      </x:c>
      <x:c r="L265" s="45" t="str">
        <x:v>Transfers</x:v>
      </x:c>
      <x:c r="M265" s="45" t="str">
        <x:v>C2</x:v>
      </x:c>
      <x:c r="N265" s="45" t="str">
        <x:v>Sí</x:v>
      </x:c>
      <x:c r="O265" s="45" t="str">
        <x:v>Juan Jesus Zuñiga Flores</x:v>
      </x:c>
      <x:c r="P265" s="45" t="str">
        <x:v>Ops y Directorio Alsea · octubre 2026</x:v>
      </x:c>
      <x:c r="Q265" s="45" t="str">
        <x:v>Puntos proporcionados</x:v>
      </x:c>
      <x:c r="R265" s="45" t="str">
        <x:v>Abierta</x:v>
      </x:c>
      <x:c r="S265" s="45" t="str"/>
      <x:c r="T265" s="45" t="n">
        <x:f>IF(AND(OR(E265="Abierta",E265="Próxima Apertura"),N265="Sí",ISNUMBER(I265),ISNUMBER(J265),ABS(I265)&lt;=90,ABS(J265)&lt;=180),1,0)</x:f>
        <x:v>1</x:v>
      </x:c>
    </x:row>
    <x:row r="266" ht="23" customHeight="1">
      <x:c r="A266" s="45" t="str">
        <x:v>Centro Poniente</x:v>
      </x:c>
      <x:c r="B266" s="45" t="str">
        <x:v>Juan Jesus Zuñiga Flores</x:v>
      </x:c>
      <x:c r="C266" s="50" t="str">
        <x:v>38764</x:v>
      </x:c>
      <x:c r="D266" s="45" t="str">
        <x:v>Star  Medica Napoles</x:v>
      </x:c>
      <x:c r="E266" s="45" t="str">
        <x:v>Abierta</x:v>
      </x:c>
      <x:c r="F266" s="51" t="d">
        <x:v>2017-11-22T00:00:00.000Z</x:v>
      </x:c>
      <x:c r="G266" s="45" t="str">
        <x:v>Benito Juárez</x:v>
      </x:c>
      <x:c r="H266" s="45" t="str">
        <x:v>Ciudad De México</x:v>
      </x:c>
      <x:c r="I266" s="52" t="n">
        <x:v>19.3961916</x:v>
      </x:c>
      <x:c r="J266" s="52" t="n">
        <x:v>-99.1795433</x:v>
      </x:c>
      <x:c r="K266" s="45" t="str">
        <x:v>Cafe</x:v>
      </x:c>
      <x:c r="L266" s="45" t="str">
        <x:v>Institution</x:v>
      </x:c>
      <x:c r="M266" s="45" t="str">
        <x:v>C2</x:v>
      </x:c>
      <x:c r="N266" s="45" t="str">
        <x:v>Sí</x:v>
      </x:c>
      <x:c r="O266" s="45" t="str">
        <x:v>Juan Jesus Zuñiga Flores</x:v>
      </x:c>
      <x:c r="P266" s="45" t="str">
        <x:v>Ops y Directorio Alsea · octubre 2026</x:v>
      </x:c>
      <x:c r="Q266" s="45" t="str">
        <x:v>Puntos proporcionados</x:v>
      </x:c>
      <x:c r="R266" s="45" t="str">
        <x:v>Abierta</x:v>
      </x:c>
      <x:c r="S266" s="45" t="str"/>
      <x:c r="T266" s="45" t="n">
        <x:f>IF(AND(OR(E266="Abierta",E266="Próxima Apertura"),N266="Sí",ISNUMBER(I266),ISNUMBER(J266),ABS(I266)&lt;=90,ABS(J266)&lt;=180),1,0)</x:f>
        <x:v>1</x:v>
      </x:c>
    </x:row>
    <x:row r="267" ht="23" customHeight="1">
      <x:c r="A267" s="45" t="str">
        <x:v>Centro Poniente</x:v>
      </x:c>
      <x:c r="B267" s="45" t="str">
        <x:v>Juan Jesus Zuñiga Flores</x:v>
      </x:c>
      <x:c r="C267" s="50" t="str">
        <x:v>38951</x:v>
      </x:c>
      <x:c r="D267" s="45" t="str">
        <x:v>Universidad Panamericana</x:v>
      </x:c>
      <x:c r="E267" s="45" t="str">
        <x:v>Abierta</x:v>
      </x:c>
      <x:c r="F267" s="51" t="d">
        <x:v>2023-03-14T00:00:00.000Z</x:v>
      </x:c>
      <x:c r="G267" s="45" t="str">
        <x:v>Benito Juárez</x:v>
      </x:c>
      <x:c r="H267" s="45" t="str">
        <x:v>Ciudad De México</x:v>
      </x:c>
      <x:c r="I267" s="52" t="n">
        <x:v>19.3728986</x:v>
      </x:c>
      <x:c r="J267" s="52" t="n">
        <x:v>-99.1831354</x:v>
      </x:c>
      <x:c r="K267" s="45" t="str">
        <x:v>Kiosko</x:v>
      </x:c>
      <x:c r="L267" s="45" t="str">
        <x:v>Institution</x:v>
      </x:c>
      <x:c r="M267" s="45" t="str">
        <x:v>C1</x:v>
      </x:c>
      <x:c r="N267" s="45" t="str">
        <x:v>Sí</x:v>
      </x:c>
      <x:c r="O267" s="45" t="str">
        <x:v>Juan Jesus Zuñiga Flores</x:v>
      </x:c>
      <x:c r="P267" s="45" t="str">
        <x:v>Ops y Directorio Alsea · octubre 2026</x:v>
      </x:c>
      <x:c r="Q267" s="45" t="str">
        <x:v>Puntos proporcionados</x:v>
      </x:c>
      <x:c r="R267" s="45" t="str">
        <x:v>Abierta</x:v>
      </x:c>
      <x:c r="S267" s="45" t="str"/>
      <x:c r="T267" s="45" t="n">
        <x:f>IF(AND(OR(E267="Abierta",E267="Próxima Apertura"),N267="Sí",ISNUMBER(I267),ISNUMBER(J267),ABS(I267)&lt;=90,ABS(J267)&lt;=180),1,0)</x:f>
        <x:v>1</x:v>
      </x:c>
    </x:row>
    <x:row r="268" ht="23" customHeight="1">
      <x:c r="A268" s="45" t="str">
        <x:v>Centro Poniente</x:v>
      </x:c>
      <x:c r="B268" s="45" t="str">
        <x:v>Juan Jesus Zuñiga Flores</x:v>
      </x:c>
      <x:c r="C268" s="50" t="str">
        <x:v>43105</x:v>
      </x:c>
      <x:c r="D268" s="45" t="str">
        <x:v>Insurgentes Capital</x:v>
      </x:c>
      <x:c r="E268" s="45" t="str">
        <x:v>Abierta</x:v>
      </x:c>
      <x:c r="F268" s="51" t="d">
        <x:v>2025-02-28T00:00:00.000Z</x:v>
      </x:c>
      <x:c r="G268" s="45" t="str">
        <x:v>Benito Juárez</x:v>
      </x:c>
      <x:c r="H268" s="45" t="str">
        <x:v>Ciudad De México</x:v>
      </x:c>
      <x:c r="I268" s="52" t="n">
        <x:v>19.381428</x:v>
      </x:c>
      <x:c r="J268" s="52" t="n">
        <x:v>-99.176733</x:v>
      </x:c>
      <x:c r="K268" s="45" t="str">
        <x:v>Cafe</x:v>
      </x:c>
      <x:c r="L268" s="45" t="str">
        <x:v>Office_Complex</x:v>
      </x:c>
      <x:c r="M268" s="45" t="str">
        <x:v>C2</x:v>
      </x:c>
      <x:c r="N268" s="45" t="str">
        <x:v>Sí</x:v>
      </x:c>
      <x:c r="O268" s="45" t="str">
        <x:v>Juan Jesus Zuñiga Flores</x:v>
      </x:c>
      <x:c r="P268" s="45" t="str">
        <x:v>Ops y Directorio Alsea · octubre 2026</x:v>
      </x:c>
      <x:c r="Q268" s="45" t="str">
        <x:v>Puntos proporcionados</x:v>
      </x:c>
      <x:c r="R268" s="45" t="str">
        <x:v>Abierta</x:v>
      </x:c>
      <x:c r="S268" s="45" t="str"/>
      <x:c r="T268" s="45" t="n">
        <x:f>IF(AND(OR(E268="Abierta",E268="Próxima Apertura"),N268="Sí",ISNUMBER(I268),ISNUMBER(J268),ABS(I268)&lt;=90,ABS(J268)&lt;=180),1,0)</x:f>
        <x:v>1</x:v>
      </x:c>
    </x:row>
    <x:row r="269" ht="23" customHeight="1">
      <x:c r="A269" s="45" t="str">
        <x:v>Centro Poniente</x:v>
      </x:c>
      <x:c r="B269" s="45" t="str">
        <x:v>Manuel Alejandro Avila Molina</x:v>
      </x:c>
      <x:c r="C269" s="50" t="str">
        <x:v>38121</x:v>
      </x:c>
      <x:c r="D269" s="45" t="str">
        <x:v>Herradura</x:v>
      </x:c>
      <x:c r="E269" s="45" t="str">
        <x:v>Abierta</x:v>
      </x:c>
      <x:c r="F269" s="51" t="d">
        <x:v>2003-12-17T00:00:00.000Z</x:v>
      </x:c>
      <x:c r="G269" s="45" t="str">
        <x:v>Huixquilucan</x:v>
      </x:c>
      <x:c r="H269" s="45" t="str">
        <x:v>Estado De México</x:v>
      </x:c>
      <x:c r="I269" s="52" t="n">
        <x:v>19.422748</x:v>
      </x:c>
      <x:c r="J269" s="52" t="n">
        <x:v>-99.2597692</x:v>
      </x:c>
      <x:c r="K269" s="45" t="str">
        <x:v>Cafe</x:v>
      </x:c>
      <x:c r="L269" s="45" t="str">
        <x:v>Retail</x:v>
      </x:c>
      <x:c r="M269" s="45" t="str">
        <x:v>C2</x:v>
      </x:c>
      <x:c r="N269" s="45" t="str">
        <x:v>Sí</x:v>
      </x:c>
      <x:c r="O269" s="45" t="str">
        <x:v>Manuel Alejandro Avila Molina</x:v>
      </x:c>
      <x:c r="P269" s="45" t="str">
        <x:v>Ops y Directorio Alsea · octubre 2026</x:v>
      </x:c>
      <x:c r="Q269" s="45" t="str">
        <x:v>Puntos proporcionados</x:v>
      </x:c>
      <x:c r="R269" s="45" t="str">
        <x:v>Abierta</x:v>
      </x:c>
      <x:c r="S269" s="45" t="str"/>
      <x:c r="T269" s="45" t="n">
        <x:f>IF(AND(OR(E269="Abierta",E269="Próxima Apertura"),N269="Sí",ISNUMBER(I269),ISNUMBER(J269),ABS(I269)&lt;=90,ABS(J269)&lt;=180),1,0)</x:f>
        <x:v>1</x:v>
      </x:c>
    </x:row>
    <x:row r="270" ht="23" customHeight="1">
      <x:c r="A270" s="45" t="str">
        <x:v>Centro Poniente</x:v>
      </x:c>
      <x:c r="B270" s="45" t="str">
        <x:v>Manuel Alejandro Avila Molina</x:v>
      </x:c>
      <x:c r="C270" s="50" t="str">
        <x:v>38366</x:v>
      </x:c>
      <x:c r="D270" s="45" t="str">
        <x:v>Hospital ABC</x:v>
      </x:c>
      <x:c r="E270" s="45" t="str">
        <x:v>Abierta</x:v>
      </x:c>
      <x:c r="F270" s="51" t="d">
        <x:v>2009-03-09T00:00:00.000Z</x:v>
      </x:c>
      <x:c r="G270" s="45" t="str">
        <x:v>Álvaro Obregón</x:v>
      </x:c>
      <x:c r="H270" s="45" t="str">
        <x:v>Ciudad De México</x:v>
      </x:c>
      <x:c r="I270" s="52" t="n">
        <x:v>19.3997836</x:v>
      </x:c>
      <x:c r="J270" s="52" t="n">
        <x:v>-99.2040237</x:v>
      </x:c>
      <x:c r="K270" s="45" t="str">
        <x:v>Cafe</x:v>
      </x:c>
      <x:c r="L270" s="45" t="str">
        <x:v>Institution</x:v>
      </x:c>
      <x:c r="M270" s="45" t="str">
        <x:v>C2</x:v>
      </x:c>
      <x:c r="N270" s="45" t="str">
        <x:v>Sí</x:v>
      </x:c>
      <x:c r="O270" s="45" t="str">
        <x:v>Manuel Alejandro Avila Molina</x:v>
      </x:c>
      <x:c r="P270" s="45" t="str">
        <x:v>Ops y Directorio Alsea · octubre 2026</x:v>
      </x:c>
      <x:c r="Q270" s="45" t="str">
        <x:v>Puntos proporcionados</x:v>
      </x:c>
      <x:c r="R270" s="45" t="str">
        <x:v>Abierta</x:v>
      </x:c>
      <x:c r="S270" s="45" t="str"/>
      <x:c r="T270" s="45" t="n">
        <x:f>IF(AND(OR(E270="Abierta",E270="Próxima Apertura"),N270="Sí",ISNUMBER(I270),ISNUMBER(J270),ABS(I270)&lt;=90,ABS(J270)&lt;=180),1,0)</x:f>
        <x:v>1</x:v>
      </x:c>
    </x:row>
    <x:row r="271" ht="23" customHeight="1">
      <x:c r="A271" s="45" t="str">
        <x:v>Centro Poniente</x:v>
      </x:c>
      <x:c r="B271" s="45" t="str">
        <x:v>Manuel Alejandro Avila Molina</x:v>
      </x:c>
      <x:c r="C271" s="50" t="str">
        <x:v>38386</x:v>
      </x:c>
      <x:c r="D271" s="45" t="str">
        <x:v>Duraznos</x:v>
      </x:c>
      <x:c r="E271" s="45" t="str">
        <x:v>Abierta</x:v>
      </x:c>
      <x:c r="F271" s="51" t="d">
        <x:v>2010-08-09T00:00:00.000Z</x:v>
      </x:c>
      <x:c r="G271" s="45" t="str">
        <x:v>Miguel Hidalgo</x:v>
      </x:c>
      <x:c r="H271" s="45" t="str">
        <x:v>Ciudad De México</x:v>
      </x:c>
      <x:c r="I271" s="52" t="n">
        <x:v>19.403256</x:v>
      </x:c>
      <x:c r="J271" s="52" t="n">
        <x:v>-99.24282</x:v>
      </x:c>
      <x:c r="K271" s="45" t="str">
        <x:v>Cafe</x:v>
      </x:c>
      <x:c r="L271" s="45" t="str">
        <x:v>Retail</x:v>
      </x:c>
      <x:c r="M271" s="45" t="str">
        <x:v>C1</x:v>
      </x:c>
      <x:c r="N271" s="45" t="str">
        <x:v>Sí</x:v>
      </x:c>
      <x:c r="O271" s="45" t="str">
        <x:v>Manuel Alejandro Avila Molina</x:v>
      </x:c>
      <x:c r="P271" s="45" t="str">
        <x:v>Ops y Directorio Alsea · octubre 2026</x:v>
      </x:c>
      <x:c r="Q271" s="45" t="str">
        <x:v>Puntos proporcionados</x:v>
      </x:c>
      <x:c r="R271" s="45" t="str">
        <x:v>Abierta</x:v>
      </x:c>
      <x:c r="S271" s="45" t="str"/>
      <x:c r="T271" s="45" t="n">
        <x:f>IF(AND(OR(E271="Abierta",E271="Próxima Apertura"),N271="Sí",ISNUMBER(I271),ISNUMBER(J271),ABS(I271)&lt;=90,ABS(J271)&lt;=180),1,0)</x:f>
        <x:v>1</x:v>
      </x:c>
    </x:row>
    <x:row r="272" ht="23" customHeight="1">
      <x:c r="A272" s="45" t="str">
        <x:v>Centro Poniente</x:v>
      </x:c>
      <x:c r="B272" s="45" t="str">
        <x:v>Manuel Alejandro Avila Molina</x:v>
      </x:c>
      <x:c r="C272" s="50" t="str">
        <x:v>38461</x:v>
      </x:c>
      <x:c r="D272" s="45" t="str">
        <x:v>Fuente de Tritones</x:v>
      </x:c>
      <x:c r="E272" s="45" t="str">
        <x:v>Abierta</x:v>
      </x:c>
      <x:c r="F272" s="51" t="d">
        <x:v>2012-09-13T00:00:00.000Z</x:v>
      </x:c>
      <x:c r="G272" s="45" t="str">
        <x:v>Naucalpan</x:v>
      </x:c>
      <x:c r="H272" s="45" t="str">
        <x:v>Estado De México</x:v>
      </x:c>
      <x:c r="I272" s="52" t="n">
        <x:v>19.4299273</x:v>
      </x:c>
      <x:c r="J272" s="52" t="n">
        <x:v>-99.2274915</x:v>
      </x:c>
      <x:c r="K272" s="45" t="str">
        <x:v>Cafe</x:v>
      </x:c>
      <x:c r="L272" s="45" t="str">
        <x:v>Neighborhood</x:v>
      </x:c>
      <x:c r="M272" s="45" t="str">
        <x:v>C2</x:v>
      </x:c>
      <x:c r="N272" s="45" t="str">
        <x:v>Sí</x:v>
      </x:c>
      <x:c r="O272" s="45" t="str">
        <x:v>Manuel Alejandro Avila Molina</x:v>
      </x:c>
      <x:c r="P272" s="45" t="str">
        <x:v>Ops y Directorio Alsea · octubre 2026</x:v>
      </x:c>
      <x:c r="Q272" s="45" t="str">
        <x:v>Puntos proporcionados</x:v>
      </x:c>
      <x:c r="R272" s="45" t="str">
        <x:v>Abierta</x:v>
      </x:c>
      <x:c r="S272" s="45" t="str"/>
      <x:c r="T272" s="45" t="n">
        <x:f>IF(AND(OR(E272="Abierta",E272="Próxima Apertura"),N272="Sí",ISNUMBER(I272),ISNUMBER(J272),ABS(I272)&lt;=90,ABS(J272)&lt;=180),1,0)</x:f>
        <x:v>1</x:v>
      </x:c>
    </x:row>
    <x:row r="273" ht="23" customHeight="1">
      <x:c r="A273" s="45" t="str">
        <x:v>Centro Poniente</x:v>
      </x:c>
      <x:c r="B273" s="45" t="str">
        <x:v>Manuel Alejandro Avila Molina</x:v>
      </x:c>
      <x:c r="C273" s="50" t="str">
        <x:v>38538</x:v>
      </x:c>
      <x:c r="D273" s="45" t="str">
        <x:v>Monte Pelvoux</x:v>
      </x:c>
      <x:c r="E273" s="45" t="str">
        <x:v>Abierta</x:v>
      </x:c>
      <x:c r="F273" s="51" t="d">
        <x:v>2014-08-30T00:00:00.000Z</x:v>
      </x:c>
      <x:c r="G273" s="45" t="str">
        <x:v>Miguel Hidalgo</x:v>
      </x:c>
      <x:c r="H273" s="45" t="str">
        <x:v>Ciudad De México</x:v>
      </x:c>
      <x:c r="I273" s="52" t="n">
        <x:v>19.4253412</x:v>
      </x:c>
      <x:c r="J273" s="52" t="n">
        <x:v>-99.204325</x:v>
      </x:c>
      <x:c r="K273" s="45" t="str">
        <x:v>Cafe</x:v>
      </x:c>
      <x:c r="L273" s="45" t="str">
        <x:v>Office_Complex</x:v>
      </x:c>
      <x:c r="M273" s="45" t="str">
        <x:v>C2</x:v>
      </x:c>
      <x:c r="N273" s="45" t="str">
        <x:v>Sí</x:v>
      </x:c>
      <x:c r="O273" s="45" t="str">
        <x:v>Manuel Alejandro Avila Molina</x:v>
      </x:c>
      <x:c r="P273" s="45" t="str">
        <x:v>Ops y Directorio Alsea · octubre 2026</x:v>
      </x:c>
      <x:c r="Q273" s="45" t="str">
        <x:v>Puntos proporcionados</x:v>
      </x:c>
      <x:c r="R273" s="45" t="str">
        <x:v>Abierta</x:v>
      </x:c>
      <x:c r="S273" s="45" t="str"/>
      <x:c r="T273" s="45" t="n">
        <x:f>IF(AND(OR(E273="Abierta",E273="Próxima Apertura"),N273="Sí",ISNUMBER(I273),ISNUMBER(J273),ABS(I273)&lt;=90,ABS(J273)&lt;=180),1,0)</x:f>
        <x:v>1</x:v>
      </x:c>
    </x:row>
    <x:row r="274" ht="23" customHeight="1">
      <x:c r="A274" s="45" t="str">
        <x:v>Centro Poniente</x:v>
      </x:c>
      <x:c r="B274" s="45" t="str">
        <x:v>Manuel Alejandro Avila Molina</x:v>
      </x:c>
      <x:c r="C274" s="50" t="str">
        <x:v>38644</x:v>
      </x:c>
      <x:c r="D274" s="45" t="str">
        <x:v>Torre Virreyes</x:v>
      </x:c>
      <x:c r="E274" s="45" t="str">
        <x:v>Abierta</x:v>
      </x:c>
      <x:c r="F274" s="51" t="d">
        <x:v>2016-04-19T00:00:00.000Z</x:v>
      </x:c>
      <x:c r="G274" s="45" t="str">
        <x:v>Miguel Hidalgo</x:v>
      </x:c>
      <x:c r="H274" s="45" t="str">
        <x:v>Ciudad De México</x:v>
      </x:c>
      <x:c r="I274" s="52" t="n">
        <x:v>19.4253588</x:v>
      </x:c>
      <x:c r="J274" s="52" t="n">
        <x:v>-99.2032328</x:v>
      </x:c>
      <x:c r="K274" s="45" t="str">
        <x:v>Cafe</x:v>
      </x:c>
      <x:c r="L274" s="45" t="str">
        <x:v>Office_Complex</x:v>
      </x:c>
      <x:c r="M274" s="45" t="str">
        <x:v>C2</x:v>
      </x:c>
      <x:c r="N274" s="45" t="str">
        <x:v>Sí</x:v>
      </x:c>
      <x:c r="O274" s="45" t="str">
        <x:v>Manuel Alejandro Avila Molina</x:v>
      </x:c>
      <x:c r="P274" s="45" t="str">
        <x:v>Ops y Directorio Alsea · octubre 2026</x:v>
      </x:c>
      <x:c r="Q274" s="45" t="str">
        <x:v>Puntos proporcionados</x:v>
      </x:c>
      <x:c r="R274" s="45" t="str">
        <x:v>Abierta</x:v>
      </x:c>
      <x:c r="S274" s="45" t="str"/>
      <x:c r="T274" s="45" t="n">
        <x:f>IF(AND(OR(E274="Abierta",E274="Próxima Apertura"),N274="Sí",ISNUMBER(I274),ISNUMBER(J274),ABS(I274)&lt;=90,ABS(J274)&lt;=180),1,0)</x:f>
        <x:v>1</x:v>
      </x:c>
    </x:row>
    <x:row r="275" ht="23" customHeight="1">
      <x:c r="A275" s="45" t="str">
        <x:v>Centro Poniente</x:v>
      </x:c>
      <x:c r="B275" s="45" t="str">
        <x:v>Manuel Alejandro Avila Molina</x:v>
      </x:c>
      <x:c r="C275" s="50" t="str">
        <x:v>38709</x:v>
      </x:c>
      <x:c r="D275" s="45" t="str">
        <x:v>Corporativo Barranca</x:v>
      </x:c>
      <x:c r="E275" s="45" t="str">
        <x:v>Abierta</x:v>
      </x:c>
      <x:c r="F275" s="51" t="d">
        <x:v>2017-09-01T00:00:00.000Z</x:v>
      </x:c>
      <x:c r="G275" s="45" t="str">
        <x:v>Álvaro Obregón</x:v>
      </x:c>
      <x:c r="H275" s="45" t="str">
        <x:v>Ciudad De México</x:v>
      </x:c>
      <x:c r="I275" s="52" t="n">
        <x:v>19.3611077</x:v>
      </x:c>
      <x:c r="J275" s="52" t="n">
        <x:v>-99.1898954</x:v>
      </x:c>
      <x:c r="K275" s="45" t="str">
        <x:v>Cafe</x:v>
      </x:c>
      <x:c r="L275" s="45" t="str">
        <x:v>Office_Complex</x:v>
      </x:c>
      <x:c r="M275" s="45" t="str">
        <x:v>C1</x:v>
      </x:c>
      <x:c r="N275" s="45" t="str">
        <x:v>Sí</x:v>
      </x:c>
      <x:c r="O275" s="45" t="str">
        <x:v>Manuel Alejandro Avila Molina</x:v>
      </x:c>
      <x:c r="P275" s="45" t="str">
        <x:v>Ops y Directorio Alsea · octubre 2026</x:v>
      </x:c>
      <x:c r="Q275" s="45" t="str">
        <x:v>Puntos proporcionados</x:v>
      </x:c>
      <x:c r="R275" s="45" t="str">
        <x:v>Abierta</x:v>
      </x:c>
      <x:c r="S275" s="45" t="str"/>
      <x:c r="T275" s="45" t="n">
        <x:f>IF(AND(OR(E275="Abierta",E275="Próxima Apertura"),N275="Sí",ISNUMBER(I275),ISNUMBER(J275),ABS(I275)&lt;=90,ABS(J275)&lt;=180),1,0)</x:f>
        <x:v>1</x:v>
      </x:c>
    </x:row>
    <x:row r="276" ht="23" customHeight="1">
      <x:c r="A276" s="45" t="str">
        <x:v>Centro Poniente</x:v>
      </x:c>
      <x:c r="B276" s="45" t="str">
        <x:v>Manuel Alejandro Avila Molina</x:v>
      </x:c>
      <x:c r="C276" s="50" t="str">
        <x:v>38717</x:v>
      </x:c>
      <x:c r="D276" s="45" t="str">
        <x:v>Av Revolucion</x:v>
      </x:c>
      <x:c r="E276" s="45" t="str">
        <x:v>Abierta</x:v>
      </x:c>
      <x:c r="F276" s="51" t="d">
        <x:v>2017-03-03T00:00:00.000Z</x:v>
      </x:c>
      <x:c r="G276" s="45" t="str">
        <x:v>Benito Juárez</x:v>
      </x:c>
      <x:c r="H276" s="45" t="str">
        <x:v>Ciudad De México</x:v>
      </x:c>
      <x:c r="I276" s="52" t="n">
        <x:v>19.3839361</x:v>
      </x:c>
      <x:c r="J276" s="52" t="n">
        <x:v>-99.1864813</x:v>
      </x:c>
      <x:c r="K276" s="45" t="str">
        <x:v>Drive_Thru</x:v>
      </x:c>
      <x:c r="L276" s="45" t="str">
        <x:v>Transfers</x:v>
      </x:c>
      <x:c r="M276" s="45" t="str">
        <x:v>C1</x:v>
      </x:c>
      <x:c r="N276" s="45" t="str">
        <x:v>Sí</x:v>
      </x:c>
      <x:c r="O276" s="45" t="str">
        <x:v>Manuel Alejandro Avila Molina</x:v>
      </x:c>
      <x:c r="P276" s="45" t="str">
        <x:v>Ops y Directorio Alsea · octubre 2026</x:v>
      </x:c>
      <x:c r="Q276" s="45" t="str">
        <x:v>Puntos proporcionados</x:v>
      </x:c>
      <x:c r="R276" s="45" t="str">
        <x:v>Abierta</x:v>
      </x:c>
      <x:c r="S276" s="45" t="str"/>
      <x:c r="T276" s="45" t="n">
        <x:f>IF(AND(OR(E276="Abierta",E276="Próxima Apertura"),N276="Sí",ISNUMBER(I276),ISNUMBER(J276),ABS(I276)&lt;=90,ABS(J276)&lt;=180),1,0)</x:f>
        <x:v>1</x:v>
      </x:c>
    </x:row>
    <x:row r="277" ht="23" customHeight="1">
      <x:c r="A277" s="45" t="str">
        <x:v>Centro Poniente</x:v>
      </x:c>
      <x:c r="B277" s="45" t="str">
        <x:v>Manuel Alejandro Avila Molina</x:v>
      </x:c>
      <x:c r="C277" s="50" t="str">
        <x:v>38720</x:v>
      </x:c>
      <x:c r="D277" s="45" t="str">
        <x:v>Patio Barranca PB</x:v>
      </x:c>
      <x:c r="E277" s="45" t="str">
        <x:v>Abierta</x:v>
      </x:c>
      <x:c r="F277" s="51" t="d">
        <x:v>2017-03-30T00:00:00.000Z</x:v>
      </x:c>
      <x:c r="G277" s="45" t="str">
        <x:v>Álvaro Obregón</x:v>
      </x:c>
      <x:c r="H277" s="45" t="str">
        <x:v>Ciudad De México</x:v>
      </x:c>
      <x:c r="I277" s="52" t="n">
        <x:v>19.360933</x:v>
      </x:c>
      <x:c r="J277" s="52" t="n">
        <x:v>-99.190084</x:v>
      </x:c>
      <x:c r="K277" s="45" t="str">
        <x:v>Cafe</x:v>
      </x:c>
      <x:c r="L277" s="45" t="str">
        <x:v>Retail</x:v>
      </x:c>
      <x:c r="M277" s="45" t="str">
        <x:v>C1</x:v>
      </x:c>
      <x:c r="N277" s="45" t="str">
        <x:v>Sí</x:v>
      </x:c>
      <x:c r="O277" s="45" t="str">
        <x:v>Manuel Alejandro Avila Molina</x:v>
      </x:c>
      <x:c r="P277" s="45" t="str">
        <x:v>Ops y Directorio Alsea · octubre 2026</x:v>
      </x:c>
      <x:c r="Q277" s="45" t="str">
        <x:v>Puntos proporcionados</x:v>
      </x:c>
      <x:c r="R277" s="45" t="str">
        <x:v>Abierta</x:v>
      </x:c>
      <x:c r="S277" s="45" t="str"/>
      <x:c r="T277" s="45" t="n">
        <x:f>IF(AND(OR(E277="Abierta",E277="Próxima Apertura"),N277="Sí",ISNUMBER(I277),ISNUMBER(J277),ABS(I277)&lt;=90,ABS(J277)&lt;=180),1,0)</x:f>
        <x:v>1</x:v>
      </x:c>
    </x:row>
    <x:row r="278" ht="23" customHeight="1">
      <x:c r="A278" s="45" t="str">
        <x:v>Centro Poniente</x:v>
      </x:c>
      <x:c r="B278" s="45" t="str">
        <x:v>Manuel Alejandro Avila Molina</x:v>
      </x:c>
      <x:c r="C278" s="50" t="str">
        <x:v>38722</x:v>
      </x:c>
      <x:c r="D278" s="45" t="str">
        <x:v>Patio Barranca N2</x:v>
      </x:c>
      <x:c r="E278" s="45" t="str">
        <x:v>Abierta</x:v>
      </x:c>
      <x:c r="F278" s="51" t="d">
        <x:v>2017-05-26T00:00:00.000Z</x:v>
      </x:c>
      <x:c r="G278" s="45" t="str">
        <x:v>Álvaro Obregón</x:v>
      </x:c>
      <x:c r="H278" s="45" t="str">
        <x:v>Ciudad De México</x:v>
      </x:c>
      <x:c r="I278" s="52" t="n">
        <x:v>19.3609334</x:v>
      </x:c>
      <x:c r="J278" s="52" t="n">
        <x:v>-99.1904309</x:v>
      </x:c>
      <x:c r="K278" s="45" t="str">
        <x:v>Cafe</x:v>
      </x:c>
      <x:c r="L278" s="45" t="str">
        <x:v>Retail</x:v>
      </x:c>
      <x:c r="M278" s="45" t="str">
        <x:v>C1</x:v>
      </x:c>
      <x:c r="N278" s="45" t="str">
        <x:v>Sí</x:v>
      </x:c>
      <x:c r="O278" s="45" t="str">
        <x:v>Manuel Alejandro Avila Molina</x:v>
      </x:c>
      <x:c r="P278" s="45" t="str">
        <x:v>Ops y Directorio Alsea · octubre 2026</x:v>
      </x:c>
      <x:c r="Q278" s="45" t="str">
        <x:v>Puntos proporcionados</x:v>
      </x:c>
      <x:c r="R278" s="45" t="str">
        <x:v>Abierta</x:v>
      </x:c>
      <x:c r="S278" s="45" t="str"/>
      <x:c r="T278" s="45" t="n">
        <x:f>IF(AND(OR(E278="Abierta",E278="Próxima Apertura"),N278="Sí",ISNUMBER(I278),ISNUMBER(J278),ABS(I278)&lt;=90,ABS(J278)&lt;=180),1,0)</x:f>
        <x:v>1</x:v>
      </x:c>
    </x:row>
    <x:row r="279" ht="23" customHeight="1">
      <x:c r="A279" s="45" t="str">
        <x:v>Centro Poniente</x:v>
      </x:c>
      <x:c r="B279" s="45" t="str">
        <x:v>Manuel Alejandro Avila Molina</x:v>
      </x:c>
      <x:c r="C279" s="50" t="str">
        <x:v>38727</x:v>
      </x:c>
      <x:c r="D279" s="45" t="str">
        <x:v>Centro Tk</x:v>
      </x:c>
      <x:c r="E279" s="45" t="str">
        <x:v>Abierta</x:v>
      </x:c>
      <x:c r="F279" s="51" t="d">
        <x:v>2017-07-07T00:00:00.000Z</x:v>
      </x:c>
      <x:c r="G279" s="45" t="str">
        <x:v>Naucalpan</x:v>
      </x:c>
      <x:c r="H279" s="45" t="str">
        <x:v>Estado De México</x:v>
      </x:c>
      <x:c r="I279" s="52" t="n">
        <x:v>19.4145048</x:v>
      </x:c>
      <x:c r="J279" s="52" t="n">
        <x:v>-99.2443107</x:v>
      </x:c>
      <x:c r="K279" s="45" t="str">
        <x:v>Cafe</x:v>
      </x:c>
      <x:c r="L279" s="45" t="str">
        <x:v>Neighborhood</x:v>
      </x:c>
      <x:c r="M279" s="45" t="str">
        <x:v>C2</x:v>
      </x:c>
      <x:c r="N279" s="45" t="str">
        <x:v>Sí</x:v>
      </x:c>
      <x:c r="O279" s="45" t="str">
        <x:v>Manuel Alejandro Avila Molina</x:v>
      </x:c>
      <x:c r="P279" s="45" t="str">
        <x:v>Ops y Directorio Alsea · octubre 2026</x:v>
      </x:c>
      <x:c r="Q279" s="45" t="str">
        <x:v>Puntos proporcionados</x:v>
      </x:c>
      <x:c r="R279" s="45" t="str">
        <x:v>Abierta</x:v>
      </x:c>
      <x:c r="S279" s="45" t="str"/>
      <x:c r="T279" s="45" t="n">
        <x:f>IF(AND(OR(E279="Abierta",E279="Próxima Apertura"),N279="Sí",ISNUMBER(I279),ISNUMBER(J279),ABS(I279)&lt;=90,ABS(J279)&lt;=180),1,0)</x:f>
        <x:v>1</x:v>
      </x:c>
    </x:row>
    <x:row r="280" ht="23" customHeight="1">
      <x:c r="A280" s="45" t="str">
        <x:v>Centro Poniente</x:v>
      </x:c>
      <x:c r="B280" s="45" t="str">
        <x:v>Manuel Alejandro Avila Molina</x:v>
      </x:c>
      <x:c r="C280" s="50" t="str">
        <x:v>38773</x:v>
      </x:c>
      <x:c r="D280" s="45" t="str">
        <x:v>Colegio Americano</x:v>
      </x:c>
      <x:c r="E280" s="45" t="str">
        <x:v>Abierta</x:v>
      </x:c>
      <x:c r="F280" s="51" t="d">
        <x:v>2018-01-22T00:00:00.000Z</x:v>
      </x:c>
      <x:c r="G280" s="45" t="str">
        <x:v>Álvaro Obregón</x:v>
      </x:c>
      <x:c r="H280" s="45" t="str">
        <x:v>Ciudad De México</x:v>
      </x:c>
      <x:c r="I280" s="52" t="n">
        <x:v>19.3997974</x:v>
      </x:c>
      <x:c r="J280" s="52" t="n">
        <x:v>-99.2057367</x:v>
      </x:c>
      <x:c r="K280" s="45" t="str">
        <x:v>Kiosko</x:v>
      </x:c>
      <x:c r="L280" s="45" t="str">
        <x:v>Institution</x:v>
      </x:c>
      <x:c r="M280" s="45" t="str">
        <x:v>C2</x:v>
      </x:c>
      <x:c r="N280" s="45" t="str">
        <x:v>Sí</x:v>
      </x:c>
      <x:c r="O280" s="45" t="str">
        <x:v>Manuel Alejandro Avila Molina</x:v>
      </x:c>
      <x:c r="P280" s="45" t="str">
        <x:v>Ops y Directorio Alsea · octubre 2026</x:v>
      </x:c>
      <x:c r="Q280" s="45" t="str">
        <x:v>Puntos proporcionados</x:v>
      </x:c>
      <x:c r="R280" s="45" t="str">
        <x:v>Abierta</x:v>
      </x:c>
      <x:c r="S280" s="45" t="str"/>
      <x:c r="T280" s="45" t="n">
        <x:f>IF(AND(OR(E280="Abierta",E280="Próxima Apertura"),N280="Sí",ISNUMBER(I280),ISNUMBER(J280),ABS(I280)&lt;=90,ABS(J280)&lt;=180),1,0)</x:f>
        <x:v>1</x:v>
      </x:c>
    </x:row>
    <x:row r="281" ht="23" customHeight="1">
      <x:c r="A281" s="45" t="str">
        <x:v>Centro Poniente</x:v>
      </x:c>
      <x:c r="B281" s="45" t="str">
        <x:v>Manuel Alejandro Avila Molina</x:v>
      </x:c>
      <x:c r="C281" s="50" t="str">
        <x:v>43041</x:v>
      </x:c>
      <x:c r="D281" s="45" t="str">
        <x:v>Parque Aztlan</x:v>
      </x:c>
      <x:c r="E281" s="45" t="str">
        <x:v>Abierta</x:v>
      </x:c>
      <x:c r="F281" s="51" t="d">
        <x:v>2024-09-29T00:00:00.000Z</x:v>
      </x:c>
      <x:c r="G281" s="45" t="str">
        <x:v>Miguel Hidalgo</x:v>
      </x:c>
      <x:c r="H281" s="45" t="str">
        <x:v>Ciudad De México</x:v>
      </x:c>
      <x:c r="I281" s="52" t="n">
        <x:v>19.4160831</x:v>
      </x:c>
      <x:c r="J281" s="52" t="n">
        <x:v>-99.1959814</x:v>
      </x:c>
      <x:c r="K281" s="45" t="str">
        <x:v>Cafe</x:v>
      </x:c>
      <x:c r="L281" s="45" t="str">
        <x:v>Tourism_and_Entertainment</x:v>
      </x:c>
      <x:c r="M281" s="45" t="str">
        <x:v>C2</x:v>
      </x:c>
      <x:c r="N281" s="45" t="str">
        <x:v>Sí</x:v>
      </x:c>
      <x:c r="O281" s="45" t="str">
        <x:v>Manuel Alejandro Avila Molina</x:v>
      </x:c>
      <x:c r="P281" s="45" t="str">
        <x:v>Ops y Directorio Alsea · octubre 2026</x:v>
      </x:c>
      <x:c r="Q281" s="45" t="str">
        <x:v>Puntos proporcionados</x:v>
      </x:c>
      <x:c r="R281" s="45" t="str">
        <x:v>Abierta</x:v>
      </x:c>
      <x:c r="S281" s="45" t="str"/>
      <x:c r="T281" s="45" t="n">
        <x:f>IF(AND(OR(E281="Abierta",E281="Próxima Apertura"),N281="Sí",ISNUMBER(I281),ISNUMBER(J281),ABS(I281)&lt;=90,ABS(J281)&lt;=180),1,0)</x:f>
        <x:v>1</x:v>
      </x:c>
    </x:row>
    <x:row r="282" ht="23" customHeight="1">
      <x:c r="A282" s="45" t="str">
        <x:v>Centro Poniente</x:v>
      </x:c>
      <x:c r="B282" s="45" t="str">
        <x:v>Sin asignación</x:v>
      </x:c>
      <x:c r="C282" s="50" t="str">
        <x:v>38135</x:v>
      </x:c>
      <x:c r="D282" s="45" t="str">
        <x:v>Monte Everest</x:v>
      </x:c>
      <x:c r="E282" s="45" t="str">
        <x:v>Cierre Definitivo</x:v>
      </x:c>
      <x:c r="F282" s="51" t="d">
        <x:v>2004-11-19T00:00:00.000Z</x:v>
      </x:c>
      <x:c r="G282" s="45" t="str">
        <x:v>Miguel Hidalgo</x:v>
      </x:c>
      <x:c r="H282" s="45" t="str">
        <x:v>Ciudad De México</x:v>
      </x:c>
      <x:c r="I282" s="52" t="n">
        <x:v>19.4194</x:v>
      </x:c>
      <x:c r="J282" s="52" t="n">
        <x:v>-99.2154</x:v>
      </x:c>
      <x:c r="K282" s="45" t="str">
        <x:v>Cafe</x:v>
      </x:c>
      <x:c r="L282" s="45" t="str">
        <x:v>Neighborhood</x:v>
      </x:c>
      <x:c r="M282" s="45" t="str">
        <x:v>C1</x:v>
      </x:c>
      <x:c r="N282" s="45" t="str">
        <x:v>No</x:v>
      </x:c>
      <x:c r="O282" s="45" t="str">
        <x:v>Sin asignación</x:v>
      </x:c>
      <x:c r="P282" s="45" t="str">
        <x:v>Ops y Directorio Alsea · octubre 2026</x:v>
      </x:c>
      <x:c r="Q282" s="45" t="str">
        <x:v>Directorio Alsea octubre 2026</x:v>
      </x:c>
      <x:c r="R282" s="45" t="str">
        <x:v>Cierre Definitivo</x:v>
      </x:c>
      <x:c r="S282" s="45" t="str"/>
      <x:c r="T282" s="45" t="n">
        <x:f>IF(AND(OR(E282="Abierta",E282="Próxima Apertura"),N282="Sí",ISNUMBER(I282),ISNUMBER(J282),ABS(I282)&lt;=90,ABS(J282)&lt;=180),1,0)</x:f>
        <x:v>0</x:v>
      </x:c>
    </x:row>
    <x:row r="283" ht="23" customHeight="1">
      <x:c r="A283" s="45" t="str">
        <x:v>Centro Poniente</x:v>
      </x:c>
      <x:c r="B283" s="45" t="str">
        <x:v>Sin asignación</x:v>
      </x:c>
      <x:c r="C283" s="50" t="str">
        <x:v>38455</x:v>
      </x:c>
      <x:c r="D283" s="45" t="str">
        <x:v>Torre Diamante</x:v>
      </x:c>
      <x:c r="E283" s="45" t="str">
        <x:v>Cierre Definitivo</x:v>
      </x:c>
      <x:c r="F283" s="51" t="d">
        <x:v>2012-06-13T00:00:00.000Z</x:v>
      </x:c>
      <x:c r="G283" s="45" t="str">
        <x:v>Cuajimalpa</x:v>
      </x:c>
      <x:c r="H283" s="45" t="str">
        <x:v>Ciudad De México</x:v>
      </x:c>
      <x:c r="I283" s="52" t="n">
        <x:v>19.3608</x:v>
      </x:c>
      <x:c r="J283" s="52" t="n">
        <x:v>-99.2791</x:v>
      </x:c>
      <x:c r="K283" s="45" t="str">
        <x:v>Cafe</x:v>
      </x:c>
      <x:c r="L283" s="45" t="str">
        <x:v>Office_Complex</x:v>
      </x:c>
      <x:c r="M283" s="45" t="str">
        <x:v>C2</x:v>
      </x:c>
      <x:c r="N283" s="45" t="str">
        <x:v>No</x:v>
      </x:c>
      <x:c r="O283" s="45" t="str">
        <x:v>Sin asignación</x:v>
      </x:c>
      <x:c r="P283" s="45" t="str">
        <x:v>Ops y Directorio Alsea · octubre 2026</x:v>
      </x:c>
      <x:c r="Q283" s="45" t="str">
        <x:v>Directorio Alsea octubre 2026</x:v>
      </x:c>
      <x:c r="R283" s="45" t="str">
        <x:v>Cierre Definitivo</x:v>
      </x:c>
      <x:c r="S283" s="45" t="str"/>
      <x:c r="T283" s="45" t="n">
        <x:f>IF(AND(OR(E283="Abierta",E283="Próxima Apertura"),N283="Sí",ISNUMBER(I283),ISNUMBER(J283),ABS(I283)&lt;=90,ABS(J283)&lt;=180),1,0)</x:f>
        <x:v>0</x:v>
      </x:c>
    </x:row>
    <x:row r="284" ht="23" customHeight="1">
      <x:c r="A284" s="45" t="str">
        <x:v>Centro Poniente</x:v>
      </x:c>
      <x:c r="B284" s="45" t="str">
        <x:v>Sin asignación</x:v>
      </x:c>
      <x:c r="C284" s="50" t="str">
        <x:v>38493</x:v>
      </x:c>
      <x:c r="D284" s="45" t="str">
        <x:v>Torre Zentrum</x:v>
      </x:c>
      <x:c r="E284" s="45" t="str">
        <x:v>Cierre Definitivo</x:v>
      </x:c>
      <x:c r="F284" s="51"/>
      <x:c r="G284" s="45" t="str">
        <x:v>Ciudad de México</x:v>
      </x:c>
      <x:c r="H284" s="45" t="str">
        <x:v>Ciudad de México</x:v>
      </x:c>
      <x:c r="I284" s="52" t="n">
        <x:v>19.3587</x:v>
      </x:c>
      <x:c r="J284" s="52" t="n">
        <x:v>-99.2733</x:v>
      </x:c>
      <x:c r="K284" s="45" t="str"/>
      <x:c r="L284" s="45" t="str"/>
      <x:c r="M284" s="45" t="str"/>
      <x:c r="N284" s="45" t="str">
        <x:v>No</x:v>
      </x:c>
      <x:c r="O284" s="45" t="str">
        <x:v>Sin asignación</x:v>
      </x:c>
      <x:c r="P284" s="45" t="str">
        <x:v>Directorio Alsea octubre 2026</x:v>
      </x:c>
      <x:c r="Q284" s="45" t="str">
        <x:v>Directorio Alsea octubre 2026</x:v>
      </x:c>
      <x:c r="R284" s="45" t="str">
        <x:v>Cierre Definitivo</x:v>
      </x:c>
      <x:c r="S284" s="45" t="str"/>
      <x:c r="T284" s="45" t="n">
        <x:f>IF(AND(OR(E284="Abierta",E284="Próxima Apertura"),N284="Sí",ISNUMBER(I284),ISNUMBER(J284),ABS(I284)&lt;=90,ABS(J284)&lt;=180),1,0)</x:f>
        <x:v>0</x:v>
      </x:c>
    </x:row>
    <x:row r="285" ht="23" customHeight="1">
      <x:c r="A285" s="45" t="str">
        <x:v>Centro Poniente</x:v>
      </x:c>
      <x:c r="B285" s="45" t="str">
        <x:v>Sin asignación</x:v>
      </x:c>
      <x:c r="C285" s="50" t="str">
        <x:v>38528</x:v>
      </x:c>
      <x:c r="D285" s="45" t="str">
        <x:v>Pabelllón Polanco</x:v>
      </x:c>
      <x:c r="E285" s="45" t="str">
        <x:v>Cierre Definitivo</x:v>
      </x:c>
      <x:c r="F285" s="51"/>
      <x:c r="G285" s="45" t="str">
        <x:v>Ciudad de México</x:v>
      </x:c>
      <x:c r="H285" s="45" t="str">
        <x:v>Ciudad de México</x:v>
      </x:c>
      <x:c r="I285" s="52" t="n">
        <x:v>19.4378</x:v>
      </x:c>
      <x:c r="J285" s="52" t="n">
        <x:v>-99.2071</x:v>
      </x:c>
      <x:c r="K285" s="45" t="str"/>
      <x:c r="L285" s="45" t="str"/>
      <x:c r="M285" s="45" t="str"/>
      <x:c r="N285" s="45" t="str">
        <x:v>No</x:v>
      </x:c>
      <x:c r="O285" s="45" t="str">
        <x:v>Sin asignación</x:v>
      </x:c>
      <x:c r="P285" s="45" t="str">
        <x:v>Directorio Alsea octubre 2026</x:v>
      </x:c>
      <x:c r="Q285" s="45" t="str">
        <x:v>Directorio Alsea octubre 2026</x:v>
      </x:c>
      <x:c r="R285" s="45" t="str">
        <x:v>Cierre Definitivo</x:v>
      </x:c>
      <x:c r="S285" s="45" t="str"/>
      <x:c r="T285" s="45" t="n">
        <x:f>IF(AND(OR(E285="Abierta",E285="Próxima Apertura"),N285="Sí",ISNUMBER(I285),ISNUMBER(J285),ABS(I285)&lt;=90,ABS(J285)&lt;=180),1,0)</x:f>
        <x:v>0</x:v>
      </x:c>
    </x:row>
    <x:row r="286" ht="23" customHeight="1">
      <x:c r="A286" s="45" t="str">
        <x:v>Centro Poniente</x:v>
      </x:c>
      <x:c r="B286" s="45" t="str">
        <x:v>Sin asignación</x:v>
      </x:c>
      <x:c r="C286" s="50" t="str">
        <x:v>38772</x:v>
      </x:c>
      <x:c r="D286" s="45" t="str">
        <x:v>Hospital Ángeles Interlomas</x:v>
      </x:c>
      <x:c r="E286" s="45" t="str">
        <x:v>Cierre Definitivo</x:v>
      </x:c>
      <x:c r="F286" s="51" t="d">
        <x:v>2018-01-15T00:00:00.000Z</x:v>
      </x:c>
      <x:c r="G286" s="45" t="str">
        <x:v>Huixquilucan</x:v>
      </x:c>
      <x:c r="H286" s="45" t="str">
        <x:v>Estado De México</x:v>
      </x:c>
      <x:c r="I286" s="52" t="n">
        <x:v>19.3947</x:v>
      </x:c>
      <x:c r="J286" s="52" t="n">
        <x:v>-99.2816</x:v>
      </x:c>
      <x:c r="K286" s="45" t="str">
        <x:v>Kiosko</x:v>
      </x:c>
      <x:c r="L286" s="45" t="str">
        <x:v>Institution</x:v>
      </x:c>
      <x:c r="M286" s="45" t="str">
        <x:v>C2</x:v>
      </x:c>
      <x:c r="N286" s="45" t="str">
        <x:v>No</x:v>
      </x:c>
      <x:c r="O286" s="45" t="str">
        <x:v>Sin asignación</x:v>
      </x:c>
      <x:c r="P286" s="45" t="str">
        <x:v>Ops y Directorio Alsea · octubre 2026</x:v>
      </x:c>
      <x:c r="Q286" s="45" t="str">
        <x:v>Directorio Alsea octubre 2026</x:v>
      </x:c>
      <x:c r="R286" s="45" t="str">
        <x:v>Cierre Definitivo</x:v>
      </x:c>
      <x:c r="S286" s="45" t="str"/>
      <x:c r="T286" s="45" t="n">
        <x:f>IF(AND(OR(E286="Abierta",E286="Próxima Apertura"),N286="Sí",ISNUMBER(I286),ISNUMBER(J286),ABS(I286)&lt;=90,ABS(J286)&lt;=180),1,0)</x:f>
        <x:v>0</x:v>
      </x:c>
    </x:row>
    <x:row r="287" ht="23" customHeight="1">
      <x:c r="A287" s="45" t="str">
        <x:v>Centro Poniente</x:v>
      </x:c>
      <x:c r="B287" s="45" t="str">
        <x:v>Sin asignación</x:v>
      </x:c>
      <x:c r="C287" s="50" t="str">
        <x:v>38914</x:v>
      </x:c>
      <x:c r="D287" s="45" t="str">
        <x:v>Cinemex Terraza Interlomas</x:v>
      </x:c>
      <x:c r="E287" s="45" t="str">
        <x:v>Cierre Definitivo</x:v>
      </x:c>
      <x:c r="F287" s="51" t="d">
        <x:v>2022-07-14T00:00:00.000Z</x:v>
      </x:c>
      <x:c r="G287" s="45" t="str">
        <x:v>Huixquilucan</x:v>
      </x:c>
      <x:c r="H287" s="45" t="str">
        <x:v>Estado De México</x:v>
      </x:c>
      <x:c r="I287" s="52" t="n">
        <x:v>19.3934</x:v>
      </x:c>
      <x:c r="J287" s="52" t="n">
        <x:v>-99.2813</x:v>
      </x:c>
      <x:c r="K287" s="45" t="str">
        <x:v>Cafe</x:v>
      </x:c>
      <x:c r="L287" s="45" t="str">
        <x:v>Retail</x:v>
      </x:c>
      <x:c r="M287" s="45" t="str"/>
      <x:c r="N287" s="45" t="str">
        <x:v>No</x:v>
      </x:c>
      <x:c r="O287" s="45" t="str">
        <x:v>Sin asignación</x:v>
      </x:c>
      <x:c r="P287" s="45" t="str">
        <x:v>Ops y Directorio Alsea · octubre 2026</x:v>
      </x:c>
      <x:c r="Q287" s="45" t="str">
        <x:v>Directorio Alsea octubre 2026</x:v>
      </x:c>
      <x:c r="R287" s="45" t="str">
        <x:v>Cierre Definitivo</x:v>
      </x:c>
      <x:c r="S287" s="45" t="str"/>
      <x:c r="T287" s="45" t="n">
        <x:f>IF(AND(OR(E287="Abierta",E287="Próxima Apertura"),N287="Sí",ISNUMBER(I287),ISNUMBER(J287),ABS(I287)&lt;=90,ABS(J287)&lt;=180),1,0)</x:f>
        <x:v>0</x:v>
      </x:c>
    </x:row>
    <x:row r="288" ht="23" customHeight="1">
      <x:c r="A288" s="45" t="str">
        <x:v>Centro Centro</x:v>
      </x:c>
      <x:c r="B288" s="45" t="str">
        <x:v>Alberto T. Aguilar Cauz</x:v>
      </x:c>
      <x:c r="C288" s="50" t="str">
        <x:v>38108</x:v>
      </x:c>
      <x:c r="D288" s="45" t="str">
        <x:v>Campos Eliseos</x:v>
      </x:c>
      <x:c r="E288" s="45" t="str">
        <x:v>Abierta</x:v>
      </x:c>
      <x:c r="F288" s="51" t="d">
        <x:v>2003-03-25T00:00:00.000Z</x:v>
      </x:c>
      <x:c r="G288" s="45" t="str">
        <x:v>Miguel Hidalgo</x:v>
      </x:c>
      <x:c r="H288" s="45" t="str">
        <x:v>Ciudad De México</x:v>
      </x:c>
      <x:c r="I288" s="52" t="n">
        <x:v>19.4284737</x:v>
      </x:c>
      <x:c r="J288" s="52" t="n">
        <x:v>-99.1933915</x:v>
      </x:c>
      <x:c r="K288" s="45" t="str">
        <x:v>Cafe</x:v>
      </x:c>
      <x:c r="L288" s="45" t="str">
        <x:v>Retail</x:v>
      </x:c>
      <x:c r="M288" s="45" t="str">
        <x:v>C2</x:v>
      </x:c>
      <x:c r="N288" s="45" t="str">
        <x:v>Sí</x:v>
      </x:c>
      <x:c r="O288" s="45" t="str">
        <x:v>Alberto T. Aguilar Cauz</x:v>
      </x:c>
      <x:c r="P288" s="45" t="str">
        <x:v>Ops y Directorio Alsea · octubre 2026</x:v>
      </x:c>
      <x:c r="Q288" s="45" t="str">
        <x:v>Puntos proporcionados</x:v>
      </x:c>
      <x:c r="R288" s="45" t="str">
        <x:v>Abierta</x:v>
      </x:c>
      <x:c r="S288" s="45" t="str"/>
      <x:c r="T288" s="45" t="n">
        <x:f>IF(AND(OR(E288="Abierta",E288="Próxima Apertura"),N288="Sí",ISNUMBER(I288),ISNUMBER(J288),ABS(I288)&lt;=90,ABS(J288)&lt;=180),1,0)</x:f>
        <x:v>1</x:v>
      </x:c>
    </x:row>
    <x:row r="289" ht="23" customHeight="1">
      <x:c r="A289" s="45" t="str">
        <x:v>Centro Centro</x:v>
      </x:c>
      <x:c r="B289" s="45" t="str">
        <x:v>Alberto T. Aguilar Cauz</x:v>
      </x:c>
      <x:c r="C289" s="50" t="str">
        <x:v>38110</x:v>
      </x:c>
      <x:c r="D289" s="45" t="str">
        <x:v>Torre Mayor</x:v>
      </x:c>
      <x:c r="E289" s="45" t="str">
        <x:v>Abierta</x:v>
      </x:c>
      <x:c r="F289" s="51" t="d">
        <x:v>2003-07-04T00:00:00.000Z</x:v>
      </x:c>
      <x:c r="G289" s="45" t="str">
        <x:v>Cuauhtémoc</x:v>
      </x:c>
      <x:c r="H289" s="45" t="str">
        <x:v>Ciudad De México</x:v>
      </x:c>
      <x:c r="I289" s="52" t="n">
        <x:v>19.4242976</x:v>
      </x:c>
      <x:c r="J289" s="52" t="n">
        <x:v>-99.1749479</x:v>
      </x:c>
      <x:c r="K289" s="45" t="str">
        <x:v>Cafe</x:v>
      </x:c>
      <x:c r="L289" s="45" t="str">
        <x:v>Office_Complex</x:v>
      </x:c>
      <x:c r="M289" s="45" t="str">
        <x:v>C2</x:v>
      </x:c>
      <x:c r="N289" s="45" t="str">
        <x:v>Sí</x:v>
      </x:c>
      <x:c r="O289" s="45" t="str">
        <x:v>Alberto T. Aguilar Cauz</x:v>
      </x:c>
      <x:c r="P289" s="45" t="str">
        <x:v>Ops y Directorio Alsea · octubre 2026</x:v>
      </x:c>
      <x:c r="Q289" s="45" t="str">
        <x:v>Puntos proporcionados</x:v>
      </x:c>
      <x:c r="R289" s="45" t="str">
        <x:v>Abierta</x:v>
      </x:c>
      <x:c r="S289" s="45" t="str"/>
      <x:c r="T289" s="45" t="n">
        <x:f>IF(AND(OR(E289="Abierta",E289="Próxima Apertura"),N289="Sí",ISNUMBER(I289),ISNUMBER(J289),ABS(I289)&lt;=90,ABS(J289)&lt;=180),1,0)</x:f>
        <x:v>1</x:v>
      </x:c>
    </x:row>
    <x:row r="290" ht="23" customHeight="1">
      <x:c r="A290" s="45" t="str">
        <x:v>Centro Centro</x:v>
      </x:c>
      <x:c r="B290" s="45" t="str">
        <x:v>Alberto T. Aguilar Cauz</x:v>
      </x:c>
      <x:c r="C290" s="50" t="str">
        <x:v>38128</x:v>
      </x:c>
      <x:c r="D290" s="45" t="str">
        <x:v>Condesa</x:v>
      </x:c>
      <x:c r="E290" s="45" t="str">
        <x:v>Abierta</x:v>
      </x:c>
      <x:c r="F290" s="51" t="d">
        <x:v>2004-06-25T00:00:00.000Z</x:v>
      </x:c>
      <x:c r="G290" s="45" t="str">
        <x:v>Cuauhtémoc</x:v>
      </x:c>
      <x:c r="H290" s="45" t="str">
        <x:v>Ciudad De México</x:v>
      </x:c>
      <x:c r="I290" s="52" t="n">
        <x:v>19.411489</x:v>
      </x:c>
      <x:c r="J290" s="52" t="n">
        <x:v>-99.177241</x:v>
      </x:c>
      <x:c r="K290" s="45" t="str">
        <x:v>Cafe</x:v>
      </x:c>
      <x:c r="L290" s="45" t="str">
        <x:v>Neighborhood</x:v>
      </x:c>
      <x:c r="M290" s="45" t="str">
        <x:v>C1</x:v>
      </x:c>
      <x:c r="N290" s="45" t="str">
        <x:v>Sí</x:v>
      </x:c>
      <x:c r="O290" s="45" t="str">
        <x:v>Alberto T. Aguilar Cauz</x:v>
      </x:c>
      <x:c r="P290" s="45" t="str">
        <x:v>Ops y Directorio Alsea · octubre 2026</x:v>
      </x:c>
      <x:c r="Q290" s="45" t="str">
        <x:v>Puntos proporcionados</x:v>
      </x:c>
      <x:c r="R290" s="45" t="str">
        <x:v>Abierta</x:v>
      </x:c>
      <x:c r="S290" s="45" t="str"/>
      <x:c r="T290" s="45" t="n">
        <x:f>IF(AND(OR(E290="Abierta",E290="Próxima Apertura"),N290="Sí",ISNUMBER(I290),ISNUMBER(J290),ABS(I290)&lt;=90,ABS(J290)&lt;=180),1,0)</x:f>
        <x:v>1</x:v>
      </x:c>
    </x:row>
    <x:row r="291" ht="23" customHeight="1">
      <x:c r="A291" s="45" t="str">
        <x:v>Centro Centro</x:v>
      </x:c>
      <x:c r="B291" s="45" t="str">
        <x:v>Alberto T. Aguilar Cauz</x:v>
      </x:c>
      <x:c r="C291" s="50" t="str">
        <x:v>38187</x:v>
      </x:c>
      <x:c r="D291" s="45" t="str">
        <x:v>Nuevo Leon DT</x:v>
      </x:c>
      <x:c r="E291" s="45" t="str">
        <x:v>Abierta</x:v>
      </x:c>
      <x:c r="F291" s="51" t="d">
        <x:v>2006-05-29T00:00:00.000Z</x:v>
      </x:c>
      <x:c r="G291" s="45" t="str">
        <x:v>Cuauhtémoc</x:v>
      </x:c>
      <x:c r="H291" s="45" t="str">
        <x:v>Ciudad De México</x:v>
      </x:c>
      <x:c r="I291" s="52" t="n">
        <x:v>19.4065228</x:v>
      </x:c>
      <x:c r="J291" s="52" t="n">
        <x:v>-99.1717038</x:v>
      </x:c>
      <x:c r="K291" s="45" t="str">
        <x:v>Drive_Thru</x:v>
      </x:c>
      <x:c r="L291" s="45" t="str">
        <x:v>Transfers</x:v>
      </x:c>
      <x:c r="M291" s="45" t="str">
        <x:v>C2</x:v>
      </x:c>
      <x:c r="N291" s="45" t="str">
        <x:v>Sí</x:v>
      </x:c>
      <x:c r="O291" s="45" t="str">
        <x:v>Alberto T. Aguilar Cauz</x:v>
      </x:c>
      <x:c r="P291" s="45" t="str">
        <x:v>Ops y Directorio Alsea · octubre 2026</x:v>
      </x:c>
      <x:c r="Q291" s="45" t="str">
        <x:v>Puntos proporcionados</x:v>
      </x:c>
      <x:c r="R291" s="45" t="str">
        <x:v>Abierta</x:v>
      </x:c>
      <x:c r="S291" s="45" t="str"/>
      <x:c r="T291" s="45" t="n">
        <x:f>IF(AND(OR(E291="Abierta",E291="Próxima Apertura"),N291="Sí",ISNUMBER(I291),ISNUMBER(J291),ABS(I291)&lt;=90,ABS(J291)&lt;=180),1,0)</x:f>
        <x:v>1</x:v>
      </x:c>
    </x:row>
    <x:row r="292" ht="23" customHeight="1">
      <x:c r="A292" s="45" t="str">
        <x:v>Centro Centro</x:v>
      </x:c>
      <x:c r="B292" s="45" t="str">
        <x:v>Alberto T. Aguilar Cauz</x:v>
      </x:c>
      <x:c r="C292" s="50" t="str">
        <x:v>38191</x:v>
      </x:c>
      <x:c r="D292" s="45" t="str">
        <x:v>Masarik Spencer</x:v>
      </x:c>
      <x:c r="E292" s="45" t="str">
        <x:v>Abierta</x:v>
      </x:c>
      <x:c r="F292" s="51" t="d">
        <x:v>2006-06-25T00:00:00.000Z</x:v>
      </x:c>
      <x:c r="G292" s="45" t="str">
        <x:v>Miguel Hidalgo</x:v>
      </x:c>
      <x:c r="H292" s="45" t="str">
        <x:v>Ciudad De México</x:v>
      </x:c>
      <x:c r="I292" s="52" t="n">
        <x:v>19.4317052</x:v>
      </x:c>
      <x:c r="J292" s="52" t="n">
        <x:v>-99.1828472</x:v>
      </x:c>
      <x:c r="K292" s="45" t="str">
        <x:v>Cafe</x:v>
      </x:c>
      <x:c r="L292" s="45" t="str">
        <x:v>Retail</x:v>
      </x:c>
      <x:c r="M292" s="45" t="str">
        <x:v>C2</x:v>
      </x:c>
      <x:c r="N292" s="45" t="str">
        <x:v>Sí</x:v>
      </x:c>
      <x:c r="O292" s="45" t="str">
        <x:v>Alberto T. Aguilar Cauz</x:v>
      </x:c>
      <x:c r="P292" s="45" t="str">
        <x:v>Ops y Directorio Alsea · octubre 2026</x:v>
      </x:c>
      <x:c r="Q292" s="45" t="str">
        <x:v>Puntos proporcionados</x:v>
      </x:c>
      <x:c r="R292" s="45" t="str">
        <x:v>Abierta</x:v>
      </x:c>
      <x:c r="S292" s="45" t="str"/>
      <x:c r="T292" s="45" t="n">
        <x:f>IF(AND(OR(E292="Abierta",E292="Próxima Apertura"),N292="Sí",ISNUMBER(I292),ISNUMBER(J292),ABS(I292)&lt;=90,ABS(J292)&lt;=180),1,0)</x:f>
        <x:v>1</x:v>
      </x:c>
    </x:row>
    <x:row r="293" ht="23" customHeight="1">
      <x:c r="A293" s="45" t="str">
        <x:v>Centro Centro</x:v>
      </x:c>
      <x:c r="B293" s="45" t="str">
        <x:v>Alberto T. Aguilar Cauz</x:v>
      </x:c>
      <x:c r="C293" s="50" t="str">
        <x:v>38220</x:v>
      </x:c>
      <x:c r="D293" s="45" t="str">
        <x:v>Obelisco</x:v>
      </x:c>
      <x:c r="E293" s="45" t="str">
        <x:v>Abierta</x:v>
      </x:c>
      <x:c r="F293" s="51" t="d">
        <x:v>2007-02-21T00:00:00.000Z</x:v>
      </x:c>
      <x:c r="G293" s="45" t="str">
        <x:v>Miguel Hidalgo</x:v>
      </x:c>
      <x:c r="H293" s="45" t="str">
        <x:v>Ciudad De México</x:v>
      </x:c>
      <x:c r="I293" s="52" t="n">
        <x:v>19.427711</x:v>
      </x:c>
      <x:c r="J293" s="52" t="n">
        <x:v>-99.194833</x:v>
      </x:c>
      <x:c r="K293" s="45" t="str">
        <x:v>Cafe</x:v>
      </x:c>
      <x:c r="L293" s="45" t="str">
        <x:v>Retail</x:v>
      </x:c>
      <x:c r="M293" s="45" t="str">
        <x:v>C2</x:v>
      </x:c>
      <x:c r="N293" s="45" t="str">
        <x:v>Sí</x:v>
      </x:c>
      <x:c r="O293" s="45" t="str">
        <x:v>Alberto T. Aguilar Cauz</x:v>
      </x:c>
      <x:c r="P293" s="45" t="str">
        <x:v>Ops y Directorio Alsea · octubre 2026</x:v>
      </x:c>
      <x:c r="Q293" s="45" t="str">
        <x:v>Puntos proporcionados</x:v>
      </x:c>
      <x:c r="R293" s="45" t="str">
        <x:v>Abierta</x:v>
      </x:c>
      <x:c r="S293" s="45" t="str"/>
      <x:c r="T293" s="45" t="n">
        <x:f>IF(AND(OR(E293="Abierta",E293="Próxima Apertura"),N293="Sí",ISNUMBER(I293),ISNUMBER(J293),ABS(I293)&lt;=90,ABS(J293)&lt;=180),1,0)</x:f>
        <x:v>1</x:v>
      </x:c>
    </x:row>
    <x:row r="294" ht="23" customHeight="1">
      <x:c r="A294" s="45" t="str">
        <x:v>Centro Centro</x:v>
      </x:c>
      <x:c r="B294" s="45" t="str">
        <x:v>Alberto T. Aguilar Cauz</x:v>
      </x:c>
      <x:c r="C294" s="50" t="str">
        <x:v>38382</x:v>
      </x:c>
      <x:c r="D294" s="45" t="str">
        <x:v>Homero</x:v>
      </x:c>
      <x:c r="E294" s="45" t="str">
        <x:v>Abierta</x:v>
      </x:c>
      <x:c r="F294" s="51" t="d">
        <x:v>2010-07-02T00:00:00.000Z</x:v>
      </x:c>
      <x:c r="G294" s="45" t="str">
        <x:v>Miguel Hidalgo</x:v>
      </x:c>
      <x:c r="H294" s="45" t="str">
        <x:v>Ciudad De México</x:v>
      </x:c>
      <x:c r="I294" s="52" t="n">
        <x:v>19.4362331</x:v>
      </x:c>
      <x:c r="J294" s="52" t="n">
        <x:v>-99.1998439</x:v>
      </x:c>
      <x:c r="K294" s="45" t="str">
        <x:v>Cafe</x:v>
      </x:c>
      <x:c r="L294" s="45" t="str">
        <x:v>Retail</x:v>
      </x:c>
      <x:c r="M294" s="45" t="str">
        <x:v>C2</x:v>
      </x:c>
      <x:c r="N294" s="45" t="str">
        <x:v>Sí</x:v>
      </x:c>
      <x:c r="O294" s="45" t="str">
        <x:v>Alberto T. Aguilar Cauz</x:v>
      </x:c>
      <x:c r="P294" s="45" t="str">
        <x:v>Ops y Directorio Alsea · octubre 2026</x:v>
      </x:c>
      <x:c r="Q294" s="45" t="str">
        <x:v>Puntos proporcionados</x:v>
      </x:c>
      <x:c r="R294" s="45" t="str">
        <x:v>Abierta</x:v>
      </x:c>
      <x:c r="S294" s="45" t="str"/>
      <x:c r="T294" s="45" t="n">
        <x:f>IF(AND(OR(E294="Abierta",E294="Próxima Apertura"),N294="Sí",ISNUMBER(I294),ISNUMBER(J294),ABS(I294)&lt;=90,ABS(J294)&lt;=180),1,0)</x:f>
        <x:v>1</x:v>
      </x:c>
    </x:row>
    <x:row r="295" ht="23" customHeight="1">
      <x:c r="A295" s="45" t="str">
        <x:v>Centro Centro</x:v>
      </x:c>
      <x:c r="B295" s="45" t="str">
        <x:v>Alberto T. Aguilar Cauz</x:v>
      </x:c>
      <x:c r="C295" s="50" t="str">
        <x:v>38415</x:v>
      </x:c>
      <x:c r="D295" s="45" t="str">
        <x:v>Amsterdam</x:v>
      </x:c>
      <x:c r="E295" s="45" t="str">
        <x:v>Abierta</x:v>
      </x:c>
      <x:c r="F295" s="51" t="d">
        <x:v>2011-05-06T00:00:00.000Z</x:v>
      </x:c>
      <x:c r="G295" s="45" t="str">
        <x:v>Cuauhtémoc</x:v>
      </x:c>
      <x:c r="H295" s="45" t="str">
        <x:v>Ciudad De México</x:v>
      </x:c>
      <x:c r="I295" s="52" t="n">
        <x:v>19.4132787</x:v>
      </x:c>
      <x:c r="J295" s="52" t="n">
        <x:v>-99.1672517</x:v>
      </x:c>
      <x:c r="K295" s="45" t="str">
        <x:v>Cafe</x:v>
      </x:c>
      <x:c r="L295" s="45" t="str">
        <x:v>Neighborhood</x:v>
      </x:c>
      <x:c r="M295" s="45" t="str">
        <x:v>C1</x:v>
      </x:c>
      <x:c r="N295" s="45" t="str">
        <x:v>Sí</x:v>
      </x:c>
      <x:c r="O295" s="45" t="str">
        <x:v>Alberto T. Aguilar Cauz</x:v>
      </x:c>
      <x:c r="P295" s="45" t="str">
        <x:v>Ops y Directorio Alsea · octubre 2026</x:v>
      </x:c>
      <x:c r="Q295" s="45" t="str">
        <x:v>Puntos proporcionados</x:v>
      </x:c>
      <x:c r="R295" s="45" t="str">
        <x:v>Abierta</x:v>
      </x:c>
      <x:c r="S295" s="45" t="str"/>
      <x:c r="T295" s="45" t="n">
        <x:f>IF(AND(OR(E295="Abierta",E295="Próxima Apertura"),N295="Sí",ISNUMBER(I295),ISNUMBER(J295),ABS(I295)&lt;=90,ABS(J295)&lt;=180),1,0)</x:f>
        <x:v>1</x:v>
      </x:c>
    </x:row>
    <x:row r="296" ht="23" customHeight="1">
      <x:c r="A296" s="45" t="str">
        <x:v>Centro Centro</x:v>
      </x:c>
      <x:c r="B296" s="45" t="str">
        <x:v>Alberto T. Aguilar Cauz</x:v>
      </x:c>
      <x:c r="C296" s="50" t="str">
        <x:v>38481</x:v>
      </x:c>
      <x:c r="D296" s="45" t="str">
        <x:v>Alfonso Reyes</x:v>
      </x:c>
      <x:c r="E296" s="45" t="str">
        <x:v>Abierta</x:v>
      </x:c>
      <x:c r="F296" s="51" t="d">
        <x:v>2013-02-14T00:00:00.000Z</x:v>
      </x:c>
      <x:c r="G296" s="45" t="str">
        <x:v>Cuauhtémoc</x:v>
      </x:c>
      <x:c r="H296" s="45" t="str">
        <x:v>Ciudad De México</x:v>
      </x:c>
      <x:c r="I296" s="52" t="n">
        <x:v>19.4074461</x:v>
      </x:c>
      <x:c r="J296" s="52" t="n">
        <x:v>-99.1738179</x:v>
      </x:c>
      <x:c r="K296" s="45" t="str">
        <x:v>Cafe</x:v>
      </x:c>
      <x:c r="L296" s="45" t="str">
        <x:v>Neighborhood</x:v>
      </x:c>
      <x:c r="M296" s="45" t="str">
        <x:v>C2</x:v>
      </x:c>
      <x:c r="N296" s="45" t="str">
        <x:v>Sí</x:v>
      </x:c>
      <x:c r="O296" s="45" t="str">
        <x:v>Alberto T. Aguilar Cauz</x:v>
      </x:c>
      <x:c r="P296" s="45" t="str">
        <x:v>Ops y Directorio Alsea · octubre 2026</x:v>
      </x:c>
      <x:c r="Q296" s="45" t="str">
        <x:v>Puntos proporcionados</x:v>
      </x:c>
      <x:c r="R296" s="45" t="str">
        <x:v>Abierta</x:v>
      </x:c>
      <x:c r="S296" s="45" t="str"/>
      <x:c r="T296" s="45" t="n">
        <x:f>IF(AND(OR(E296="Abierta",E296="Próxima Apertura"),N296="Sí",ISNUMBER(I296),ISNUMBER(J296),ABS(I296)&lt;=90,ABS(J296)&lt;=180),1,0)</x:f>
        <x:v>1</x:v>
      </x:c>
    </x:row>
    <x:row r="297" ht="23" customHeight="1">
      <x:c r="A297" s="45" t="str">
        <x:v>Centro Centro</x:v>
      </x:c>
      <x:c r="B297" s="45" t="str">
        <x:v>Alberto T. Aguilar Cauz</x:v>
      </x:c>
      <x:c r="C297" s="50" t="str">
        <x:v>38522</x:v>
      </x:c>
      <x:c r="D297" s="45" t="str">
        <x:v>Rio Hudson</x:v>
      </x:c>
      <x:c r="E297" s="45" t="str">
        <x:v>Abierta</x:v>
      </x:c>
      <x:c r="F297" s="51" t="d">
        <x:v>2013-12-27T00:00:00.000Z</x:v>
      </x:c>
      <x:c r="G297" s="45" t="str">
        <x:v>Cuauhtémoc</x:v>
      </x:c>
      <x:c r="H297" s="45" t="str">
        <x:v>Ciudad De México</x:v>
      </x:c>
      <x:c r="I297" s="52" t="n">
        <x:v>19.425914</x:v>
      </x:c>
      <x:c r="J297" s="52" t="n">
        <x:v>-99.174514</x:v>
      </x:c>
      <x:c r="K297" s="45" t="str">
        <x:v>Cafe</x:v>
      </x:c>
      <x:c r="L297" s="45" t="str">
        <x:v>Office_Complex</x:v>
      </x:c>
      <x:c r="M297" s="45" t="str">
        <x:v>C1</x:v>
      </x:c>
      <x:c r="N297" s="45" t="str">
        <x:v>Sí</x:v>
      </x:c>
      <x:c r="O297" s="45" t="str">
        <x:v>Alberto T. Aguilar Cauz</x:v>
      </x:c>
      <x:c r="P297" s="45" t="str">
        <x:v>Ops y Directorio Alsea · octubre 2026</x:v>
      </x:c>
      <x:c r="Q297" s="45" t="str">
        <x:v>Puntos proporcionados</x:v>
      </x:c>
      <x:c r="R297" s="45" t="str">
        <x:v>Abierta</x:v>
      </x:c>
      <x:c r="S297" s="45" t="str"/>
      <x:c r="T297" s="45" t="n">
        <x:f>IF(AND(OR(E297="Abierta",E297="Próxima Apertura"),N297="Sí",ISNUMBER(I297),ISNUMBER(J297),ABS(I297)&lt;=90,ABS(J297)&lt;=180),1,0)</x:f>
        <x:v>1</x:v>
      </x:c>
    </x:row>
    <x:row r="298" ht="23" customHeight="1">
      <x:c r="A298" s="45" t="str">
        <x:v>Centro Centro</x:v>
      </x:c>
      <x:c r="B298" s="45" t="str">
        <x:v>Alberto T. Aguilar Cauz</x:v>
      </x:c>
      <x:c r="C298" s="50" t="str">
        <x:v>38541</x:v>
      </x:c>
      <x:c r="D298" s="45" t="str">
        <x:v>Torre Polanco</x:v>
      </x:c>
      <x:c r="E298" s="45" t="str">
        <x:v>Abierta</x:v>
      </x:c>
      <x:c r="F298" s="51" t="d">
        <x:v>2014-08-25T00:00:00.000Z</x:v>
      </x:c>
      <x:c r="G298" s="45" t="str">
        <x:v>Miguel Hidalgo</x:v>
      </x:c>
      <x:c r="H298" s="45" t="str">
        <x:v>Ciudad De México</x:v>
      </x:c>
      <x:c r="I298" s="52" t="n">
        <x:v>19.433089</x:v>
      </x:c>
      <x:c r="J298" s="52" t="n">
        <x:v>-99.1813884</x:v>
      </x:c>
      <x:c r="K298" s="45" t="str">
        <x:v>Cafe</x:v>
      </x:c>
      <x:c r="L298" s="45" t="str">
        <x:v>Office_Complex</x:v>
      </x:c>
      <x:c r="M298" s="45" t="str">
        <x:v>C2</x:v>
      </x:c>
      <x:c r="N298" s="45" t="str">
        <x:v>Sí</x:v>
      </x:c>
      <x:c r="O298" s="45" t="str">
        <x:v>Alberto T. Aguilar Cauz</x:v>
      </x:c>
      <x:c r="P298" s="45" t="str">
        <x:v>Ops y Directorio Alsea · octubre 2026</x:v>
      </x:c>
      <x:c r="Q298" s="45" t="str">
        <x:v>Puntos proporcionados</x:v>
      </x:c>
      <x:c r="R298" s="45" t="str">
        <x:v>Abierta</x:v>
      </x:c>
      <x:c r="S298" s="45" t="str"/>
      <x:c r="T298" s="45" t="n">
        <x:f>IF(AND(OR(E298="Abierta",E298="Próxima Apertura"),N298="Sí",ISNUMBER(I298),ISNUMBER(J298),ABS(I298)&lt;=90,ABS(J298)&lt;=180),1,0)</x:f>
        <x:v>1</x:v>
      </x:c>
    </x:row>
    <x:row r="299" ht="23" customHeight="1">
      <x:c r="A299" s="45" t="str">
        <x:v>Centro Centro</x:v>
      </x:c>
      <x:c r="B299" s="45" t="str">
        <x:v>Alberto T. Aguilar Cauz</x:v>
      </x:c>
      <x:c r="C299" s="50" t="str">
        <x:v>38597</x:v>
      </x:c>
      <x:c r="D299" s="45" t="str">
        <x:v>Emerson</x:v>
      </x:c>
      <x:c r="E299" s="45" t="str">
        <x:v>Abierta</x:v>
      </x:c>
      <x:c r="F299" s="51" t="d">
        <x:v>2015-07-21T00:00:00.000Z</x:v>
      </x:c>
      <x:c r="G299" s="45" t="str">
        <x:v>Miguel Hidalgo</x:v>
      </x:c>
      <x:c r="H299" s="45" t="str">
        <x:v>Ciudad De México</x:v>
      </x:c>
      <x:c r="I299" s="52" t="n">
        <x:v>19.4356792</x:v>
      </x:c>
      <x:c r="J299" s="52" t="n">
        <x:v>-99.1888676</x:v>
      </x:c>
      <x:c r="K299" s="45" t="str">
        <x:v>Cafe</x:v>
      </x:c>
      <x:c r="L299" s="45" t="str">
        <x:v>Neighborhood</x:v>
      </x:c>
      <x:c r="M299" s="45" t="str">
        <x:v>C2</x:v>
      </x:c>
      <x:c r="N299" s="45" t="str">
        <x:v>Sí</x:v>
      </x:c>
      <x:c r="O299" s="45" t="str">
        <x:v>Alberto T. Aguilar Cauz</x:v>
      </x:c>
      <x:c r="P299" s="45" t="str">
        <x:v>Ops y Directorio Alsea · octubre 2026</x:v>
      </x:c>
      <x:c r="Q299" s="45" t="str">
        <x:v>Puntos proporcionados</x:v>
      </x:c>
      <x:c r="R299" s="45" t="str">
        <x:v>Abierta</x:v>
      </x:c>
      <x:c r="S299" s="45" t="str"/>
      <x:c r="T299" s="45" t="n">
        <x:f>IF(AND(OR(E299="Abierta",E299="Próxima Apertura"),N299="Sí",ISNUMBER(I299),ISNUMBER(J299),ABS(I299)&lt;=90,ABS(J299)&lt;=180),1,0)</x:f>
        <x:v>1</x:v>
      </x:c>
    </x:row>
    <x:row r="300" ht="23" customHeight="1">
      <x:c r="A300" s="45" t="str">
        <x:v>Centro Centro</x:v>
      </x:c>
      <x:c r="B300" s="45" t="str">
        <x:v>Alberto T. Aguilar Cauz</x:v>
      </x:c>
      <x:c r="C300" s="50" t="str">
        <x:v>38627</x:v>
      </x:c>
      <x:c r="D300" s="45" t="str">
        <x:v>Moliere 222</x:v>
      </x:c>
      <x:c r="E300" s="45" t="str">
        <x:v>Abierta</x:v>
      </x:c>
      <x:c r="F300" s="51" t="d">
        <x:v>2015-11-05T00:00:00.000Z</x:v>
      </x:c>
      <x:c r="G300" s="45" t="str">
        <x:v>Miguel Hidalgo</x:v>
      </x:c>
      <x:c r="H300" s="45" t="str">
        <x:v>Ciudad De México</x:v>
      </x:c>
      <x:c r="I300" s="52" t="n">
        <x:v>19.4356478</x:v>
      </x:c>
      <x:c r="J300" s="52" t="n">
        <x:v>-99.2017721</x:v>
      </x:c>
      <x:c r="K300" s="45" t="str">
        <x:v>Kiosko</x:v>
      </x:c>
      <x:c r="L300" s="45" t="str">
        <x:v>Retail</x:v>
      </x:c>
      <x:c r="M300" s="45" t="str">
        <x:v>C2</x:v>
      </x:c>
      <x:c r="N300" s="45" t="str">
        <x:v>Sí</x:v>
      </x:c>
      <x:c r="O300" s="45" t="str">
        <x:v>Alberto T. Aguilar Cauz</x:v>
      </x:c>
      <x:c r="P300" s="45" t="str">
        <x:v>Ops y Directorio Alsea · octubre 2026</x:v>
      </x:c>
      <x:c r="Q300" s="45" t="str">
        <x:v>Puntos proporcionados</x:v>
      </x:c>
      <x:c r="R300" s="45" t="str">
        <x:v>Abierta</x:v>
      </x:c>
      <x:c r="S300" s="45" t="str"/>
      <x:c r="T300" s="45" t="n">
        <x:f>IF(AND(OR(E300="Abierta",E300="Próxima Apertura"),N300="Sí",ISNUMBER(I300),ISNUMBER(J300),ABS(I300)&lt;=90,ABS(J300)&lt;=180),1,0)</x:f>
        <x:v>1</x:v>
      </x:c>
    </x:row>
    <x:row r="301" ht="23" customHeight="1">
      <x:c r="A301" s="45" t="str">
        <x:v>Centro Centro</x:v>
      </x:c>
      <x:c r="B301" s="45" t="str">
        <x:v>Carlos Saldaña Avila</x:v>
      </x:c>
      <x:c r="C301" s="50" t="str">
        <x:v>38109</x:v>
      </x:c>
      <x:c r="D301" s="45" t="str">
        <x:v>Wtc</x:v>
      </x:c>
      <x:c r="E301" s="45" t="str">
        <x:v>Abierta</x:v>
      </x:c>
      <x:c r="F301" s="51" t="d">
        <x:v>2003-05-30T00:00:00.000Z</x:v>
      </x:c>
      <x:c r="G301" s="45" t="str">
        <x:v>Benito Juárez</x:v>
      </x:c>
      <x:c r="H301" s="45" t="str">
        <x:v>Ciudad De México</x:v>
      </x:c>
      <x:c r="I301" s="52" t="n">
        <x:v>19.3926982</x:v>
      </x:c>
      <x:c r="J301" s="52" t="n">
        <x:v>-99.1731619</x:v>
      </x:c>
      <x:c r="K301" s="45" t="str">
        <x:v>Cafe</x:v>
      </x:c>
      <x:c r="L301" s="45" t="str">
        <x:v>Retail</x:v>
      </x:c>
      <x:c r="M301" s="45" t="str">
        <x:v>C2</x:v>
      </x:c>
      <x:c r="N301" s="45" t="str">
        <x:v>Sí</x:v>
      </x:c>
      <x:c r="O301" s="45" t="str">
        <x:v>Carlos Saldaña Avila</x:v>
      </x:c>
      <x:c r="P301" s="45" t="str">
        <x:v>Ops y Directorio Alsea · octubre 2026</x:v>
      </x:c>
      <x:c r="Q301" s="45" t="str">
        <x:v>Puntos proporcionados</x:v>
      </x:c>
      <x:c r="R301" s="45" t="str">
        <x:v>Abierta</x:v>
      </x:c>
      <x:c r="S301" s="45" t="str"/>
      <x:c r="T301" s="45" t="n">
        <x:f>IF(AND(OR(E301="Abierta",E301="Próxima Apertura"),N301="Sí",ISNUMBER(I301),ISNUMBER(J301),ABS(I301)&lt;=90,ABS(J301)&lt;=180),1,0)</x:f>
        <x:v>1</x:v>
      </x:c>
    </x:row>
    <x:row r="302" ht="23" customHeight="1">
      <x:c r="A302" s="45" t="str">
        <x:v>Centro Centro</x:v>
      </x:c>
      <x:c r="B302" s="45" t="str">
        <x:v>Carlos Saldaña Avila</x:v>
      </x:c>
      <x:c r="C302" s="50" t="str">
        <x:v>38344</x:v>
      </x:c>
      <x:c r="D302" s="45" t="str">
        <x:v>Parques Polanco</x:v>
      </x:c>
      <x:c r="E302" s="45" t="str">
        <x:v>Abierta</x:v>
      </x:c>
      <x:c r="F302" s="51" t="d">
        <x:v>2008-10-10T00:00:00.000Z</x:v>
      </x:c>
      <x:c r="G302" s="45" t="str">
        <x:v>Miguel Hidalgo</x:v>
      </x:c>
      <x:c r="H302" s="45" t="str">
        <x:v>Ciudad De México</x:v>
      </x:c>
      <x:c r="I302" s="52" t="n">
        <x:v>19.4402221</x:v>
      </x:c>
      <x:c r="J302" s="52" t="n">
        <x:v>-99.1851229</x:v>
      </x:c>
      <x:c r="K302" s="45" t="str">
        <x:v>Cafe</x:v>
      </x:c>
      <x:c r="L302" s="45" t="str">
        <x:v>Retail</x:v>
      </x:c>
      <x:c r="M302" s="45" t="str">
        <x:v>C2</x:v>
      </x:c>
      <x:c r="N302" s="45" t="str">
        <x:v>Sí</x:v>
      </x:c>
      <x:c r="O302" s="45" t="str">
        <x:v>Carlos Saldaña Avila</x:v>
      </x:c>
      <x:c r="P302" s="45" t="str">
        <x:v>Ops y Directorio Alsea · octubre 2026</x:v>
      </x:c>
      <x:c r="Q302" s="45" t="str">
        <x:v>Puntos proporcionados</x:v>
      </x:c>
      <x:c r="R302" s="45" t="str">
        <x:v>Abierta</x:v>
      </x:c>
      <x:c r="S302" s="45" t="str"/>
      <x:c r="T302" s="45" t="n">
        <x:f>IF(AND(OR(E302="Abierta",E302="Próxima Apertura"),N302="Sí",ISNUMBER(I302),ISNUMBER(J302),ABS(I302)&lt;=90,ABS(J302)&lt;=180),1,0)</x:f>
        <x:v>1</x:v>
      </x:c>
    </x:row>
    <x:row r="303" ht="23" customHeight="1">
      <x:c r="A303" s="45" t="str">
        <x:v>Centro Centro</x:v>
      </x:c>
      <x:c r="B303" s="45" t="str">
        <x:v>Carlos Saldaña Avila</x:v>
      </x:c>
      <x:c r="C303" s="50" t="str">
        <x:v>38378</x:v>
      </x:c>
      <x:c r="D303" s="45" t="str">
        <x:v>Torre Mexicana</x:v>
      </x:c>
      <x:c r="E303" s="45" t="str">
        <x:v>Abierta</x:v>
      </x:c>
      <x:c r="F303" s="51" t="d">
        <x:v>2010-04-23T00:00:00.000Z</x:v>
      </x:c>
      <x:c r="G303" s="45" t="str">
        <x:v>Benito Juárez</x:v>
      </x:c>
      <x:c r="H303" s="45" t="str">
        <x:v>Ciudad De México</x:v>
      </x:c>
      <x:c r="I303" s="52" t="n">
        <x:v>19.396959</x:v>
      </x:c>
      <x:c r="J303" s="52" t="n">
        <x:v>-99.165128</x:v>
      </x:c>
      <x:c r="K303" s="45" t="str">
        <x:v>Cafe</x:v>
      </x:c>
      <x:c r="L303" s="45" t="str">
        <x:v>Office_Complex</x:v>
      </x:c>
      <x:c r="M303" s="45" t="str">
        <x:v>C1</x:v>
      </x:c>
      <x:c r="N303" s="45" t="str">
        <x:v>Sí</x:v>
      </x:c>
      <x:c r="O303" s="45" t="str">
        <x:v>Carlos Saldaña Avila</x:v>
      </x:c>
      <x:c r="P303" s="45" t="str">
        <x:v>Ops y Directorio Alsea · octubre 2026</x:v>
      </x:c>
      <x:c r="Q303" s="45" t="str">
        <x:v>Puntos proporcionados</x:v>
      </x:c>
      <x:c r="R303" s="45" t="str">
        <x:v>Abierta</x:v>
      </x:c>
      <x:c r="S303" s="45" t="str"/>
      <x:c r="T303" s="45" t="n">
        <x:f>IF(AND(OR(E303="Abierta",E303="Próxima Apertura"),N303="Sí",ISNUMBER(I303),ISNUMBER(J303),ABS(I303)&lt;=90,ABS(J303)&lt;=180),1,0)</x:f>
        <x:v>1</x:v>
      </x:c>
    </x:row>
    <x:row r="304" ht="23" customHeight="1">
      <x:c r="A304" s="45" t="str">
        <x:v>Centro Centro</x:v>
      </x:c>
      <x:c r="B304" s="45" t="str">
        <x:v>Carlos Saldaña Avila</x:v>
      </x:c>
      <x:c r="C304" s="50" t="str">
        <x:v>38423</x:v>
      </x:c>
      <x:c r="D304" s="45" t="str">
        <x:v>Torre Wtc</x:v>
      </x:c>
      <x:c r="E304" s="45" t="str">
        <x:v>Abierta</x:v>
      </x:c>
      <x:c r="F304" s="51" t="d">
        <x:v>2011-08-08T00:00:00.000Z</x:v>
      </x:c>
      <x:c r="G304" s="45" t="str">
        <x:v>Benito Juárez</x:v>
      </x:c>
      <x:c r="H304" s="45" t="str">
        <x:v>Ciudad De México</x:v>
      </x:c>
      <x:c r="I304" s="52" t="n">
        <x:v>19.394542</x:v>
      </x:c>
      <x:c r="J304" s="52" t="n">
        <x:v>-99.174154</x:v>
      </x:c>
      <x:c r="K304" s="45" t="str">
        <x:v>Cafe</x:v>
      </x:c>
      <x:c r="L304" s="45" t="str">
        <x:v>Office_Complex</x:v>
      </x:c>
      <x:c r="M304" s="45" t="str">
        <x:v>C2</x:v>
      </x:c>
      <x:c r="N304" s="45" t="str">
        <x:v>Sí</x:v>
      </x:c>
      <x:c r="O304" s="45" t="str">
        <x:v>Carlos Saldaña Avila</x:v>
      </x:c>
      <x:c r="P304" s="45" t="str">
        <x:v>Ops y Directorio Alsea · octubre 2026</x:v>
      </x:c>
      <x:c r="Q304" s="45" t="str">
        <x:v>Puntos proporcionados</x:v>
      </x:c>
      <x:c r="R304" s="45" t="str">
        <x:v>Abierta</x:v>
      </x:c>
      <x:c r="S304" s="45" t="str"/>
      <x:c r="T304" s="45" t="n">
        <x:f>IF(AND(OR(E304="Abierta",E304="Próxima Apertura"),N304="Sí",ISNUMBER(I304),ISNUMBER(J304),ABS(I304)&lt;=90,ABS(J304)&lt;=180),1,0)</x:f>
        <x:v>1</x:v>
      </x:c>
    </x:row>
    <x:row r="305" ht="23" customHeight="1">
      <x:c r="A305" s="45" t="str">
        <x:v>Centro Centro</x:v>
      </x:c>
      <x:c r="B305" s="45" t="str">
        <x:v>Carlos Saldaña Avila</x:v>
      </x:c>
      <x:c r="C305" s="50" t="str">
        <x:v>38498</x:v>
      </x:c>
      <x:c r="D305" s="45" t="str">
        <x:v>Montecitos Wtc</x:v>
      </x:c>
      <x:c r="E305" s="45" t="str">
        <x:v>Abierta</x:v>
      </x:c>
      <x:c r="F305" s="51" t="d">
        <x:v>2013-07-12T00:00:00.000Z</x:v>
      </x:c>
      <x:c r="G305" s="45" t="str">
        <x:v>Benito Juárez</x:v>
      </x:c>
      <x:c r="H305" s="45" t="str">
        <x:v>Ciudad De México</x:v>
      </x:c>
      <x:c r="I305" s="52" t="n">
        <x:v>19.3947959</x:v>
      </x:c>
      <x:c r="J305" s="52" t="n">
        <x:v>-99.174149</x:v>
      </x:c>
      <x:c r="K305" s="45" t="str">
        <x:v>Cafe</x:v>
      </x:c>
      <x:c r="L305" s="45" t="str">
        <x:v>Retail</x:v>
      </x:c>
      <x:c r="M305" s="45" t="str">
        <x:v>C2</x:v>
      </x:c>
      <x:c r="N305" s="45" t="str">
        <x:v>Sí</x:v>
      </x:c>
      <x:c r="O305" s="45" t="str">
        <x:v>Carlos Saldaña Avila</x:v>
      </x:c>
      <x:c r="P305" s="45" t="str">
        <x:v>Ops y Directorio Alsea · octubre 2026</x:v>
      </x:c>
      <x:c r="Q305" s="45" t="str">
        <x:v>Puntos proporcionados</x:v>
      </x:c>
      <x:c r="R305" s="45" t="str">
        <x:v>Abierta</x:v>
      </x:c>
      <x:c r="S305" s="45" t="str"/>
      <x:c r="T305" s="45" t="n">
        <x:f>IF(AND(OR(E305="Abierta",E305="Próxima Apertura"),N305="Sí",ISNUMBER(I305),ISNUMBER(J305),ABS(I305)&lt;=90,ABS(J305)&lt;=180),1,0)</x:f>
        <x:v>1</x:v>
      </x:c>
    </x:row>
    <x:row r="306" ht="23" customHeight="1">
      <x:c r="A306" s="45" t="str">
        <x:v>Centro Centro</x:v>
      </x:c>
      <x:c r="B306" s="45" t="str">
        <x:v>Carlos Saldaña Avila</x:v>
      </x:c>
      <x:c r="C306" s="50" t="str">
        <x:v>38504</x:v>
      </x:c>
      <x:c r="D306" s="45" t="str">
        <x:v>Insurgentes Wtc</x:v>
      </x:c>
      <x:c r="E306" s="45" t="str">
        <x:v>Abierta</x:v>
      </x:c>
      <x:c r="F306" s="51" t="d">
        <x:v>2013-09-12T00:00:00.000Z</x:v>
      </x:c>
      <x:c r="G306" s="45" t="str">
        <x:v>Benito Juárez</x:v>
      </x:c>
      <x:c r="H306" s="45" t="str">
        <x:v>Ciudad De México</x:v>
      </x:c>
      <x:c r="I306" s="52" t="n">
        <x:v>19.3941855</x:v>
      </x:c>
      <x:c r="J306" s="52" t="n">
        <x:v>-99.1725</x:v>
      </x:c>
      <x:c r="K306" s="45" t="str">
        <x:v>Cafe</x:v>
      </x:c>
      <x:c r="L306" s="45" t="str">
        <x:v>Retail</x:v>
      </x:c>
      <x:c r="M306" s="45" t="str">
        <x:v>C2</x:v>
      </x:c>
      <x:c r="N306" s="45" t="str">
        <x:v>Sí</x:v>
      </x:c>
      <x:c r="O306" s="45" t="str">
        <x:v>Carlos Saldaña Avila</x:v>
      </x:c>
      <x:c r="P306" s="45" t="str">
        <x:v>Ops y Directorio Alsea · octubre 2026</x:v>
      </x:c>
      <x:c r="Q306" s="45" t="str">
        <x:v>Puntos proporcionados</x:v>
      </x:c>
      <x:c r="R306" s="45" t="str">
        <x:v>Abierta</x:v>
      </x:c>
      <x:c r="S306" s="45" t="str"/>
      <x:c r="T306" s="45" t="n">
        <x:f>IF(AND(OR(E306="Abierta",E306="Próxima Apertura"),N306="Sí",ISNUMBER(I306),ISNUMBER(J306),ABS(I306)&lt;=90,ABS(J306)&lt;=180),1,0)</x:f>
        <x:v>1</x:v>
      </x:c>
    </x:row>
    <x:row r="307" ht="23" customHeight="1">
      <x:c r="A307" s="45" t="str">
        <x:v>Centro Centro</x:v>
      </x:c>
      <x:c r="B307" s="45" t="str">
        <x:v>Carlos Saldaña Avila</x:v>
      </x:c>
      <x:c r="C307" s="50" t="str">
        <x:v>38635</x:v>
      </x:c>
      <x:c r="D307" s="45" t="str">
        <x:v>Punto Polanco</x:v>
      </x:c>
      <x:c r="E307" s="45" t="str">
        <x:v>Abierta</x:v>
      </x:c>
      <x:c r="F307" s="51" t="d">
        <x:v>2016-04-04T00:00:00.000Z</x:v>
      </x:c>
      <x:c r="G307" s="45" t="str">
        <x:v>Miguel Hidalgo</x:v>
      </x:c>
      <x:c r="H307" s="45" t="str">
        <x:v>Ciudad De México</x:v>
      </x:c>
      <x:c r="I307" s="52" t="n">
        <x:v>19.439671</x:v>
      </x:c>
      <x:c r="J307" s="52" t="n">
        <x:v>-99.1849209</x:v>
      </x:c>
      <x:c r="K307" s="45" t="str">
        <x:v>Cafe</x:v>
      </x:c>
      <x:c r="L307" s="45" t="str">
        <x:v>Office_Complex</x:v>
      </x:c>
      <x:c r="M307" s="45" t="str">
        <x:v>C1</x:v>
      </x:c>
      <x:c r="N307" s="45" t="str">
        <x:v>Sí</x:v>
      </x:c>
      <x:c r="O307" s="45" t="str">
        <x:v>Carlos Saldaña Avila</x:v>
      </x:c>
      <x:c r="P307" s="45" t="str">
        <x:v>Ops y Directorio Alsea · octubre 2026</x:v>
      </x:c>
      <x:c r="Q307" s="45" t="str">
        <x:v>Puntos proporcionados</x:v>
      </x:c>
      <x:c r="R307" s="45" t="str">
        <x:v>Abierta</x:v>
      </x:c>
      <x:c r="S307" s="45" t="str"/>
      <x:c r="T307" s="45" t="n">
        <x:f>IF(AND(OR(E307="Abierta",E307="Próxima Apertura"),N307="Sí",ISNUMBER(I307),ISNUMBER(J307),ABS(I307)&lt;=90,ABS(J307)&lt;=180),1,0)</x:f>
        <x:v>1</x:v>
      </x:c>
    </x:row>
    <x:row r="308" ht="23" customHeight="1">
      <x:c r="A308" s="45" t="str">
        <x:v>Centro Centro</x:v>
      </x:c>
      <x:c r="B308" s="45" t="str">
        <x:v>Carlos Saldaña Avila</x:v>
      </x:c>
      <x:c r="C308" s="50" t="str">
        <x:v>38858</x:v>
      </x:c>
      <x:c r="D308" s="45" t="str">
        <x:v>Torre de Pemex</x:v>
      </x:c>
      <x:c r="E308" s="45" t="str">
        <x:v>Abierta</x:v>
      </x:c>
      <x:c r="F308" s="51" t="d">
        <x:v>2019-02-18T00:00:00.000Z</x:v>
      </x:c>
      <x:c r="G308" s="45" t="str">
        <x:v>Miguel Hidalgo</x:v>
      </x:c>
      <x:c r="H308" s="45" t="str">
        <x:v>Ciudad De México</x:v>
      </x:c>
      <x:c r="I308" s="52" t="n">
        <x:v>19.4394156</x:v>
      </x:c>
      <x:c r="J308" s="52" t="n">
        <x:v>-99.1762684</x:v>
      </x:c>
      <x:c r="K308" s="45" t="str">
        <x:v>Kiosko</x:v>
      </x:c>
      <x:c r="L308" s="45" t="str">
        <x:v>Office_Complex</x:v>
      </x:c>
      <x:c r="M308" s="45" t="str">
        <x:v>C1</x:v>
      </x:c>
      <x:c r="N308" s="45" t="str">
        <x:v>Sí</x:v>
      </x:c>
      <x:c r="O308" s="45" t="str">
        <x:v>Carlos Saldaña Avila</x:v>
      </x:c>
      <x:c r="P308" s="45" t="str">
        <x:v>Ops y Directorio Alsea · octubre 2026</x:v>
      </x:c>
      <x:c r="Q308" s="45" t="str">
        <x:v>Puntos proporcionados</x:v>
      </x:c>
      <x:c r="R308" s="45" t="str">
        <x:v>Abierta</x:v>
      </x:c>
      <x:c r="S308" s="45" t="str"/>
      <x:c r="T308" s="45" t="n">
        <x:f>IF(AND(OR(E308="Abierta",E308="Próxima Apertura"),N308="Sí",ISNUMBER(I308),ISNUMBER(J308),ABS(I308)&lt;=90,ABS(J308)&lt;=180),1,0)</x:f>
        <x:v>1</x:v>
      </x:c>
    </x:row>
    <x:row r="309" ht="23" customHeight="1">
      <x:c r="A309" s="45" t="str">
        <x:v>Centro Centro</x:v>
      </x:c>
      <x:c r="B309" s="45" t="str">
        <x:v>Guadalupe Ibarra Martinez</x:v>
      </x:c>
      <x:c r="C309" s="50" t="str">
        <x:v>38101</x:v>
      </x:c>
      <x:c r="D309" s="45" t="str">
        <x:v>Angel</x:v>
      </x:c>
      <x:c r="E309" s="45" t="str">
        <x:v>Abierta</x:v>
      </x:c>
      <x:c r="F309" s="51" t="d">
        <x:v>2002-09-06T00:00:00.000Z</x:v>
      </x:c>
      <x:c r="G309" s="45" t="str">
        <x:v>Cuauhtémoc</x:v>
      </x:c>
      <x:c r="H309" s="45" t="str">
        <x:v>Ciudad De México</x:v>
      </x:c>
      <x:c r="I309" s="52" t="n">
        <x:v>19.427766</x:v>
      </x:c>
      <x:c r="J309" s="52" t="n">
        <x:v>-99.166689</x:v>
      </x:c>
      <x:c r="K309" s="45" t="str">
        <x:v>Cafe</x:v>
      </x:c>
      <x:c r="L309" s="45" t="str">
        <x:v>Retail</x:v>
      </x:c>
      <x:c r="M309" s="45" t="str">
        <x:v>C2</x:v>
      </x:c>
      <x:c r="N309" s="45" t="str">
        <x:v>Sí</x:v>
      </x:c>
      <x:c r="O309" s="45" t="str">
        <x:v>Guadalupe Ibarra Martinez</x:v>
      </x:c>
      <x:c r="P309" s="45" t="str">
        <x:v>Ops y Directorio Alsea · octubre 2026</x:v>
      </x:c>
      <x:c r="Q309" s="45" t="str">
        <x:v>Puntos proporcionados</x:v>
      </x:c>
      <x:c r="R309" s="45" t="str">
        <x:v>Abierta</x:v>
      </x:c>
      <x:c r="S309" s="45" t="str"/>
      <x:c r="T309" s="45" t="n">
        <x:f>IF(AND(OR(E309="Abierta",E309="Próxima Apertura"),N309="Sí",ISNUMBER(I309),ISNUMBER(J309),ABS(I309)&lt;=90,ABS(J309)&lt;=180),1,0)</x:f>
        <x:v>1</x:v>
      </x:c>
    </x:row>
    <x:row r="310" ht="23" customHeight="1">
      <x:c r="A310" s="45" t="str">
        <x:v>Centro Centro</x:v>
      </x:c>
      <x:c r="B310" s="45" t="str">
        <x:v>Guadalupe Ibarra Martinez</x:v>
      </x:c>
      <x:c r="C310" s="50" t="str">
        <x:v>38240</x:v>
      </x:c>
      <x:c r="D310" s="45" t="str">
        <x:v>Amberes</x:v>
      </x:c>
      <x:c r="E310" s="45" t="str">
        <x:v>Cierre Temporal</x:v>
      </x:c>
      <x:c r="F310" s="51" t="d">
        <x:v>2007-07-17T00:00:00.000Z</x:v>
      </x:c>
      <x:c r="G310" s="45" t="str">
        <x:v>Cuauhtémoc</x:v>
      </x:c>
      <x:c r="H310" s="45" t="str">
        <x:v>Ciudad De México</x:v>
      </x:c>
      <x:c r="I310" s="52" t="n">
        <x:v>19.4271694</x:v>
      </x:c>
      <x:c r="J310" s="52" t="n">
        <x:v>-99.1662973</x:v>
      </x:c>
      <x:c r="K310" s="45" t="str">
        <x:v>Cafe</x:v>
      </x:c>
      <x:c r="L310" s="45" t="str">
        <x:v>Retail</x:v>
      </x:c>
      <x:c r="M310" s="45" t="str">
        <x:v>C1</x:v>
      </x:c>
      <x:c r="N310" s="45" t="str">
        <x:v>No</x:v>
      </x:c>
      <x:c r="O310" s="45" t="str">
        <x:v>Guadalupe Ibarra Martinez</x:v>
      </x:c>
      <x:c r="P310" s="45" t="str">
        <x:v>Ops y Directorio Alsea · octubre 2026</x:v>
      </x:c>
      <x:c r="Q310" s="45" t="str">
        <x:v>Puntos proporcionados</x:v>
      </x:c>
      <x:c r="R310" s="45" t="str">
        <x:v>Abierta</x:v>
      </x:c>
      <x:c r="S310" s="45" t="str">
        <x:v>Ops: Cierre Temporal. Alsea: Abierta. Se conserva el estatus operativo más específico.</x:v>
      </x:c>
      <x:c r="T310" s="45" t="n">
        <x:f>IF(AND(OR(E310="Abierta",E310="Próxima Apertura"),N310="Sí",ISNUMBER(I310),ISNUMBER(J310),ABS(I310)&lt;=90,ABS(J310)&lt;=180),1,0)</x:f>
        <x:v>0</x:v>
      </x:c>
    </x:row>
    <x:row r="311" ht="23" customHeight="1">
      <x:c r="A311" s="45" t="str">
        <x:v>Centro Centro</x:v>
      </x:c>
      <x:c r="B311" s="45" t="str">
        <x:v>Guadalupe Ibarra Martinez</x:v>
      </x:c>
      <x:c r="C311" s="50" t="str">
        <x:v>38272</x:v>
      </x:c>
      <x:c r="D311" s="45" t="str">
        <x:v>Londres</x:v>
      </x:c>
      <x:c r="E311" s="45" t="str">
        <x:v>Abierta</x:v>
      </x:c>
      <x:c r="F311" s="51" t="d">
        <x:v>2007-11-16T00:00:00.000Z</x:v>
      </x:c>
      <x:c r="G311" s="45" t="str">
        <x:v>Cuauhtémoc</x:v>
      </x:c>
      <x:c r="H311" s="45" t="str">
        <x:v>Ciudad De México</x:v>
      </x:c>
      <x:c r="I311" s="52" t="n">
        <x:v>19.4257673</x:v>
      </x:c>
      <x:c r="J311" s="52" t="n">
        <x:v>-99.1636867</x:v>
      </x:c>
      <x:c r="K311" s="45" t="str">
        <x:v>Cafe</x:v>
      </x:c>
      <x:c r="L311" s="45" t="str">
        <x:v>Retail</x:v>
      </x:c>
      <x:c r="M311" s="45" t="str">
        <x:v>C2</x:v>
      </x:c>
      <x:c r="N311" s="45" t="str">
        <x:v>Sí</x:v>
      </x:c>
      <x:c r="O311" s="45" t="str">
        <x:v>Guadalupe Ibarra Martinez</x:v>
      </x:c>
      <x:c r="P311" s="45" t="str">
        <x:v>Ops y Directorio Alsea · octubre 2026</x:v>
      </x:c>
      <x:c r="Q311" s="45" t="str">
        <x:v>Puntos proporcionados</x:v>
      </x:c>
      <x:c r="R311" s="45" t="str">
        <x:v>Abierta</x:v>
      </x:c>
      <x:c r="S311" s="45" t="str"/>
      <x:c r="T311" s="45" t="n">
        <x:f>IF(AND(OR(E311="Abierta",E311="Próxima Apertura"),N311="Sí",ISNUMBER(I311),ISNUMBER(J311),ABS(I311)&lt;=90,ABS(J311)&lt;=180),1,0)</x:f>
        <x:v>1</x:v>
      </x:c>
    </x:row>
    <x:row r="312" ht="23" customHeight="1">
      <x:c r="A312" s="45" t="str">
        <x:v>Centro Centro</x:v>
      </x:c>
      <x:c r="B312" s="45" t="str">
        <x:v>Guadalupe Ibarra Martinez</x:v>
      </x:c>
      <x:c r="C312" s="50" t="str">
        <x:v>38285</x:v>
      </x:c>
      <x:c r="D312" s="45" t="str">
        <x:v>Reforma 222</x:v>
      </x:c>
      <x:c r="E312" s="45" t="str">
        <x:v>Abierta</x:v>
      </x:c>
      <x:c r="F312" s="51" t="d">
        <x:v>2007-12-14T00:00:00.000Z</x:v>
      </x:c>
      <x:c r="G312" s="45" t="str">
        <x:v>Cuauhtémoc</x:v>
      </x:c>
      <x:c r="H312" s="45" t="str">
        <x:v>Ciudad De México</x:v>
      </x:c>
      <x:c r="I312" s="52" t="n">
        <x:v>19.4286351</x:v>
      </x:c>
      <x:c r="J312" s="52" t="n">
        <x:v>-99.1612261</x:v>
      </x:c>
      <x:c r="K312" s="45" t="str">
        <x:v>Cafe</x:v>
      </x:c>
      <x:c r="L312" s="45" t="str">
        <x:v>Retail</x:v>
      </x:c>
      <x:c r="M312" s="45" t="str">
        <x:v>C2</x:v>
      </x:c>
      <x:c r="N312" s="45" t="str">
        <x:v>Sí</x:v>
      </x:c>
      <x:c r="O312" s="45" t="str">
        <x:v>Guadalupe Ibarra Martinez</x:v>
      </x:c>
      <x:c r="P312" s="45" t="str">
        <x:v>Ops y Directorio Alsea · octubre 2026</x:v>
      </x:c>
      <x:c r="Q312" s="45" t="str">
        <x:v>Puntos proporcionados</x:v>
      </x:c>
      <x:c r="R312" s="45" t="str">
        <x:v>Abierta</x:v>
      </x:c>
      <x:c r="S312" s="45" t="str"/>
      <x:c r="T312" s="45" t="n">
        <x:f>IF(AND(OR(E312="Abierta",E312="Próxima Apertura"),N312="Sí",ISNUMBER(I312),ISNUMBER(J312),ABS(I312)&lt;=90,ABS(J312)&lt;=180),1,0)</x:f>
        <x:v>1</x:v>
      </x:c>
    </x:row>
    <x:row r="313" ht="23" customHeight="1">
      <x:c r="A313" s="45" t="str">
        <x:v>Centro Centro</x:v>
      </x:c>
      <x:c r="B313" s="45" t="str">
        <x:v>Guadalupe Ibarra Martinez</x:v>
      </x:c>
      <x:c r="C313" s="50" t="str">
        <x:v>38291</x:v>
      </x:c>
      <x:c r="D313" s="45" t="str">
        <x:v>Reforma 222 II</x:v>
      </x:c>
      <x:c r="E313" s="45" t="str">
        <x:v>Abierta</x:v>
      </x:c>
      <x:c r="F313" s="51" t="d">
        <x:v>2007-12-21T00:00:00.000Z</x:v>
      </x:c>
      <x:c r="G313" s="45" t="str">
        <x:v>Cuauhtémoc</x:v>
      </x:c>
      <x:c r="H313" s="45" t="str">
        <x:v>Ciudad De México</x:v>
      </x:c>
      <x:c r="I313" s="52" t="n">
        <x:v>19.4289082</x:v>
      </x:c>
      <x:c r="J313" s="52" t="n">
        <x:v>-99.1619098</x:v>
      </x:c>
      <x:c r="K313" s="45" t="str">
        <x:v>Cafe</x:v>
      </x:c>
      <x:c r="L313" s="45" t="str">
        <x:v>Retail</x:v>
      </x:c>
      <x:c r="M313" s="45" t="str">
        <x:v>C2</x:v>
      </x:c>
      <x:c r="N313" s="45" t="str">
        <x:v>Sí</x:v>
      </x:c>
      <x:c r="O313" s="45" t="str">
        <x:v>Guadalupe Ibarra Martinez</x:v>
      </x:c>
      <x:c r="P313" s="45" t="str">
        <x:v>Ops y Directorio Alsea · octubre 2026</x:v>
      </x:c>
      <x:c r="Q313" s="45" t="str">
        <x:v>Puntos proporcionados</x:v>
      </x:c>
      <x:c r="R313" s="45" t="str">
        <x:v>Abierta</x:v>
      </x:c>
      <x:c r="S313" s="45" t="str"/>
      <x:c r="T313" s="45" t="n">
        <x:f>IF(AND(OR(E313="Abierta",E313="Próxima Apertura"),N313="Sí",ISNUMBER(I313),ISNUMBER(J313),ABS(I313)&lt;=90,ABS(J313)&lt;=180),1,0)</x:f>
        <x:v>1</x:v>
      </x:c>
    </x:row>
    <x:row r="314" ht="23" customHeight="1">
      <x:c r="A314" s="45" t="str">
        <x:v>Centro Centro</x:v>
      </x:c>
      <x:c r="B314" s="45" t="str">
        <x:v>Guadalupe Ibarra Martinez</x:v>
      </x:c>
      <x:c r="C314" s="50" t="str">
        <x:v>38389</x:v>
      </x:c>
      <x:c r="D314" s="45" t="str">
        <x:v>Rio Marne</x:v>
      </x:c>
      <x:c r="E314" s="45" t="str">
        <x:v>Abierta</x:v>
      </x:c>
      <x:c r="F314" s="51" t="d">
        <x:v>2010-10-01T00:00:00.000Z</x:v>
      </x:c>
      <x:c r="G314" s="45" t="str">
        <x:v>Cuauhtémoc</x:v>
      </x:c>
      <x:c r="H314" s="45" t="str">
        <x:v>Ciudad De México</x:v>
      </x:c>
      <x:c r="I314" s="52" t="n">
        <x:v>19.4305827</x:v>
      </x:c>
      <x:c r="J314" s="52" t="n">
        <x:v>-99.1611966</x:v>
      </x:c>
      <x:c r="K314" s="45" t="str">
        <x:v>Cafe</x:v>
      </x:c>
      <x:c r="L314" s="45" t="str">
        <x:v>Office_Complex</x:v>
      </x:c>
      <x:c r="M314" s="45" t="str">
        <x:v>C1</x:v>
      </x:c>
      <x:c r="N314" s="45" t="str">
        <x:v>Sí</x:v>
      </x:c>
      <x:c r="O314" s="45" t="str">
        <x:v>Guadalupe Ibarra Martinez</x:v>
      </x:c>
      <x:c r="P314" s="45" t="str">
        <x:v>Ops y Directorio Alsea · octubre 2026</x:v>
      </x:c>
      <x:c r="Q314" s="45" t="str">
        <x:v>Puntos proporcionados</x:v>
      </x:c>
      <x:c r="R314" s="45" t="str">
        <x:v>Abierta</x:v>
      </x:c>
      <x:c r="S314" s="45" t="str"/>
      <x:c r="T314" s="45" t="n">
        <x:f>IF(AND(OR(E314="Abierta",E314="Próxima Apertura"),N314="Sí",ISNUMBER(I314),ISNUMBER(J314),ABS(I314)&lt;=90,ABS(J314)&lt;=180),1,0)</x:f>
        <x:v>1</x:v>
      </x:c>
    </x:row>
    <x:row r="315" ht="23" customHeight="1">
      <x:c r="A315" s="45" t="str">
        <x:v>Centro Centro</x:v>
      </x:c>
      <x:c r="B315" s="45" t="str">
        <x:v>Guadalupe Ibarra Martinez</x:v>
      </x:c>
      <x:c r="C315" s="50" t="str">
        <x:v>38404</x:v>
      </x:c>
      <x:c r="D315" s="45" t="str">
        <x:v>Varsovia</x:v>
      </x:c>
      <x:c r="E315" s="45" t="str">
        <x:v>Abierta</x:v>
      </x:c>
      <x:c r="F315" s="51" t="d">
        <x:v>2011-01-03T00:00:00.000Z</x:v>
      </x:c>
      <x:c r="G315" s="45" t="str">
        <x:v>Cuauhtémoc</x:v>
      </x:c>
      <x:c r="H315" s="45" t="str">
        <x:v>Ciudad De México</x:v>
      </x:c>
      <x:c r="I315" s="52" t="n">
        <x:v>19.426203</x:v>
      </x:c>
      <x:c r="J315" s="52" t="n">
        <x:v>-99.169284</x:v>
      </x:c>
      <x:c r="K315" s="45" t="str">
        <x:v>Cafe</x:v>
      </x:c>
      <x:c r="L315" s="45" t="str">
        <x:v>Retail</x:v>
      </x:c>
      <x:c r="M315" s="45" t="str">
        <x:v>C1</x:v>
      </x:c>
      <x:c r="N315" s="45" t="str">
        <x:v>Sí</x:v>
      </x:c>
      <x:c r="O315" s="45" t="str">
        <x:v>Guadalupe Ibarra Martinez</x:v>
      </x:c>
      <x:c r="P315" s="45" t="str">
        <x:v>Ops y Directorio Alsea · octubre 2026</x:v>
      </x:c>
      <x:c r="Q315" s="45" t="str">
        <x:v>Puntos proporcionados</x:v>
      </x:c>
      <x:c r="R315" s="45" t="str">
        <x:v>Abierta</x:v>
      </x:c>
      <x:c r="S315" s="45" t="str"/>
      <x:c r="T315" s="45" t="n">
        <x:f>IF(AND(OR(E315="Abierta",E315="Próxima Apertura"),N315="Sí",ISNUMBER(I315),ISNUMBER(J315),ABS(I315)&lt;=90,ABS(J315)&lt;=180),1,0)</x:f>
        <x:v>1</x:v>
      </x:c>
    </x:row>
    <x:row r="316" ht="23" customHeight="1">
      <x:c r="A316" s="45" t="str">
        <x:v>Centro Centro</x:v>
      </x:c>
      <x:c r="B316" s="45" t="str">
        <x:v>Guadalupe Ibarra Martinez</x:v>
      </x:c>
      <x:c r="C316" s="50" t="str">
        <x:v>38422</x:v>
      </x:c>
      <x:c r="D316" s="45" t="str">
        <x:v>Corporativo HSBC</x:v>
      </x:c>
      <x:c r="E316" s="45" t="str">
        <x:v>Abierta</x:v>
      </x:c>
      <x:c r="F316" s="51" t="d">
        <x:v>2011-07-08T00:00:00.000Z</x:v>
      </x:c>
      <x:c r="G316" s="45" t="str">
        <x:v>Cuauhtémoc</x:v>
      </x:c>
      <x:c r="H316" s="45" t="str">
        <x:v>Ciudad De México</x:v>
      </x:c>
      <x:c r="I316" s="52" t="n">
        <x:v>19.4277552</x:v>
      </x:c>
      <x:c r="J316" s="52" t="n">
        <x:v>-99.1685152</x:v>
      </x:c>
      <x:c r="K316" s="45" t="str">
        <x:v>Cafe</x:v>
      </x:c>
      <x:c r="L316" s="45" t="str">
        <x:v>Office_Complex</x:v>
      </x:c>
      <x:c r="M316" s="45" t="str">
        <x:v>C2</x:v>
      </x:c>
      <x:c r="N316" s="45" t="str">
        <x:v>Sí</x:v>
      </x:c>
      <x:c r="O316" s="45" t="str">
        <x:v>Guadalupe Ibarra Martinez</x:v>
      </x:c>
      <x:c r="P316" s="45" t="str">
        <x:v>Ops y Directorio Alsea · octubre 2026</x:v>
      </x:c>
      <x:c r="Q316" s="45" t="str">
        <x:v>Puntos proporcionados</x:v>
      </x:c>
      <x:c r="R316" s="45" t="str">
        <x:v>Abierta</x:v>
      </x:c>
      <x:c r="S316" s="45" t="str"/>
      <x:c r="T316" s="45" t="n">
        <x:f>IF(AND(OR(E316="Abierta",E316="Próxima Apertura"),N316="Sí",ISNUMBER(I316),ISNUMBER(J316),ABS(I316)&lt;=90,ABS(J316)&lt;=180),1,0)</x:f>
        <x:v>1</x:v>
      </x:c>
    </x:row>
    <x:row r="317" ht="23" customHeight="1">
      <x:c r="A317" s="45" t="str">
        <x:v>Centro Centro</x:v>
      </x:c>
      <x:c r="B317" s="45" t="str">
        <x:v>Guadalupe Ibarra Martinez</x:v>
      </x:c>
      <x:c r="C317" s="50" t="str">
        <x:v>38433</x:v>
      </x:c>
      <x:c r="D317" s="45" t="str">
        <x:v>Bolsa Mexicana de Valores</x:v>
      </x:c>
      <x:c r="E317" s="45" t="str">
        <x:v>Abierta</x:v>
      </x:c>
      <x:c r="F317" s="51" t="d">
        <x:v>2011-12-08T00:00:00.000Z</x:v>
      </x:c>
      <x:c r="G317" s="45" t="str">
        <x:v>Cuauhtémoc</x:v>
      </x:c>
      <x:c r="H317" s="45" t="str">
        <x:v>Ciudad De México</x:v>
      </x:c>
      <x:c r="I317" s="52" t="n">
        <x:v>19.4294663</x:v>
      </x:c>
      <x:c r="J317" s="52" t="n">
        <x:v>-99.1642239</x:v>
      </x:c>
      <x:c r="K317" s="45" t="str">
        <x:v>Cafe</x:v>
      </x:c>
      <x:c r="L317" s="45" t="str">
        <x:v>Office_Complex</x:v>
      </x:c>
      <x:c r="M317" s="45" t="str">
        <x:v>C2</x:v>
      </x:c>
      <x:c r="N317" s="45" t="str">
        <x:v>Sí</x:v>
      </x:c>
      <x:c r="O317" s="45" t="str">
        <x:v>Guadalupe Ibarra Martinez</x:v>
      </x:c>
      <x:c r="P317" s="45" t="str">
        <x:v>Ops y Directorio Alsea · octubre 2026</x:v>
      </x:c>
      <x:c r="Q317" s="45" t="str">
        <x:v>Puntos proporcionados</x:v>
      </x:c>
      <x:c r="R317" s="45" t="str">
        <x:v>Abierta</x:v>
      </x:c>
      <x:c r="S317" s="45" t="str"/>
      <x:c r="T317" s="45" t="n">
        <x:f>IF(AND(OR(E317="Abierta",E317="Próxima Apertura"),N317="Sí",ISNUMBER(I317),ISNUMBER(J317),ABS(I317)&lt;=90,ABS(J317)&lt;=180),1,0)</x:f>
        <x:v>1</x:v>
      </x:c>
    </x:row>
    <x:row r="318" ht="23" customHeight="1">
      <x:c r="A318" s="45" t="str">
        <x:v>Centro Centro</x:v>
      </x:c>
      <x:c r="B318" s="45" t="str">
        <x:v>Guadalupe Ibarra Martinez</x:v>
      </x:c>
      <x:c r="C318" s="50" t="str">
        <x:v>38555</x:v>
      </x:c>
      <x:c r="D318" s="45" t="str">
        <x:v>Capital Reforma</x:v>
      </x:c>
      <x:c r="E318" s="45" t="str">
        <x:v>Abierta</x:v>
      </x:c>
      <x:c r="F318" s="51" t="d">
        <x:v>2014-09-26T00:00:00.000Z</x:v>
      </x:c>
      <x:c r="G318" s="45" t="str">
        <x:v>Cuauhtémoc</x:v>
      </x:c>
      <x:c r="H318" s="45" t="str">
        <x:v>Ciudad De México</x:v>
      </x:c>
      <x:c r="I318" s="52" t="n">
        <x:v>19.428615</x:v>
      </x:c>
      <x:c r="J318" s="52" t="n">
        <x:v>-99.163096</x:v>
      </x:c>
      <x:c r="K318" s="45" t="str">
        <x:v>Cafe</x:v>
      </x:c>
      <x:c r="L318" s="45" t="str">
        <x:v>Office_Complex</x:v>
      </x:c>
      <x:c r="M318" s="45" t="str">
        <x:v>C2</x:v>
      </x:c>
      <x:c r="N318" s="45" t="str">
        <x:v>Sí</x:v>
      </x:c>
      <x:c r="O318" s="45" t="str">
        <x:v>Guadalupe Ibarra Martinez</x:v>
      </x:c>
      <x:c r="P318" s="45" t="str">
        <x:v>Ops y Directorio Alsea · octubre 2026</x:v>
      </x:c>
      <x:c r="Q318" s="45" t="str">
        <x:v>Puntos proporcionados</x:v>
      </x:c>
      <x:c r="R318" s="45" t="str">
        <x:v>Abierta</x:v>
      </x:c>
      <x:c r="S318" s="45" t="str"/>
      <x:c r="T318" s="45" t="n">
        <x:f>IF(AND(OR(E318="Abierta",E318="Próxima Apertura"),N318="Sí",ISNUMBER(I318),ISNUMBER(J318),ABS(I318)&lt;=90,ABS(J318)&lt;=180),1,0)</x:f>
        <x:v>1</x:v>
      </x:c>
    </x:row>
    <x:row r="319" ht="23" customHeight="1">
      <x:c r="A319" s="45" t="str">
        <x:v>Centro Centro</x:v>
      </x:c>
      <x:c r="B319" s="45" t="str">
        <x:v>Guadalupe Ibarra Martinez</x:v>
      </x:c>
      <x:c r="C319" s="50" t="str">
        <x:v>38613</x:v>
      </x:c>
      <x:c r="D319" s="45" t="str">
        <x:v>Xola</x:v>
      </x:c>
      <x:c r="E319" s="45" t="str">
        <x:v>Cierre Temporal</x:v>
      </x:c>
      <x:c r="F319" s="51" t="d">
        <x:v>2015-09-27T00:00:00.000Z</x:v>
      </x:c>
      <x:c r="G319" s="45" t="str">
        <x:v>Benito Juárez</x:v>
      </x:c>
      <x:c r="H319" s="45" t="str">
        <x:v>Ciudad De México</x:v>
      </x:c>
      <x:c r="I319" s="52" t="n">
        <x:v>19.3957998</x:v>
      </x:c>
      <x:c r="J319" s="52" t="n">
        <x:v>-99.1569466</x:v>
      </x:c>
      <x:c r="K319" s="45" t="str">
        <x:v>Drive_Thru</x:v>
      </x:c>
      <x:c r="L319" s="45" t="str">
        <x:v>Transfers</x:v>
      </x:c>
      <x:c r="M319" s="45" t="str">
        <x:v>C2</x:v>
      </x:c>
      <x:c r="N319" s="45" t="str">
        <x:v>No</x:v>
      </x:c>
      <x:c r="O319" s="45" t="str">
        <x:v>Guadalupe Ibarra Martinez</x:v>
      </x:c>
      <x:c r="P319" s="45" t="str">
        <x:v>Ops y Directorio Alsea · octubre 2026</x:v>
      </x:c>
      <x:c r="Q319" s="45" t="str">
        <x:v>Puntos proporcionados</x:v>
      </x:c>
      <x:c r="R319" s="45" t="str">
        <x:v>Abierta</x:v>
      </x:c>
      <x:c r="S319" s="45" t="str">
        <x:v>Ops: Cierre Temporal. Alsea: Abierta. Se conserva el estatus operativo más específico.</x:v>
      </x:c>
      <x:c r="T319" s="45" t="n">
        <x:f>IF(AND(OR(E319="Abierta",E319="Próxima Apertura"),N319="Sí",ISNUMBER(I319),ISNUMBER(J319),ABS(I319)&lt;=90,ABS(J319)&lt;=180),1,0)</x:f>
        <x:v>0</x:v>
      </x:c>
    </x:row>
    <x:row r="320" ht="23" customHeight="1">
      <x:c r="A320" s="45" t="str">
        <x:v>Centro Centro</x:v>
      </x:c>
      <x:c r="B320" s="45" t="str">
        <x:v>Guadalupe Ibarra Martinez</x:v>
      </x:c>
      <x:c r="C320" s="50" t="str">
        <x:v>38654</x:v>
      </x:c>
      <x:c r="D320" s="45" t="str">
        <x:v>Reforma 180</x:v>
      </x:c>
      <x:c r="E320" s="45" t="str">
        <x:v>Abierta</x:v>
      </x:c>
      <x:c r="F320" s="51" t="d">
        <x:v>2016-06-26T00:00:00.000Z</x:v>
      </x:c>
      <x:c r="G320" s="45" t="str">
        <x:v>Cuauhtémoc</x:v>
      </x:c>
      <x:c r="H320" s="45" t="str">
        <x:v>Ciudad De México</x:v>
      </x:c>
      <x:c r="I320" s="52" t="n">
        <x:v>19.429921</x:v>
      </x:c>
      <x:c r="J320" s="52" t="n">
        <x:v>-99.160813</x:v>
      </x:c>
      <x:c r="K320" s="45" t="str">
        <x:v>Cafe</x:v>
      </x:c>
      <x:c r="L320" s="45" t="str">
        <x:v>Office_Complex</x:v>
      </x:c>
      <x:c r="M320" s="45" t="str">
        <x:v>C2</x:v>
      </x:c>
      <x:c r="N320" s="45" t="str">
        <x:v>Sí</x:v>
      </x:c>
      <x:c r="O320" s="45" t="str">
        <x:v>Guadalupe Ibarra Martinez</x:v>
      </x:c>
      <x:c r="P320" s="45" t="str">
        <x:v>Ops y Directorio Alsea · octubre 2026</x:v>
      </x:c>
      <x:c r="Q320" s="45" t="str">
        <x:v>Puntos proporcionados</x:v>
      </x:c>
      <x:c r="R320" s="45" t="str">
        <x:v>Abierta</x:v>
      </x:c>
      <x:c r="S320" s="45" t="str"/>
      <x:c r="T320" s="45" t="n">
        <x:f>IF(AND(OR(E320="Abierta",E320="Próxima Apertura"),N320="Sí",ISNUMBER(I320),ISNUMBER(J320),ABS(I320)&lt;=90,ABS(J320)&lt;=180),1,0)</x:f>
        <x:v>1</x:v>
      </x:c>
    </x:row>
    <x:row r="321" ht="23" customHeight="1">
      <x:c r="A321" s="45" t="str">
        <x:v>Centro Centro</x:v>
      </x:c>
      <x:c r="B321" s="45" t="str">
        <x:v>Guadalupe Ibarra Martinez</x:v>
      </x:c>
      <x:c r="C321" s="50" t="str">
        <x:v>38681</x:v>
      </x:c>
      <x:c r="D321" s="45" t="str">
        <x:v>Torre Diana</x:v>
      </x:c>
      <x:c r="E321" s="45" t="str">
        <x:v>Abierta</x:v>
      </x:c>
      <x:c r="F321" s="51" t="d">
        <x:v>2016-10-01T00:00:00.000Z</x:v>
      </x:c>
      <x:c r="G321" s="45" t="str">
        <x:v>Cuauhtémoc</x:v>
      </x:c>
      <x:c r="H321" s="45" t="str">
        <x:v>Ciudad De México</x:v>
      </x:c>
      <x:c r="I321" s="52" t="n">
        <x:v>19.426004</x:v>
      </x:c>
      <x:c r="J321" s="52" t="n">
        <x:v>-99.172188</x:v>
      </x:c>
      <x:c r="K321" s="45" t="str">
        <x:v>Cafe</x:v>
      </x:c>
      <x:c r="L321" s="45" t="str">
        <x:v>Office_Complex</x:v>
      </x:c>
      <x:c r="M321" s="45" t="str">
        <x:v>C2</x:v>
      </x:c>
      <x:c r="N321" s="45" t="str">
        <x:v>Sí</x:v>
      </x:c>
      <x:c r="O321" s="45" t="str">
        <x:v>Guadalupe Ibarra Martinez</x:v>
      </x:c>
      <x:c r="P321" s="45" t="str">
        <x:v>Ops y Directorio Alsea · octubre 2026</x:v>
      </x:c>
      <x:c r="Q321" s="45" t="str">
        <x:v>Puntos proporcionados</x:v>
      </x:c>
      <x:c r="R321" s="45" t="str">
        <x:v>Abierta</x:v>
      </x:c>
      <x:c r="S321" s="45" t="str"/>
      <x:c r="T321" s="45" t="n">
        <x:f>IF(AND(OR(E321="Abierta",E321="Próxima Apertura"),N321="Sí",ISNUMBER(I321),ISNUMBER(J321),ABS(I321)&lt;=90,ABS(J321)&lt;=180),1,0)</x:f>
        <x:v>1</x:v>
      </x:c>
    </x:row>
    <x:row r="322" ht="23" customHeight="1">
      <x:c r="A322" s="45" t="str">
        <x:v>Centro Centro</x:v>
      </x:c>
      <x:c r="B322" s="45" t="str">
        <x:v>Guadalupe Ibarra Martinez</x:v>
      </x:c>
      <x:c r="C322" s="50" t="str">
        <x:v>43188</x:v>
      </x:c>
      <x:c r="D322" s="45" t="str">
        <x:v>Insurgentes Tehuantepec</x:v>
      </x:c>
      <x:c r="E322" s="45" t="str">
        <x:v>Abierta</x:v>
      </x:c>
      <x:c r="F322" s="51" t="d">
        <x:v>2026-01-29T00:00:00.000Z</x:v>
      </x:c>
      <x:c r="G322" s="45" t="str">
        <x:v>Cuauhtémoc</x:v>
      </x:c>
      <x:c r="H322" s="45" t="str">
        <x:v>Ciudad De México</x:v>
      </x:c>
      <x:c r="I322" s="52" t="n">
        <x:v>19.40227</x:v>
      </x:c>
      <x:c r="J322" s="52" t="n">
        <x:v>-99.169743</x:v>
      </x:c>
      <x:c r="K322" s="45" t="str">
        <x:v>Drive_Thru</x:v>
      </x:c>
      <x:c r="L322" s="45" t="str">
        <x:v>Transfers</x:v>
      </x:c>
      <x:c r="M322" s="45" t="str">
        <x:v>C2</x:v>
      </x:c>
      <x:c r="N322" s="45" t="str">
        <x:v>Sí</x:v>
      </x:c>
      <x:c r="O322" s="45" t="str">
        <x:v>Guadalupe Ibarra Martinez</x:v>
      </x:c>
      <x:c r="P322" s="45" t="str">
        <x:v>Ops y Directorio Alsea · octubre 2026</x:v>
      </x:c>
      <x:c r="Q322" s="45" t="str">
        <x:v>Puntos proporcionados</x:v>
      </x:c>
      <x:c r="R322" s="45" t="str">
        <x:v>Abierta</x:v>
      </x:c>
      <x:c r="S322" s="45" t="str"/>
      <x:c r="T322" s="45" t="n">
        <x:f>IF(AND(OR(E322="Abierta",E322="Próxima Apertura"),N322="Sí",ISNUMBER(I322),ISNUMBER(J322),ABS(I322)&lt;=90,ABS(J322)&lt;=180),1,0)</x:f>
        <x:v>1</x:v>
      </x:c>
    </x:row>
    <x:row r="323" ht="23" customHeight="1">
      <x:c r="A323" s="45" t="str">
        <x:v>Centro Centro</x:v>
      </x:c>
      <x:c r="B323" s="45" t="str">
        <x:v>Guadalupe Ibarra Martinez</x:v>
      </x:c>
      <x:c r="C323" s="50" t="str">
        <x:v>43248</x:v>
      </x:c>
      <x:c r="D323" s="45" t="str">
        <x:v>Buenavista</x:v>
      </x:c>
      <x:c r="E323" s="45" t="str">
        <x:v>Abierta</x:v>
      </x:c>
      <x:c r="F323" s="51" t="d">
        <x:v>2026-09-26T00:00:00.000Z</x:v>
      </x:c>
      <x:c r="G323" s="45" t="str">
        <x:v>Cuauhtémoc</x:v>
      </x:c>
      <x:c r="H323" s="45" t="str">
        <x:v>Ciudad De México</x:v>
      </x:c>
      <x:c r="I323" s="52" t="n">
        <x:v>19.441468</x:v>
      </x:c>
      <x:c r="J323" s="52" t="n">
        <x:v>-99.155199</x:v>
      </x:c>
      <x:c r="K323" s="45" t="str">
        <x:v>Cafe</x:v>
      </x:c>
      <x:c r="L323" s="45" t="str">
        <x:v>Office_Complex</x:v>
      </x:c>
      <x:c r="M323" s="45" t="str">
        <x:v>C1</x:v>
      </x:c>
      <x:c r="N323" s="45" t="str">
        <x:v>Sí</x:v>
      </x:c>
      <x:c r="O323" s="45" t="str">
        <x:v>Guadalupe Ibarra Martinez</x:v>
      </x:c>
      <x:c r="P323" s="45" t="str">
        <x:v>Ops y Directorio Alsea · octubre 2026</x:v>
      </x:c>
      <x:c r="Q323" s="45" t="str">
        <x:v>Directorio Alsea octubre 2026</x:v>
      </x:c>
      <x:c r="R323" s="45" t="str">
        <x:v>Abierta</x:v>
      </x:c>
      <x:c r="S323" s="45" t="str"/>
      <x:c r="T323" s="45" t="n">
        <x:f>IF(AND(OR(E323="Abierta",E323="Próxima Apertura"),N323="Sí",ISNUMBER(I323),ISNUMBER(J323),ABS(I323)&lt;=90,ABS(J323)&lt;=180),1,0)</x:f>
        <x:v>1</x:v>
      </x:c>
    </x:row>
    <x:row r="324" ht="23" customHeight="1">
      <x:c r="A324" s="45" t="str">
        <x:v>Centro Centro</x:v>
      </x:c>
      <x:c r="B324" s="45" t="str">
        <x:v>Luis Manuel Neri Saldana</x:v>
      </x:c>
      <x:c r="C324" s="50" t="str">
        <x:v>38111</x:v>
      </x:c>
      <x:c r="D324" s="45" t="str">
        <x:v>Masarik</x:v>
      </x:c>
      <x:c r="E324" s="45" t="str">
        <x:v>Abierta</x:v>
      </x:c>
      <x:c r="F324" s="51" t="d">
        <x:v>2003-07-11T00:00:00.000Z</x:v>
      </x:c>
      <x:c r="G324" s="45" t="str">
        <x:v>Miguel Hidalgo</x:v>
      </x:c>
      <x:c r="H324" s="45" t="str">
        <x:v>Ciudad De México</x:v>
      </x:c>
      <x:c r="I324" s="52" t="n">
        <x:v>19.4315369</x:v>
      </x:c>
      <x:c r="J324" s="52" t="n">
        <x:v>-99.1968447</x:v>
      </x:c>
      <x:c r="K324" s="45" t="str">
        <x:v>Cafe</x:v>
      </x:c>
      <x:c r="L324" s="45" t="str">
        <x:v>Retail</x:v>
      </x:c>
      <x:c r="M324" s="45" t="str">
        <x:v>C2</x:v>
      </x:c>
      <x:c r="N324" s="45" t="str">
        <x:v>Sí</x:v>
      </x:c>
      <x:c r="O324" s="45" t="str">
        <x:v>Luis Manuel Neri Saldana</x:v>
      </x:c>
      <x:c r="P324" s="45" t="str">
        <x:v>Ops y Directorio Alsea · octubre 2026</x:v>
      </x:c>
      <x:c r="Q324" s="45" t="str">
        <x:v>Puntos proporcionados</x:v>
      </x:c>
      <x:c r="R324" s="45" t="str">
        <x:v>Abierta</x:v>
      </x:c>
      <x:c r="S324" s="45" t="str"/>
      <x:c r="T324" s="45" t="n">
        <x:f>IF(AND(OR(E324="Abierta",E324="Próxima Apertura"),N324="Sí",ISNUMBER(I324),ISNUMBER(J324),ABS(I324)&lt;=90,ABS(J324)&lt;=180),1,0)</x:f>
        <x:v>1</x:v>
      </x:c>
    </x:row>
    <x:row r="325" ht="23" customHeight="1">
      <x:c r="A325" s="45" t="str">
        <x:v>Centro Centro</x:v>
      </x:c>
      <x:c r="B325" s="45" t="str">
        <x:v>Luis Manuel Neri Saldana</x:v>
      </x:c>
      <x:c r="C325" s="50" t="str">
        <x:v>38118</x:v>
      </x:c>
      <x:c r="D325" s="45" t="str">
        <x:v>Corporativo Polanco</x:v>
      </x:c>
      <x:c r="E325" s="45" t="str">
        <x:v>Abierta</x:v>
      </x:c>
      <x:c r="F325" s="51" t="d">
        <x:v>2003-10-30T00:00:00.000Z</x:v>
      </x:c>
      <x:c r="G325" s="45" t="str">
        <x:v>Miguel Hidalgo</x:v>
      </x:c>
      <x:c r="H325" s="45" t="str">
        <x:v>Ciudad De México</x:v>
      </x:c>
      <x:c r="I325" s="52" t="n">
        <x:v>19.437362</x:v>
      </x:c>
      <x:c r="J325" s="52" t="n">
        <x:v>-99.210005</x:v>
      </x:c>
      <x:c r="K325" s="45" t="str">
        <x:v>Cafe</x:v>
      </x:c>
      <x:c r="L325" s="45" t="str">
        <x:v>Office_Complex</x:v>
      </x:c>
      <x:c r="M325" s="45" t="str">
        <x:v>C2</x:v>
      </x:c>
      <x:c r="N325" s="45" t="str">
        <x:v>Sí</x:v>
      </x:c>
      <x:c r="O325" s="45" t="str">
        <x:v>Luis Manuel Neri Saldana</x:v>
      </x:c>
      <x:c r="P325" s="45" t="str">
        <x:v>Ops y Directorio Alsea · octubre 2026</x:v>
      </x:c>
      <x:c r="Q325" s="45" t="str">
        <x:v>Puntos proporcionados</x:v>
      </x:c>
      <x:c r="R325" s="45" t="str">
        <x:v>Abierta</x:v>
      </x:c>
      <x:c r="S325" s="45" t="str"/>
      <x:c r="T325" s="45" t="n">
        <x:f>IF(AND(OR(E325="Abierta",E325="Próxima Apertura"),N325="Sí",ISNUMBER(I325),ISNUMBER(J325),ABS(I325)&lt;=90,ABS(J325)&lt;=180),1,0)</x:f>
        <x:v>1</x:v>
      </x:c>
    </x:row>
    <x:row r="326" ht="23" customHeight="1">
      <x:c r="A326" s="45" t="str">
        <x:v>Centro Centro</x:v>
      </x:c>
      <x:c r="B326" s="45" t="str">
        <x:v>Luis Manuel Neri Saldana</x:v>
      </x:c>
      <x:c r="C326" s="50" t="str">
        <x:v>38194</x:v>
      </x:c>
      <x:c r="D326" s="45" t="str">
        <x:v>Antara</x:v>
      </x:c>
      <x:c r="E326" s="45" t="str">
        <x:v>Abierta</x:v>
      </x:c>
      <x:c r="F326" s="51" t="d">
        <x:v>2006-07-02T00:00:00.000Z</x:v>
      </x:c>
      <x:c r="G326" s="45" t="str">
        <x:v>Miguel Hidalgo</x:v>
      </x:c>
      <x:c r="H326" s="45" t="str">
        <x:v>Ciudad De México</x:v>
      </x:c>
      <x:c r="I326" s="52" t="n">
        <x:v>19.4391985</x:v>
      </x:c>
      <x:c r="J326" s="52" t="n">
        <x:v>-99.2032271</x:v>
      </x:c>
      <x:c r="K326" s="45" t="str">
        <x:v>Cafe</x:v>
      </x:c>
      <x:c r="L326" s="45" t="str">
        <x:v>Retail</x:v>
      </x:c>
      <x:c r="M326" s="45" t="str">
        <x:v>C2</x:v>
      </x:c>
      <x:c r="N326" s="45" t="str">
        <x:v>Sí</x:v>
      </x:c>
      <x:c r="O326" s="45" t="str">
        <x:v>Luis Manuel Neri Saldana</x:v>
      </x:c>
      <x:c r="P326" s="45" t="str">
        <x:v>Ops y Directorio Alsea · octubre 2026</x:v>
      </x:c>
      <x:c r="Q326" s="45" t="str">
        <x:v>Puntos proporcionados</x:v>
      </x:c>
      <x:c r="R326" s="45" t="str">
        <x:v>Abierta</x:v>
      </x:c>
      <x:c r="S326" s="45" t="str"/>
      <x:c r="T326" s="45" t="n">
        <x:f>IF(AND(OR(E326="Abierta",E326="Próxima Apertura"),N326="Sí",ISNUMBER(I326),ISNUMBER(J326),ABS(I326)&lt;=90,ABS(J326)&lt;=180),1,0)</x:f>
        <x:v>1</x:v>
      </x:c>
    </x:row>
    <x:row r="327" ht="23" customHeight="1">
      <x:c r="A327" s="45" t="str">
        <x:v>Centro Centro</x:v>
      </x:c>
      <x:c r="B327" s="45" t="str">
        <x:v>Luis Manuel Neri Saldana</x:v>
      </x:c>
      <x:c r="C327" s="50" t="str">
        <x:v>38219</x:v>
      </x:c>
      <x:c r="D327" s="45" t="str">
        <x:v>Irrigacion</x:v>
      </x:c>
      <x:c r="E327" s="45" t="str">
        <x:v>Abierta</x:v>
      </x:c>
      <x:c r="F327" s="51" t="d">
        <x:v>2007-02-14T00:00:00.000Z</x:v>
      </x:c>
      <x:c r="G327" s="45" t="str">
        <x:v>Miguel Hidalgo</x:v>
      </x:c>
      <x:c r="H327" s="45" t="str">
        <x:v>Ciudad De México</x:v>
      </x:c>
      <x:c r="I327" s="52" t="n">
        <x:v>19.4410213</x:v>
      </x:c>
      <x:c r="J327" s="52" t="n">
        <x:v>-99.2066053</x:v>
      </x:c>
      <x:c r="K327" s="45" t="str">
        <x:v>Cafe</x:v>
      </x:c>
      <x:c r="L327" s="45" t="str">
        <x:v>Retail</x:v>
      </x:c>
      <x:c r="M327" s="45" t="str">
        <x:v>C2</x:v>
      </x:c>
      <x:c r="N327" s="45" t="str">
        <x:v>Sí</x:v>
      </x:c>
      <x:c r="O327" s="45" t="str">
        <x:v>Luis Manuel Neri Saldana</x:v>
      </x:c>
      <x:c r="P327" s="45" t="str">
        <x:v>Ops y Directorio Alsea · octubre 2026</x:v>
      </x:c>
      <x:c r="Q327" s="45" t="str">
        <x:v>Puntos proporcionados</x:v>
      </x:c>
      <x:c r="R327" s="45" t="str">
        <x:v>Abierta</x:v>
      </x:c>
      <x:c r="S327" s="45" t="str"/>
      <x:c r="T327" s="45" t="n">
        <x:f>IF(AND(OR(E327="Abierta",E327="Próxima Apertura"),N327="Sí",ISNUMBER(I327),ISNUMBER(J327),ABS(I327)&lt;=90,ABS(J327)&lt;=180),1,0)</x:f>
        <x:v>1</x:v>
      </x:c>
    </x:row>
    <x:row r="328" ht="23" customHeight="1">
      <x:c r="A328" s="45" t="str">
        <x:v>Centro Centro</x:v>
      </x:c>
      <x:c r="B328" s="45" t="str">
        <x:v>Luis Manuel Neri Saldana</x:v>
      </x:c>
      <x:c r="C328" s="50" t="str">
        <x:v>38349</x:v>
      </x:c>
      <x:c r="D328" s="45" t="str">
        <x:v>Torre Inverlat</x:v>
      </x:c>
      <x:c r="E328" s="45" t="str">
        <x:v>Abierta</x:v>
      </x:c>
      <x:c r="F328" s="51" t="d">
        <x:v>2008-11-24T00:00:00.000Z</x:v>
      </x:c>
      <x:c r="G328" s="45" t="str">
        <x:v>Miguel Hidalgo</x:v>
      </x:c>
      <x:c r="H328" s="45" t="str">
        <x:v>Ciudad De México</x:v>
      </x:c>
      <x:c r="I328" s="52" t="n">
        <x:v>19.429191</x:v>
      </x:c>
      <x:c r="J328" s="52" t="n">
        <x:v>-99.2033477</x:v>
      </x:c>
      <x:c r="K328" s="45" t="str">
        <x:v>Cafe</x:v>
      </x:c>
      <x:c r="L328" s="45" t="str">
        <x:v>Office_Complex</x:v>
      </x:c>
      <x:c r="M328" s="45" t="str">
        <x:v>C2</x:v>
      </x:c>
      <x:c r="N328" s="45" t="str">
        <x:v>Sí</x:v>
      </x:c>
      <x:c r="O328" s="45" t="str">
        <x:v>Luis Manuel Neri Saldana</x:v>
      </x:c>
      <x:c r="P328" s="45" t="str">
        <x:v>Ops y Directorio Alsea · octubre 2026</x:v>
      </x:c>
      <x:c r="Q328" s="45" t="str">
        <x:v>Puntos proporcionados</x:v>
      </x:c>
      <x:c r="R328" s="45" t="str">
        <x:v>Abierta</x:v>
      </x:c>
      <x:c r="S328" s="45" t="str"/>
      <x:c r="T328" s="45" t="n">
        <x:f>IF(AND(OR(E328="Abierta",E328="Próxima Apertura"),N328="Sí",ISNUMBER(I328),ISNUMBER(J328),ABS(I328)&lt;=90,ABS(J328)&lt;=180),1,0)</x:f>
        <x:v>1</x:v>
      </x:c>
    </x:row>
    <x:row r="329" ht="23" customHeight="1">
      <x:c r="A329" s="45" t="str">
        <x:v>Centro Centro</x:v>
      </x:c>
      <x:c r="B329" s="45" t="str">
        <x:v>Luis Manuel Neri Saldana</x:v>
      </x:c>
      <x:c r="C329" s="50" t="str">
        <x:v>38399</x:v>
      </x:c>
      <x:c r="D329" s="45" t="str">
        <x:v>Carso Polanco I</x:v>
      </x:c>
      <x:c r="E329" s="45" t="str">
        <x:v>Abierta</x:v>
      </x:c>
      <x:c r="F329" s="51" t="d">
        <x:v>2010-12-16T00:00:00.000Z</x:v>
      </x:c>
      <x:c r="G329" s="45" t="str">
        <x:v>Miguel Hidalgo</x:v>
      </x:c>
      <x:c r="H329" s="45" t="str">
        <x:v>Ciudad De México</x:v>
      </x:c>
      <x:c r="I329" s="52" t="n">
        <x:v>19.440882</x:v>
      </x:c>
      <x:c r="J329" s="52" t="n">
        <x:v>-99.204103</x:v>
      </x:c>
      <x:c r="K329" s="45" t="str">
        <x:v>Cafe</x:v>
      </x:c>
      <x:c r="L329" s="45" t="str">
        <x:v>Office_Complex</x:v>
      </x:c>
      <x:c r="M329" s="45" t="str">
        <x:v>C2</x:v>
      </x:c>
      <x:c r="N329" s="45" t="str">
        <x:v>Sí</x:v>
      </x:c>
      <x:c r="O329" s="45" t="str">
        <x:v>Luis Manuel Neri Saldana</x:v>
      </x:c>
      <x:c r="P329" s="45" t="str">
        <x:v>Ops y Directorio Alsea · octubre 2026</x:v>
      </x:c>
      <x:c r="Q329" s="45" t="str">
        <x:v>Puntos proporcionados</x:v>
      </x:c>
      <x:c r="R329" s="45" t="str">
        <x:v>Abierta</x:v>
      </x:c>
      <x:c r="S329" s="45" t="str"/>
      <x:c r="T329" s="45" t="n">
        <x:f>IF(AND(OR(E329="Abierta",E329="Próxima Apertura"),N329="Sí",ISNUMBER(I329),ISNUMBER(J329),ABS(I329)&lt;=90,ABS(J329)&lt;=180),1,0)</x:f>
        <x:v>1</x:v>
      </x:c>
    </x:row>
    <x:row r="330" ht="23" customHeight="1">
      <x:c r="A330" s="45" t="str">
        <x:v>Centro Centro</x:v>
      </x:c>
      <x:c r="B330" s="45" t="str">
        <x:v>Luis Manuel Neri Saldana</x:v>
      </x:c>
      <x:c r="C330" s="50" t="str">
        <x:v>38405</x:v>
      </x:c>
      <x:c r="D330" s="45" t="str">
        <x:v>Ejercito Nacional</x:v>
      </x:c>
      <x:c r="E330" s="45" t="str">
        <x:v>Abierta</x:v>
      </x:c>
      <x:c r="F330" s="51" t="d">
        <x:v>2011-03-03T00:00:00.000Z</x:v>
      </x:c>
      <x:c r="G330" s="45" t="str">
        <x:v>Miguel Hidalgo</x:v>
      </x:c>
      <x:c r="H330" s="45" t="str">
        <x:v>Ciudad De México</x:v>
      </x:c>
      <x:c r="I330" s="52" t="n">
        <x:v>19.4383447</x:v>
      </x:c>
      <x:c r="J330" s="52" t="n">
        <x:v>-99.1936724</x:v>
      </x:c>
      <x:c r="K330" s="45" t="str">
        <x:v>Cafe</x:v>
      </x:c>
      <x:c r="L330" s="45" t="str">
        <x:v>Retail</x:v>
      </x:c>
      <x:c r="M330" s="45" t="str">
        <x:v>C1</x:v>
      </x:c>
      <x:c r="N330" s="45" t="str">
        <x:v>Sí</x:v>
      </x:c>
      <x:c r="O330" s="45" t="str">
        <x:v>Luis Manuel Neri Saldana</x:v>
      </x:c>
      <x:c r="P330" s="45" t="str">
        <x:v>Ops y Directorio Alsea · octubre 2026</x:v>
      </x:c>
      <x:c r="Q330" s="45" t="str">
        <x:v>Puntos proporcionados</x:v>
      </x:c>
      <x:c r="R330" s="45" t="str">
        <x:v>Abierta</x:v>
      </x:c>
      <x:c r="S330" s="45" t="str"/>
      <x:c r="T330" s="45" t="n">
        <x:f>IF(AND(OR(E330="Abierta",E330="Próxima Apertura"),N330="Sí",ISNUMBER(I330),ISNUMBER(J330),ABS(I330)&lt;=90,ABS(J330)&lt;=180),1,0)</x:f>
        <x:v>1</x:v>
      </x:c>
    </x:row>
    <x:row r="331" ht="23" customHeight="1">
      <x:c r="A331" s="45" t="str">
        <x:v>Centro Centro</x:v>
      </x:c>
      <x:c r="B331" s="45" t="str">
        <x:v>Luis Manuel Neri Saldana</x:v>
      </x:c>
      <x:c r="C331" s="50" t="str">
        <x:v>38470</x:v>
      </x:c>
      <x:c r="D331" s="45" t="str">
        <x:v>Chapultepec Reforma</x:v>
      </x:c>
      <x:c r="E331" s="45" t="str">
        <x:v>Abierta</x:v>
      </x:c>
      <x:c r="F331" s="51" t="d">
        <x:v>2012-10-16T00:00:00.000Z</x:v>
      </x:c>
      <x:c r="G331" s="45" t="str">
        <x:v>Miguel Hidalgo</x:v>
      </x:c>
      <x:c r="H331" s="45" t="str">
        <x:v>Ciudad De México</x:v>
      </x:c>
      <x:c r="I331" s="52" t="n">
        <x:v>19.4242817</x:v>
      </x:c>
      <x:c r="J331" s="52" t="n">
        <x:v>-99.1845591</x:v>
      </x:c>
      <x:c r="K331" s="45" t="str">
        <x:v>Cafe</x:v>
      </x:c>
      <x:c r="L331" s="45" t="str">
        <x:v>Tourism_and_Entertainment</x:v>
      </x:c>
      <x:c r="M331" s="45" t="str">
        <x:v>C2</x:v>
      </x:c>
      <x:c r="N331" s="45" t="str">
        <x:v>Sí</x:v>
      </x:c>
      <x:c r="O331" s="45" t="str">
        <x:v>Luis Manuel Neri Saldana</x:v>
      </x:c>
      <x:c r="P331" s="45" t="str">
        <x:v>Ops y Directorio Alsea · octubre 2026</x:v>
      </x:c>
      <x:c r="Q331" s="45" t="str">
        <x:v>Puntos proporcionados</x:v>
      </x:c>
      <x:c r="R331" s="45" t="str">
        <x:v>Abierta</x:v>
      </x:c>
      <x:c r="S331" s="45" t="str"/>
      <x:c r="T331" s="45" t="n">
        <x:f>IF(AND(OR(E331="Abierta",E331="Próxima Apertura"),N331="Sí",ISNUMBER(I331),ISNUMBER(J331),ABS(I331)&lt;=90,ABS(J331)&lt;=180),1,0)</x:f>
        <x:v>1</x:v>
      </x:c>
    </x:row>
    <x:row r="332" ht="23" customHeight="1">
      <x:c r="A332" s="45" t="str">
        <x:v>Centro Centro</x:v>
      </x:c>
      <x:c r="B332" s="45" t="str">
        <x:v>Luis Manuel Neri Saldana</x:v>
      </x:c>
      <x:c r="C332" s="50" t="str">
        <x:v>38557</x:v>
      </x:c>
      <x:c r="D332" s="45" t="str">
        <x:v>Rio San Joaquin</x:v>
      </x:c>
      <x:c r="E332" s="45" t="str">
        <x:v>Abierta</x:v>
      </x:c>
      <x:c r="F332" s="51" t="d">
        <x:v>2014-09-26T00:00:00.000Z</x:v>
      </x:c>
      <x:c r="G332" s="45" t="str">
        <x:v>Miguel Hidalgo</x:v>
      </x:c>
      <x:c r="H332" s="45" t="str">
        <x:v>Ciudad De México</x:v>
      </x:c>
      <x:c r="I332" s="52" t="n">
        <x:v>19.4478942</x:v>
      </x:c>
      <x:c r="J332" s="52" t="n">
        <x:v>-99.2066316</x:v>
      </x:c>
      <x:c r="K332" s="45" t="str">
        <x:v>Cafe</x:v>
      </x:c>
      <x:c r="L332" s="45" t="str">
        <x:v>Office_Complex</x:v>
      </x:c>
      <x:c r="M332" s="45" t="str">
        <x:v>C2</x:v>
      </x:c>
      <x:c r="N332" s="45" t="str">
        <x:v>Sí</x:v>
      </x:c>
      <x:c r="O332" s="45" t="str">
        <x:v>Luis Manuel Neri Saldana</x:v>
      </x:c>
      <x:c r="P332" s="45" t="str">
        <x:v>Ops y Directorio Alsea · octubre 2026</x:v>
      </x:c>
      <x:c r="Q332" s="45" t="str">
        <x:v>Puntos proporcionados</x:v>
      </x:c>
      <x:c r="R332" s="45" t="str">
        <x:v>Abierta</x:v>
      </x:c>
      <x:c r="S332" s="45" t="str"/>
      <x:c r="T332" s="45" t="n">
        <x:f>IF(AND(OR(E332="Abierta",E332="Próxima Apertura"),N332="Sí",ISNUMBER(I332),ISNUMBER(J332),ABS(I332)&lt;=90,ABS(J332)&lt;=180),1,0)</x:f>
        <x:v>1</x:v>
      </x:c>
    </x:row>
    <x:row r="333" ht="23" customHeight="1">
      <x:c r="A333" s="45" t="str">
        <x:v>Centro Centro</x:v>
      </x:c>
      <x:c r="B333" s="45" t="str">
        <x:v>Luis Manuel Neri Saldana</x:v>
      </x:c>
      <x:c r="C333" s="50" t="str">
        <x:v>38581</x:v>
      </x:c>
      <x:c r="D333" s="45" t="str">
        <x:v>Parques BBVA</x:v>
      </x:c>
      <x:c r="E333" s="45" t="str">
        <x:v>Abierta</x:v>
      </x:c>
      <x:c r="F333" s="51" t="d">
        <x:v>2015-06-26T00:00:00.000Z</x:v>
      </x:c>
      <x:c r="G333" s="45" t="str">
        <x:v>Miguel Hidalgo</x:v>
      </x:c>
      <x:c r="H333" s="45" t="str">
        <x:v>Ciudad De México</x:v>
      </x:c>
      <x:c r="I333" s="52" t="n">
        <x:v>19.4414571</x:v>
      </x:c>
      <x:c r="J333" s="52" t="n">
        <x:v>-99.1837546</x:v>
      </x:c>
      <x:c r="K333" s="45" t="str">
        <x:v>Cafe</x:v>
      </x:c>
      <x:c r="L333" s="45" t="str">
        <x:v>Office_Complex</x:v>
      </x:c>
      <x:c r="M333" s="45" t="str">
        <x:v>C2</x:v>
      </x:c>
      <x:c r="N333" s="45" t="str">
        <x:v>Sí</x:v>
      </x:c>
      <x:c r="O333" s="45" t="str">
        <x:v>Luis Manuel Neri Saldana</x:v>
      </x:c>
      <x:c r="P333" s="45" t="str">
        <x:v>Ops y Directorio Alsea · octubre 2026</x:v>
      </x:c>
      <x:c r="Q333" s="45" t="str">
        <x:v>Puntos proporcionados</x:v>
      </x:c>
      <x:c r="R333" s="45" t="str">
        <x:v>Abierta</x:v>
      </x:c>
      <x:c r="S333" s="45" t="str"/>
      <x:c r="T333" s="45" t="n">
        <x:f>IF(AND(OR(E333="Abierta",E333="Próxima Apertura"),N333="Sí",ISNUMBER(I333),ISNUMBER(J333),ABS(I333)&lt;=90,ABS(J333)&lt;=180),1,0)</x:f>
        <x:v>1</x:v>
      </x:c>
    </x:row>
    <x:row r="334" ht="23" customHeight="1">
      <x:c r="A334" s="45" t="str">
        <x:v>Centro Centro</x:v>
      </x:c>
      <x:c r="B334" s="45" t="str">
        <x:v>Luis Manuel Neri Saldana</x:v>
      </x:c>
      <x:c r="C334" s="50" t="str">
        <x:v>38600</x:v>
      </x:c>
      <x:c r="D334" s="45" t="str">
        <x:v>Torre BBVA</x:v>
      </x:c>
      <x:c r="E334" s="45" t="str">
        <x:v>Abierta</x:v>
      </x:c>
      <x:c r="F334" s="51" t="d">
        <x:v>2015-11-24T00:00:00.000Z</x:v>
      </x:c>
      <x:c r="G334" s="45" t="str">
        <x:v>Cuauhtémoc</x:v>
      </x:c>
      <x:c r="H334" s="45" t="str">
        <x:v>Ciudad De México</x:v>
      </x:c>
      <x:c r="I334" s="52" t="n">
        <x:v>19.420011</x:v>
      </x:c>
      <x:c r="J334" s="52" t="n">
        <x:v>-99.178458</x:v>
      </x:c>
      <x:c r="K334" s="45" t="str">
        <x:v>Cafe</x:v>
      </x:c>
      <x:c r="L334" s="45" t="str">
        <x:v>Office_Complex</x:v>
      </x:c>
      <x:c r="M334" s="45" t="str">
        <x:v>C2</x:v>
      </x:c>
      <x:c r="N334" s="45" t="str">
        <x:v>Sí</x:v>
      </x:c>
      <x:c r="O334" s="45" t="str">
        <x:v>Luis Manuel Neri Saldana</x:v>
      </x:c>
      <x:c r="P334" s="45" t="str">
        <x:v>Ops y Directorio Alsea · octubre 2026</x:v>
      </x:c>
      <x:c r="Q334" s="45" t="str">
        <x:v>Puntos proporcionados</x:v>
      </x:c>
      <x:c r="R334" s="45" t="str">
        <x:v>Abierta</x:v>
      </x:c>
      <x:c r="S334" s="45" t="str"/>
      <x:c r="T334" s="45" t="n">
        <x:f>IF(AND(OR(E334="Abierta",E334="Próxima Apertura"),N334="Sí",ISNUMBER(I334),ISNUMBER(J334),ABS(I334)&lt;=90,ABS(J334)&lt;=180),1,0)</x:f>
        <x:v>1</x:v>
      </x:c>
    </x:row>
    <x:row r="335" ht="23" customHeight="1">
      <x:c r="A335" s="45" t="str">
        <x:v>Centro Centro</x:v>
      </x:c>
      <x:c r="B335" s="45" t="str">
        <x:v>Luis Manuel Neri Saldana</x:v>
      </x:c>
      <x:c r="C335" s="50" t="str">
        <x:v>38612</x:v>
      </x:c>
      <x:c r="D335" s="45" t="str">
        <x:v>Antara II</x:v>
      </x:c>
      <x:c r="E335" s="45" t="str">
        <x:v>Abierta</x:v>
      </x:c>
      <x:c r="F335" s="51" t="d">
        <x:v>2015-09-26T00:00:00.000Z</x:v>
      </x:c>
      <x:c r="G335" s="45" t="str">
        <x:v>Miguel Hidalgo</x:v>
      </x:c>
      <x:c r="H335" s="45" t="str">
        <x:v>Ciudad De México</x:v>
      </x:c>
      <x:c r="I335" s="52" t="n">
        <x:v>19.439794</x:v>
      </x:c>
      <x:c r="J335" s="52" t="n">
        <x:v>-99.2029649</x:v>
      </x:c>
      <x:c r="K335" s="45" t="str">
        <x:v>Cafe</x:v>
      </x:c>
      <x:c r="L335" s="45" t="str">
        <x:v>Retail</x:v>
      </x:c>
      <x:c r="M335" s="45" t="str">
        <x:v>C2</x:v>
      </x:c>
      <x:c r="N335" s="45" t="str">
        <x:v>Sí</x:v>
      </x:c>
      <x:c r="O335" s="45" t="str">
        <x:v>Luis Manuel Neri Saldana</x:v>
      </x:c>
      <x:c r="P335" s="45" t="str">
        <x:v>Ops y Directorio Alsea · octubre 2026</x:v>
      </x:c>
      <x:c r="Q335" s="45" t="str">
        <x:v>Puntos proporcionados</x:v>
      </x:c>
      <x:c r="R335" s="45" t="str">
        <x:v>Abierta</x:v>
      </x:c>
      <x:c r="S335" s="45" t="str"/>
      <x:c r="T335" s="45" t="n">
        <x:f>IF(AND(OR(E335="Abierta",E335="Próxima Apertura"),N335="Sí",ISNUMBER(I335),ISNUMBER(J335),ABS(I335)&lt;=90,ABS(J335)&lt;=180),1,0)</x:f>
        <x:v>1</x:v>
      </x:c>
    </x:row>
    <x:row r="336" ht="23" customHeight="1">
      <x:c r="A336" s="45" t="str">
        <x:v>Centro Centro</x:v>
      </x:c>
      <x:c r="B336" s="45" t="str">
        <x:v>Luis Manuel Neri Saldana</x:v>
      </x:c>
      <x:c r="C336" s="50" t="str">
        <x:v>38676</x:v>
      </x:c>
      <x:c r="D336" s="45" t="str">
        <x:v>Miyana</x:v>
      </x:c>
      <x:c r="E336" s="45" t="str">
        <x:v>Abierta</x:v>
      </x:c>
      <x:c r="F336" s="51" t="d">
        <x:v>2016-09-23T00:00:00.000Z</x:v>
      </x:c>
      <x:c r="G336" s="45" t="str">
        <x:v>Miguel Hidalgo</x:v>
      </x:c>
      <x:c r="H336" s="45" t="str">
        <x:v>Ciudad De México</x:v>
      </x:c>
      <x:c r="I336" s="52" t="n">
        <x:v>19.440462</x:v>
      </x:c>
      <x:c r="J336" s="52" t="n">
        <x:v>-99.200524</x:v>
      </x:c>
      <x:c r="K336" s="45" t="str">
        <x:v>Cafe</x:v>
      </x:c>
      <x:c r="L336" s="45" t="str">
        <x:v>Office_Complex</x:v>
      </x:c>
      <x:c r="M336" s="45" t="str">
        <x:v>C1</x:v>
      </x:c>
      <x:c r="N336" s="45" t="str">
        <x:v>Sí</x:v>
      </x:c>
      <x:c r="O336" s="45" t="str">
        <x:v>Luis Manuel Neri Saldana</x:v>
      </x:c>
      <x:c r="P336" s="45" t="str">
        <x:v>Ops y Directorio Alsea · octubre 2026</x:v>
      </x:c>
      <x:c r="Q336" s="45" t="str">
        <x:v>Puntos proporcionados</x:v>
      </x:c>
      <x:c r="R336" s="45" t="str">
        <x:v>Abierta</x:v>
      </x:c>
      <x:c r="S336" s="45" t="str"/>
      <x:c r="T336" s="45" t="n">
        <x:f>IF(AND(OR(E336="Abierta",E336="Próxima Apertura"),N336="Sí",ISNUMBER(I336),ISNUMBER(J336),ABS(I336)&lt;=90,ABS(J336)&lt;=180),1,0)</x:f>
        <x:v>1</x:v>
      </x:c>
    </x:row>
    <x:row r="337" ht="23" customHeight="1">
      <x:c r="A337" s="45" t="str">
        <x:v>Centro Centro</x:v>
      </x:c>
      <x:c r="B337" s="45" t="str">
        <x:v>Luis Manuel Neri Saldana</x:v>
      </x:c>
      <x:c r="C337" s="50" t="str">
        <x:v>38982</x:v>
      </x:c>
      <x:c r="D337" s="45" t="str">
        <x:v>Miyana II</x:v>
      </x:c>
      <x:c r="E337" s="45" t="str">
        <x:v>Abierta</x:v>
      </x:c>
      <x:c r="F337" s="51" t="d">
        <x:v>2023-12-30T00:00:00.000Z</x:v>
      </x:c>
      <x:c r="G337" s="45" t="str">
        <x:v>Miguel Hidalgo</x:v>
      </x:c>
      <x:c r="H337" s="45" t="str">
        <x:v>Ciudad De México</x:v>
      </x:c>
      <x:c r="I337" s="52" t="n">
        <x:v>19.438598</x:v>
      </x:c>
      <x:c r="J337" s="52" t="n">
        <x:v>-99.199706</x:v>
      </x:c>
      <x:c r="K337" s="45" t="str">
        <x:v>Cafe</x:v>
      </x:c>
      <x:c r="L337" s="45" t="str">
        <x:v>Office_Complex</x:v>
      </x:c>
      <x:c r="M337" s="45" t="str">
        <x:v>C1</x:v>
      </x:c>
      <x:c r="N337" s="45" t="str">
        <x:v>Sí</x:v>
      </x:c>
      <x:c r="O337" s="45" t="str">
        <x:v>Luis Manuel Neri Saldana</x:v>
      </x:c>
      <x:c r="P337" s="45" t="str">
        <x:v>Ops y Directorio Alsea · octubre 2026</x:v>
      </x:c>
      <x:c r="Q337" s="45" t="str">
        <x:v>Puntos proporcionados</x:v>
      </x:c>
      <x:c r="R337" s="45" t="str">
        <x:v>Abierta</x:v>
      </x:c>
      <x:c r="S337" s="45" t="str"/>
      <x:c r="T337" s="45" t="n">
        <x:f>IF(AND(OR(E337="Abierta",E337="Próxima Apertura"),N337="Sí",ISNUMBER(I337),ISNUMBER(J337),ABS(I337)&lt;=90,ABS(J337)&lt;=180),1,0)</x:f>
        <x:v>1</x:v>
      </x:c>
    </x:row>
    <x:row r="338" ht="23" customHeight="1">
      <x:c r="A338" s="45" t="str">
        <x:v>Centro Centro</x:v>
      </x:c>
      <x:c r="B338" s="45" t="str">
        <x:v>Luis Manuel Neri Saldana</x:v>
      </x:c>
      <x:c r="C338" s="50" t="str">
        <x:v>43045</x:v>
      </x:c>
      <x:c r="D338" s="45" t="str">
        <x:v>Periferico Polanco DT</x:v>
      </x:c>
      <x:c r="E338" s="45" t="str">
        <x:v>Abierta</x:v>
      </x:c>
      <x:c r="F338" s="51" t="d">
        <x:v>2026-03-30T00:00:00.000Z</x:v>
      </x:c>
      <x:c r="G338" s="45" t="str">
        <x:v>Miguel Hidalgo</x:v>
      </x:c>
      <x:c r="H338" s="45" t="str">
        <x:v>Ciudad De México</x:v>
      </x:c>
      <x:c r="I338" s="52" t="n">
        <x:v>19.430296</x:v>
      </x:c>
      <x:c r="J338" s="52" t="n">
        <x:v>-99.2058022</x:v>
      </x:c>
      <x:c r="K338" s="45" t="str">
        <x:v>Drive_Thru</x:v>
      </x:c>
      <x:c r="L338" s="45" t="str">
        <x:v>Transfers</x:v>
      </x:c>
      <x:c r="M338" s="45" t="str">
        <x:v>C2</x:v>
      </x:c>
      <x:c r="N338" s="45" t="str">
        <x:v>Sí</x:v>
      </x:c>
      <x:c r="O338" s="45" t="str">
        <x:v>Luis Manuel Neri Saldana</x:v>
      </x:c>
      <x:c r="P338" s="45" t="str">
        <x:v>Ops y Directorio Alsea · octubre 2026</x:v>
      </x:c>
      <x:c r="Q338" s="45" t="str">
        <x:v>Puntos proporcionados</x:v>
      </x:c>
      <x:c r="R338" s="45" t="str">
        <x:v>Abierta</x:v>
      </x:c>
      <x:c r="S338" s="45" t="str"/>
      <x:c r="T338" s="45" t="n">
        <x:f>IF(AND(OR(E338="Abierta",E338="Próxima Apertura"),N338="Sí",ISNUMBER(I338),ISNUMBER(J338),ABS(I338)&lt;=90,ABS(J338)&lt;=180),1,0)</x:f>
        <x:v>1</x:v>
      </x:c>
    </x:row>
    <x:row r="339" ht="23" customHeight="1">
      <x:c r="A339" s="45" t="str">
        <x:v>Centro Centro</x:v>
      </x:c>
      <x:c r="B339" s="45" t="str">
        <x:v>Maria Anallely Sanchez Garcia</x:v>
      </x:c>
      <x:c r="C339" s="50" t="str">
        <x:v>38151</x:v>
      </x:c>
      <x:c r="D339" s="45" t="str">
        <x:v>Aeropuerto II Sala Bravo</x:v>
      </x:c>
      <x:c r="E339" s="45" t="str">
        <x:v>Abierta</x:v>
      </x:c>
      <x:c r="F339" s="51" t="d">
        <x:v>2005-04-20T00:00:00.000Z</x:v>
      </x:c>
      <x:c r="G339" s="45" t="str">
        <x:v>Venustiano Carranza</x:v>
      </x:c>
      <x:c r="H339" s="45" t="str">
        <x:v>Ciudad De México</x:v>
      </x:c>
      <x:c r="I339" s="52" t="n">
        <x:v>19.4332215</x:v>
      </x:c>
      <x:c r="J339" s="52" t="n">
        <x:v>-99.0860884</x:v>
      </x:c>
      <x:c r="K339" s="45" t="str">
        <x:v>Kiosko</x:v>
      </x:c>
      <x:c r="L339" s="45" t="str">
        <x:v>Travel_and_Channel</x:v>
      </x:c>
      <x:c r="M339" s="45" t="str">
        <x:v>C5</x:v>
      </x:c>
      <x:c r="N339" s="45" t="str">
        <x:v>Sí</x:v>
      </x:c>
      <x:c r="O339" s="45" t="str">
        <x:v>Maria Anallely Sanchez Garcia</x:v>
      </x:c>
      <x:c r="P339" s="45" t="str">
        <x:v>Ops y Directorio Alsea · octubre 2026</x:v>
      </x:c>
      <x:c r="Q339" s="45" t="str">
        <x:v>Puntos proporcionados</x:v>
      </x:c>
      <x:c r="R339" s="45" t="str">
        <x:v>Abierta</x:v>
      </x:c>
      <x:c r="S339" s="45" t="str"/>
      <x:c r="T339" s="45" t="n">
        <x:f>IF(AND(OR(E339="Abierta",E339="Próxima Apertura"),N339="Sí",ISNUMBER(I339),ISNUMBER(J339),ABS(I339)&lt;=90,ABS(J339)&lt;=180),1,0)</x:f>
        <x:v>1</x:v>
      </x:c>
    </x:row>
    <x:row r="340" ht="23" customHeight="1">
      <x:c r="A340" s="45" t="str">
        <x:v>Centro Centro</x:v>
      </x:c>
      <x:c r="B340" s="45" t="str">
        <x:v>Maria Anallely Sanchez Garcia</x:v>
      </x:c>
      <x:c r="C340" s="50" t="str">
        <x:v>38167</x:v>
      </x:c>
      <x:c r="D340" s="45" t="str">
        <x:v>Aeropuerto Dufry</x:v>
      </x:c>
      <x:c r="E340" s="45" t="str">
        <x:v>Abierta</x:v>
      </x:c>
      <x:c r="F340" s="51" t="d">
        <x:v>2005-11-08T00:00:00.000Z</x:v>
      </x:c>
      <x:c r="G340" s="45" t="str">
        <x:v>Venustiano Carranza</x:v>
      </x:c>
      <x:c r="H340" s="45" t="str">
        <x:v>Ciudad De México</x:v>
      </x:c>
      <x:c r="I340" s="52" t="n">
        <x:v>19.4368384</x:v>
      </x:c>
      <x:c r="J340" s="52" t="n">
        <x:v>-99.0798935</x:v>
      </x:c>
      <x:c r="K340" s="45" t="str">
        <x:v>Cafe</x:v>
      </x:c>
      <x:c r="L340" s="45" t="str">
        <x:v>Travel_and_Channel</x:v>
      </x:c>
      <x:c r="M340" s="45" t="str">
        <x:v>C5</x:v>
      </x:c>
      <x:c r="N340" s="45" t="str">
        <x:v>Sí</x:v>
      </x:c>
      <x:c r="O340" s="45" t="str">
        <x:v>Maria Anallely Sanchez Garcia</x:v>
      </x:c>
      <x:c r="P340" s="45" t="str">
        <x:v>Ops y Directorio Alsea · octubre 2026</x:v>
      </x:c>
      <x:c r="Q340" s="45" t="str">
        <x:v>Puntos proporcionados</x:v>
      </x:c>
      <x:c r="R340" s="45" t="str">
        <x:v>Abierta</x:v>
      </x:c>
      <x:c r="S340" s="45" t="str"/>
      <x:c r="T340" s="45" t="n">
        <x:f>IF(AND(OR(E340="Abierta",E340="Próxima Apertura"),N340="Sí",ISNUMBER(I340),ISNUMBER(J340),ABS(I340)&lt;=90,ABS(J340)&lt;=180),1,0)</x:f>
        <x:v>1</x:v>
      </x:c>
    </x:row>
    <x:row r="341" ht="23" customHeight="1">
      <x:c r="A341" s="45" t="str">
        <x:v>Centro Centro</x:v>
      </x:c>
      <x:c r="B341" s="45" t="str">
        <x:v>Maria Anallely Sanchez Garcia</x:v>
      </x:c>
      <x:c r="C341" s="50" t="str">
        <x:v>38168</x:v>
      </x:c>
      <x:c r="D341" s="45" t="str">
        <x:v>T2 Planta Alta</x:v>
      </x:c>
      <x:c r="E341" s="45" t="str">
        <x:v>Cierre Temporal</x:v>
      </x:c>
      <x:c r="F341" s="51" t="d">
        <x:v>2005-11-18T00:00:00.000Z</x:v>
      </x:c>
      <x:c r="G341" s="45" t="str">
        <x:v>Venustiano Carranza</x:v>
      </x:c>
      <x:c r="H341" s="45" t="str">
        <x:v>Ciudad De México</x:v>
      </x:c>
      <x:c r="I341" s="52" t="n">
        <x:v>19.4223</x:v>
      </x:c>
      <x:c r="J341" s="52" t="n">
        <x:v>-99.0781</x:v>
      </x:c>
      <x:c r="K341" s="45" t="str">
        <x:v>Kiosko</x:v>
      </x:c>
      <x:c r="L341" s="45" t="str">
        <x:v>Travel_and_Channel</x:v>
      </x:c>
      <x:c r="M341" s="45" t="str">
        <x:v>C4</x:v>
      </x:c>
      <x:c r="N341" s="45" t="str">
        <x:v>No</x:v>
      </x:c>
      <x:c r="O341" s="45" t="str">
        <x:v>Maria Anallely Sanchez Garcia</x:v>
      </x:c>
      <x:c r="P341" s="45" t="str">
        <x:v>Ops y Directorio Alsea · octubre 2026</x:v>
      </x:c>
      <x:c r="Q341" s="45" t="str">
        <x:v>Directorio Alsea octubre 2026</x:v>
      </x:c>
      <x:c r="R341" s="45" t="str">
        <x:v>Abierta</x:v>
      </x:c>
      <x:c r="S341" s="45" t="str">
        <x:v>Ops: Cierre Temporal. Alsea: Abierta. Se conserva el estatus operativo más específico.</x:v>
      </x:c>
      <x:c r="T341" s="45" t="n">
        <x:f>IF(AND(OR(E341="Abierta",E341="Próxima Apertura"),N341="Sí",ISNUMBER(I341),ISNUMBER(J341),ABS(I341)&lt;=90,ABS(J341)&lt;=180),1,0)</x:f>
        <x:v>0</x:v>
      </x:c>
    </x:row>
    <x:row r="342" ht="23" customHeight="1">
      <x:c r="A342" s="45" t="str">
        <x:v>Centro Centro</x:v>
      </x:c>
      <x:c r="B342" s="45" t="str">
        <x:v>Maria Anallely Sanchez Garcia</x:v>
      </x:c>
      <x:c r="C342" s="50" t="str">
        <x:v>38171</x:v>
      </x:c>
      <x:c r="D342" s="45" t="str">
        <x:v>Aeropuerto Internacional II</x:v>
      </x:c>
      <x:c r="E342" s="45" t="str">
        <x:v>Abierta</x:v>
      </x:c>
      <x:c r="F342" s="51" t="d">
        <x:v>2005-12-15T00:00:00.000Z</x:v>
      </x:c>
      <x:c r="G342" s="45" t="str">
        <x:v>Venustiano Carranza</x:v>
      </x:c>
      <x:c r="H342" s="45" t="str">
        <x:v>Ciudad De México</x:v>
      </x:c>
      <x:c r="I342" s="52" t="n">
        <x:v>19.435862</x:v>
      </x:c>
      <x:c r="J342" s="52" t="n">
        <x:v>-99.0818228</x:v>
      </x:c>
      <x:c r="K342" s="45" t="str">
        <x:v>Kiosko</x:v>
      </x:c>
      <x:c r="L342" s="45" t="str">
        <x:v>Travel_and_Channel</x:v>
      </x:c>
      <x:c r="M342" s="45" t="str">
        <x:v>C4</x:v>
      </x:c>
      <x:c r="N342" s="45" t="str">
        <x:v>Sí</x:v>
      </x:c>
      <x:c r="O342" s="45" t="str">
        <x:v>Maria Anallely Sanchez Garcia</x:v>
      </x:c>
      <x:c r="P342" s="45" t="str">
        <x:v>Ops y Directorio Alsea · octubre 2026</x:v>
      </x:c>
      <x:c r="Q342" s="45" t="str">
        <x:v>Puntos proporcionados</x:v>
      </x:c>
      <x:c r="R342" s="45" t="str">
        <x:v>Abierta</x:v>
      </x:c>
      <x:c r="S342" s="45" t="str"/>
      <x:c r="T342" s="45" t="n">
        <x:f>IF(AND(OR(E342="Abierta",E342="Próxima Apertura"),N342="Sí",ISNUMBER(I342),ISNUMBER(J342),ABS(I342)&lt;=90,ABS(J342)&lt;=180),1,0)</x:f>
        <x:v>1</x:v>
      </x:c>
    </x:row>
    <x:row r="343" ht="23" customHeight="1">
      <x:c r="A343" s="45" t="str">
        <x:v>Centro Centro</x:v>
      </x:c>
      <x:c r="B343" s="45" t="str">
        <x:v>Maria Anallely Sanchez Garcia</x:v>
      </x:c>
      <x:c r="C343" s="50" t="str">
        <x:v>38182</x:v>
      </x:c>
      <x:c r="D343" s="45" t="str">
        <x:v>Aeropuerto D8</x:v>
      </x:c>
      <x:c r="E343" s="45" t="str">
        <x:v>Abierta</x:v>
      </x:c>
      <x:c r="F343" s="51" t="d">
        <x:v>2006-04-13T00:00:00.000Z</x:v>
      </x:c>
      <x:c r="G343" s="45" t="str">
        <x:v>Venustiano Carranza</x:v>
      </x:c>
      <x:c r="H343" s="45" t="str">
        <x:v>Ciudad De México</x:v>
      </x:c>
      <x:c r="I343" s="52" t="n">
        <x:v>19.4344054</x:v>
      </x:c>
      <x:c r="J343" s="52" t="n">
        <x:v>-99.0849755</x:v>
      </x:c>
      <x:c r="K343" s="45" t="str">
        <x:v>Kiosko</x:v>
      </x:c>
      <x:c r="L343" s="45" t="str">
        <x:v>Travel_and_Channel</x:v>
      </x:c>
      <x:c r="M343" s="45" t="str">
        <x:v>C4</x:v>
      </x:c>
      <x:c r="N343" s="45" t="str">
        <x:v>Sí</x:v>
      </x:c>
      <x:c r="O343" s="45" t="str">
        <x:v>Maria Anallely Sanchez Garcia</x:v>
      </x:c>
      <x:c r="P343" s="45" t="str">
        <x:v>Ops y Directorio Alsea · octubre 2026</x:v>
      </x:c>
      <x:c r="Q343" s="45" t="str">
        <x:v>Puntos proporcionados</x:v>
      </x:c>
      <x:c r="R343" s="45" t="str">
        <x:v>Abierta</x:v>
      </x:c>
      <x:c r="S343" s="45" t="str"/>
      <x:c r="T343" s="45" t="n">
        <x:f>IF(AND(OR(E343="Abierta",E343="Próxima Apertura"),N343="Sí",ISNUMBER(I343),ISNUMBER(J343),ABS(I343)&lt;=90,ABS(J343)&lt;=180),1,0)</x:f>
        <x:v>1</x:v>
      </x:c>
    </x:row>
    <x:row r="344" ht="23" customHeight="1">
      <x:c r="A344" s="45" t="str">
        <x:v>Centro Centro</x:v>
      </x:c>
      <x:c r="B344" s="45" t="str">
        <x:v>Maria Anallely Sanchez Garcia</x:v>
      </x:c>
      <x:c r="C344" s="50" t="str">
        <x:v>38297</x:v>
      </x:c>
      <x:c r="D344" s="45" t="str">
        <x:v>T2 Salida Internacional</x:v>
      </x:c>
      <x:c r="E344" s="45" t="str">
        <x:v>Abierta</x:v>
      </x:c>
      <x:c r="F344" s="51" t="d">
        <x:v>2008-01-21T00:00:00.000Z</x:v>
      </x:c>
      <x:c r="G344" s="45" t="str">
        <x:v>Venustiano Carranza</x:v>
      </x:c>
      <x:c r="H344" s="45" t="str">
        <x:v>Ciudad De México</x:v>
      </x:c>
      <x:c r="I344" s="52" t="n">
        <x:v>19.4225397</x:v>
      </x:c>
      <x:c r="J344" s="52" t="n">
        <x:v>-99.078148</x:v>
      </x:c>
      <x:c r="K344" s="45" t="str">
        <x:v>Kiosko</x:v>
      </x:c>
      <x:c r="L344" s="45" t="str">
        <x:v>Travel_and_Channel</x:v>
      </x:c>
      <x:c r="M344" s="45" t="str">
        <x:v>C5</x:v>
      </x:c>
      <x:c r="N344" s="45" t="str">
        <x:v>Sí</x:v>
      </x:c>
      <x:c r="O344" s="45" t="str">
        <x:v>Maria Anallely Sanchez Garcia</x:v>
      </x:c>
      <x:c r="P344" s="45" t="str">
        <x:v>Ops y Directorio Alsea · octubre 2026</x:v>
      </x:c>
      <x:c r="Q344" s="45" t="str">
        <x:v>Puntos proporcionados</x:v>
      </x:c>
      <x:c r="R344" s="45" t="str">
        <x:v>Abierta</x:v>
      </x:c>
      <x:c r="S344" s="45" t="str"/>
      <x:c r="T344" s="45" t="n">
        <x:f>IF(AND(OR(E344="Abierta",E344="Próxima Apertura"),N344="Sí",ISNUMBER(I344),ISNUMBER(J344),ABS(I344)&lt;=90,ABS(J344)&lt;=180),1,0)</x:f>
        <x:v>1</x:v>
      </x:c>
    </x:row>
    <x:row r="345" ht="23" customHeight="1">
      <x:c r="A345" s="45" t="str">
        <x:v>Centro Centro</x:v>
      </x:c>
      <x:c r="B345" s="45" t="str">
        <x:v>Maria Anallely Sanchez Garcia</x:v>
      </x:c>
      <x:c r="C345" s="50" t="str">
        <x:v>38298</x:v>
      </x:c>
      <x:c r="D345" s="45" t="str">
        <x:v>T2 Salida Nacional</x:v>
      </x:c>
      <x:c r="E345" s="45" t="str">
        <x:v>Abierta</x:v>
      </x:c>
      <x:c r="F345" s="51" t="d">
        <x:v>2008-01-21T00:00:00.000Z</x:v>
      </x:c>
      <x:c r="G345" s="45" t="str">
        <x:v>Venustiano Carranza</x:v>
      </x:c>
      <x:c r="H345" s="45" t="str">
        <x:v>Ciudad De México</x:v>
      </x:c>
      <x:c r="I345" s="52" t="n">
        <x:v>19.4219322</x:v>
      </x:c>
      <x:c r="J345" s="52" t="n">
        <x:v>-99.0785038</x:v>
      </x:c>
      <x:c r="K345" s="45" t="str">
        <x:v>Kiosko</x:v>
      </x:c>
      <x:c r="L345" s="45" t="str">
        <x:v>Travel_and_Channel</x:v>
      </x:c>
      <x:c r="M345" s="45" t="str">
        <x:v>C5</x:v>
      </x:c>
      <x:c r="N345" s="45" t="str">
        <x:v>Sí</x:v>
      </x:c>
      <x:c r="O345" s="45" t="str">
        <x:v>Maria Anallely Sanchez Garcia</x:v>
      </x:c>
      <x:c r="P345" s="45" t="str">
        <x:v>Ops y Directorio Alsea · octubre 2026</x:v>
      </x:c>
      <x:c r="Q345" s="45" t="str">
        <x:v>Puntos proporcionados</x:v>
      </x:c>
      <x:c r="R345" s="45" t="str">
        <x:v>Abierta</x:v>
      </x:c>
      <x:c r="S345" s="45" t="str"/>
      <x:c r="T345" s="45" t="n">
        <x:f>IF(AND(OR(E345="Abierta",E345="Próxima Apertura"),N345="Sí",ISNUMBER(I345),ISNUMBER(J345),ABS(I345)&lt;=90,ABS(J345)&lt;=180),1,0)</x:f>
        <x:v>1</x:v>
      </x:c>
    </x:row>
    <x:row r="346" ht="23" customHeight="1">
      <x:c r="A346" s="45" t="str">
        <x:v>Centro Centro</x:v>
      </x:c>
      <x:c r="B346" s="45" t="str">
        <x:v>Maria Anallely Sanchez Garcia</x:v>
      </x:c>
      <x:c r="C346" s="50" t="str">
        <x:v>38299</x:v>
      </x:c>
      <x:c r="D346" s="45" t="str">
        <x:v>T2 Llegadas</x:v>
      </x:c>
      <x:c r="E346" s="45" t="str">
        <x:v>Abierta</x:v>
      </x:c>
      <x:c r="F346" s="51" t="d">
        <x:v>2008-01-21T00:00:00.000Z</x:v>
      </x:c>
      <x:c r="G346" s="45" t="str">
        <x:v>Venustiano Carranza</x:v>
      </x:c>
      <x:c r="H346" s="45" t="str">
        <x:v>Ciudad De México</x:v>
      </x:c>
      <x:c r="I346" s="52" t="n">
        <x:v>19.422112</x:v>
      </x:c>
      <x:c r="J346" s="52" t="n">
        <x:v>-99.0777739</x:v>
      </x:c>
      <x:c r="K346" s="45" t="str">
        <x:v>Kiosko</x:v>
      </x:c>
      <x:c r="L346" s="45" t="str">
        <x:v>Travel_and_Channel</x:v>
      </x:c>
      <x:c r="M346" s="45" t="str">
        <x:v>C4</x:v>
      </x:c>
      <x:c r="N346" s="45" t="str">
        <x:v>Sí</x:v>
      </x:c>
      <x:c r="O346" s="45" t="str">
        <x:v>Maria Anallely Sanchez Garcia</x:v>
      </x:c>
      <x:c r="P346" s="45" t="str">
        <x:v>Ops y Directorio Alsea · octubre 2026</x:v>
      </x:c>
      <x:c r="Q346" s="45" t="str">
        <x:v>Puntos proporcionados</x:v>
      </x:c>
      <x:c r="R346" s="45" t="str">
        <x:v>Abierta</x:v>
      </x:c>
      <x:c r="S346" s="45" t="str"/>
      <x:c r="T346" s="45" t="n">
        <x:f>IF(AND(OR(E346="Abierta",E346="Próxima Apertura"),N346="Sí",ISNUMBER(I346),ISNUMBER(J346),ABS(I346)&lt;=90,ABS(J346)&lt;=180),1,0)</x:f>
        <x:v>1</x:v>
      </x:c>
    </x:row>
    <x:row r="347" ht="23" customHeight="1">
      <x:c r="A347" s="45" t="str">
        <x:v>Centro Centro</x:v>
      </x:c>
      <x:c r="B347" s="45" t="str">
        <x:v>Maria Anallely Sanchez Garcia</x:v>
      </x:c>
      <x:c r="C347" s="50" t="str">
        <x:v>38652</x:v>
      </x:c>
      <x:c r="D347" s="45" t="str">
        <x:v>T1 S21</x:v>
      </x:c>
      <x:c r="E347" s="45" t="str">
        <x:v>Cierre Temporal</x:v>
      </x:c>
      <x:c r="F347" s="51" t="d">
        <x:v>2016-07-17T00:00:00.000Z</x:v>
      </x:c>
      <x:c r="G347" s="45" t="str">
        <x:v>Venustiano Carranza</x:v>
      </x:c>
      <x:c r="H347" s="45" t="str">
        <x:v>Ciudad De México</x:v>
      </x:c>
      <x:c r="I347" s="52" t="n">
        <x:v>19.4345</x:v>
      </x:c>
      <x:c r="J347" s="52" t="n">
        <x:v>-99.0845</x:v>
      </x:c>
      <x:c r="K347" s="45" t="str">
        <x:v>Kiosko</x:v>
      </x:c>
      <x:c r="L347" s="45" t="str">
        <x:v>Travel_and_Channel</x:v>
      </x:c>
      <x:c r="M347" s="45" t="str">
        <x:v>C5</x:v>
      </x:c>
      <x:c r="N347" s="45" t="str">
        <x:v>No</x:v>
      </x:c>
      <x:c r="O347" s="45" t="str">
        <x:v>Maria Anallely Sanchez Garcia</x:v>
      </x:c>
      <x:c r="P347" s="45" t="str">
        <x:v>Ops y Directorio Alsea · octubre 2026</x:v>
      </x:c>
      <x:c r="Q347" s="45" t="str">
        <x:v>Directorio Alsea octubre 2026</x:v>
      </x:c>
      <x:c r="R347" s="45" t="str">
        <x:v>Abierta</x:v>
      </x:c>
      <x:c r="S347" s="45" t="str">
        <x:v>Ops: Cierre Temporal. Alsea: Abierta. Se conserva el estatus operativo más específico.</x:v>
      </x:c>
      <x:c r="T347" s="45" t="n">
        <x:f>IF(AND(OR(E347="Abierta",E347="Próxima Apertura"),N347="Sí",ISNUMBER(I347),ISNUMBER(J347),ABS(I347)&lt;=90,ABS(J347)&lt;=180),1,0)</x:f>
        <x:v>0</x:v>
      </x:c>
    </x:row>
    <x:row r="348" ht="23" customHeight="1">
      <x:c r="A348" s="45" t="str">
        <x:v>Centro Centro</x:v>
      </x:c>
      <x:c r="B348" s="45" t="str">
        <x:v>Maria Anallely Sanchez Garcia</x:v>
      </x:c>
      <x:c r="C348" s="50" t="str">
        <x:v>38653</x:v>
      </x:c>
      <x:c r="D348" s="45" t="str">
        <x:v>Salon Ejecutivo T1 AICM</x:v>
      </x:c>
      <x:c r="E348" s="45" t="str">
        <x:v>Abierta</x:v>
      </x:c>
      <x:c r="F348" s="51" t="d">
        <x:v>2016-06-24T00:00:00.000Z</x:v>
      </x:c>
      <x:c r="G348" s="45" t="str">
        <x:v>Venustiano Carranza</x:v>
      </x:c>
      <x:c r="H348" s="45" t="str">
        <x:v>Ciudad De México</x:v>
      </x:c>
      <x:c r="I348" s="52" t="n">
        <x:v>19.433625</x:v>
      </x:c>
      <x:c r="J348" s="52" t="n">
        <x:v>-99.085444</x:v>
      </x:c>
      <x:c r="K348" s="45" t="str">
        <x:v>Kiosko</x:v>
      </x:c>
      <x:c r="L348" s="45" t="str">
        <x:v>Travel_and_Channel</x:v>
      </x:c>
      <x:c r="M348" s="45" t="str">
        <x:v>C5</x:v>
      </x:c>
      <x:c r="N348" s="45" t="str">
        <x:v>Sí</x:v>
      </x:c>
      <x:c r="O348" s="45" t="str">
        <x:v>Maria Anallely Sanchez Garcia</x:v>
      </x:c>
      <x:c r="P348" s="45" t="str">
        <x:v>Ops y Directorio Alsea · octubre 2026</x:v>
      </x:c>
      <x:c r="Q348" s="45" t="str">
        <x:v>Puntos proporcionados</x:v>
      </x:c>
      <x:c r="R348" s="45" t="str">
        <x:v>Abierta</x:v>
      </x:c>
      <x:c r="S348" s="45" t="str"/>
      <x:c r="T348" s="45" t="n">
        <x:f>IF(AND(OR(E348="Abierta",E348="Próxima Apertura"),N348="Sí",ISNUMBER(I348),ISNUMBER(J348),ABS(I348)&lt;=90,ABS(J348)&lt;=180),1,0)</x:f>
        <x:v>1</x:v>
      </x:c>
    </x:row>
    <x:row r="349" ht="23" customHeight="1">
      <x:c r="A349" s="45" t="str">
        <x:v>Centro Centro</x:v>
      </x:c>
      <x:c r="B349" s="45" t="str">
        <x:v>Maria Anallely Sanchez Garcia</x:v>
      </x:c>
      <x:c r="C349" s="50" t="str">
        <x:v>38795</x:v>
      </x:c>
      <x:c r="D349" s="45" t="str">
        <x:v>Apto T1 Pb N Pta 7</x:v>
      </x:c>
      <x:c r="E349" s="45" t="str">
        <x:v>Abierta</x:v>
      </x:c>
      <x:c r="F349" s="51" t="d">
        <x:v>2018-06-18T00:00:00.000Z</x:v>
      </x:c>
      <x:c r="G349" s="45" t="str">
        <x:v>Venustiano Carranza</x:v>
      </x:c>
      <x:c r="H349" s="45" t="str">
        <x:v>Ciudad De México</x:v>
      </x:c>
      <x:c r="I349" s="52" t="n">
        <x:v>19.435829</x:v>
      </x:c>
      <x:c r="J349" s="52" t="n">
        <x:v>-99.08248</x:v>
      </x:c>
      <x:c r="K349" s="45" t="str">
        <x:v>Kiosko</x:v>
      </x:c>
      <x:c r="L349" s="45" t="str">
        <x:v>Travel_and_Channel</x:v>
      </x:c>
      <x:c r="M349" s="45" t="str">
        <x:v>C4</x:v>
      </x:c>
      <x:c r="N349" s="45" t="str">
        <x:v>Sí</x:v>
      </x:c>
      <x:c r="O349" s="45" t="str">
        <x:v>Maria Anallely Sanchez Garcia</x:v>
      </x:c>
      <x:c r="P349" s="45" t="str">
        <x:v>Ops y Directorio Alsea · octubre 2026</x:v>
      </x:c>
      <x:c r="Q349" s="45" t="str">
        <x:v>Puntos proporcionados</x:v>
      </x:c>
      <x:c r="R349" s="45" t="str">
        <x:v>Abierta</x:v>
      </x:c>
      <x:c r="S349" s="45" t="str"/>
      <x:c r="T349" s="45" t="n">
        <x:f>IF(AND(OR(E349="Abierta",E349="Próxima Apertura"),N349="Sí",ISNUMBER(I349),ISNUMBER(J349),ABS(I349)&lt;=90,ABS(J349)&lt;=180),1,0)</x:f>
        <x:v>1</x:v>
      </x:c>
    </x:row>
    <x:row r="350" ht="23" customHeight="1">
      <x:c r="A350" s="45" t="str">
        <x:v>Centro Centro</x:v>
      </x:c>
      <x:c r="B350" s="45" t="str">
        <x:v>Maria Anallely Sanchez Garcia</x:v>
      </x:c>
      <x:c r="C350" s="50" t="str">
        <x:v>38796</x:v>
      </x:c>
      <x:c r="D350" s="45" t="str">
        <x:v>Apto T1 AMB Sala J</x:v>
      </x:c>
      <x:c r="E350" s="45" t="str">
        <x:v>Abierta</x:v>
      </x:c>
      <x:c r="F350" s="51" t="d">
        <x:v>2021-12-23T00:00:00.000Z</x:v>
      </x:c>
      <x:c r="G350" s="45" t="str">
        <x:v>Venustiano Carranza</x:v>
      </x:c>
      <x:c r="H350" s="45" t="str">
        <x:v>Ciudad De México</x:v>
      </x:c>
      <x:c r="I350" s="52" t="n">
        <x:v>19.43691</x:v>
      </x:c>
      <x:c r="J350" s="52" t="n">
        <x:v>-99.080271</x:v>
      </x:c>
      <x:c r="K350" s="45" t="str">
        <x:v>Kiosko</x:v>
      </x:c>
      <x:c r="L350" s="45" t="str">
        <x:v>Travel_and_Channel</x:v>
      </x:c>
      <x:c r="M350" s="45" t="str">
        <x:v>C4</x:v>
      </x:c>
      <x:c r="N350" s="45" t="str">
        <x:v>Sí</x:v>
      </x:c>
      <x:c r="O350" s="45" t="str">
        <x:v>Maria Anallely Sanchez Garcia</x:v>
      </x:c>
      <x:c r="P350" s="45" t="str">
        <x:v>Ops y Directorio Alsea · octubre 2026</x:v>
      </x:c>
      <x:c r="Q350" s="45" t="str">
        <x:v>Puntos proporcionados</x:v>
      </x:c>
      <x:c r="R350" s="45" t="str">
        <x:v>Abierta</x:v>
      </x:c>
      <x:c r="S350" s="45" t="str"/>
      <x:c r="T350" s="45" t="n">
        <x:f>IF(AND(OR(E350="Abierta",E350="Próxima Apertura"),N350="Sí",ISNUMBER(I350),ISNUMBER(J350),ABS(I350)&lt;=90,ABS(J350)&lt;=180),1,0)</x:f>
        <x:v>1</x:v>
      </x:c>
    </x:row>
    <x:row r="351" ht="23" customHeight="1">
      <x:c r="A351" s="45" t="str">
        <x:v>Centro Centro</x:v>
      </x:c>
      <x:c r="B351" s="45" t="str">
        <x:v>Maria Anallely Sanchez Garcia</x:v>
      </x:c>
      <x:c r="C351" s="50" t="str">
        <x:v>38803</x:v>
      </x:c>
      <x:c r="D351" s="45" t="str">
        <x:v>Apto T1 AMB Puerta 8</x:v>
      </x:c>
      <x:c r="E351" s="45" t="str">
        <x:v>Abierta</x:v>
      </x:c>
      <x:c r="F351" s="51" t="d">
        <x:v>2021-12-27T00:00:00.000Z</x:v>
      </x:c>
      <x:c r="G351" s="45" t="str">
        <x:v>Venustiano Carranza</x:v>
      </x:c>
      <x:c r="H351" s="45" t="str">
        <x:v>Ciudad De México</x:v>
      </x:c>
      <x:c r="I351" s="52" t="n">
        <x:v>19.4360735</x:v>
      </x:c>
      <x:c r="J351" s="52" t="n">
        <x:v>-99.0817085</x:v>
      </x:c>
      <x:c r="K351" s="45" t="str">
        <x:v>Kiosko</x:v>
      </x:c>
      <x:c r="L351" s="45" t="str">
        <x:v>Travel_and_Channel</x:v>
      </x:c>
      <x:c r="M351" s="45" t="str">
        <x:v>C4</x:v>
      </x:c>
      <x:c r="N351" s="45" t="str">
        <x:v>Sí</x:v>
      </x:c>
      <x:c r="O351" s="45" t="str">
        <x:v>Maria Anallely Sanchez Garcia</x:v>
      </x:c>
      <x:c r="P351" s="45" t="str">
        <x:v>Ops y Directorio Alsea · octubre 2026</x:v>
      </x:c>
      <x:c r="Q351" s="45" t="str">
        <x:v>Puntos proporcionados</x:v>
      </x:c>
      <x:c r="R351" s="45" t="str">
        <x:v>Abierta</x:v>
      </x:c>
      <x:c r="S351" s="45" t="str"/>
      <x:c r="T351" s="45" t="n">
        <x:f>IF(AND(OR(E351="Abierta",E351="Próxima Apertura"),N351="Sí",ISNUMBER(I351),ISNUMBER(J351),ABS(I351)&lt;=90,ABS(J351)&lt;=180),1,0)</x:f>
        <x:v>1</x:v>
      </x:c>
    </x:row>
    <x:row r="352" ht="23" customHeight="1">
      <x:c r="A352" s="45" t="str">
        <x:v>Centro Centro</x:v>
      </x:c>
      <x:c r="B352" s="45" t="str">
        <x:v>Maria Anallely Sanchez Garcia</x:v>
      </x:c>
      <x:c r="C352" s="50" t="str">
        <x:v>38906</x:v>
      </x:c>
      <x:c r="D352" s="45" t="str">
        <x:v>APTO Ciudad de MéxicoAMB PTA 2</x:v>
      </x:c>
      <x:c r="E352" s="45" t="str">
        <x:v>Abierta</x:v>
      </x:c>
      <x:c r="F352" s="51" t="d">
        <x:v>2022-09-20T00:00:00.000Z</x:v>
      </x:c>
      <x:c r="G352" s="45" t="str">
        <x:v>Venustiano Carranza</x:v>
      </x:c>
      <x:c r="H352" s="45" t="str">
        <x:v>Ciudad De México</x:v>
      </x:c>
      <x:c r="I352" s="52" t="n">
        <x:v>19.433576</x:v>
      </x:c>
      <x:c r="J352" s="52" t="n">
        <x:v>-99.085892</x:v>
      </x:c>
      <x:c r="K352" s="45" t="str">
        <x:v>Kiosko</x:v>
      </x:c>
      <x:c r="L352" s="45" t="str">
        <x:v>Travel_and_Channel</x:v>
      </x:c>
      <x:c r="M352" s="45" t="str">
        <x:v>C4</x:v>
      </x:c>
      <x:c r="N352" s="45" t="str">
        <x:v>Sí</x:v>
      </x:c>
      <x:c r="O352" s="45" t="str">
        <x:v>Maria Anallely Sanchez Garcia</x:v>
      </x:c>
      <x:c r="P352" s="45" t="str">
        <x:v>Ops y Directorio Alsea · octubre 2026</x:v>
      </x:c>
      <x:c r="Q352" s="45" t="str">
        <x:v>Puntos proporcionados</x:v>
      </x:c>
      <x:c r="R352" s="45" t="str">
        <x:v>Abierta</x:v>
      </x:c>
      <x:c r="S352" s="45" t="str"/>
      <x:c r="T352" s="45" t="n">
        <x:f>IF(AND(OR(E352="Abierta",E352="Próxima Apertura"),N352="Sí",ISNUMBER(I352),ISNUMBER(J352),ABS(I352)&lt;=90,ABS(J352)&lt;=180),1,0)</x:f>
        <x:v>1</x:v>
      </x:c>
    </x:row>
    <x:row r="353" ht="23" customHeight="1">
      <x:c r="A353" s="45" t="str">
        <x:v>Centro Centro</x:v>
      </x:c>
      <x:c r="B353" s="45" t="str">
        <x:v>Maria Anallely Sanchez Garcia</x:v>
      </x:c>
      <x:c r="C353" s="50" t="str">
        <x:v>38943</x:v>
      </x:c>
      <x:c r="D353" s="45" t="str">
        <x:v>Terraza T2 Amb</x:v>
      </x:c>
      <x:c r="E353" s="45" t="str">
        <x:v>Abierta</x:v>
      </x:c>
      <x:c r="F353" s="51" t="d">
        <x:v>2023-07-20T00:00:00.000Z</x:v>
      </x:c>
      <x:c r="G353" s="45" t="str">
        <x:v>Venustiano Carranza</x:v>
      </x:c>
      <x:c r="H353" s="45" t="str">
        <x:v>Ciudad De México</x:v>
      </x:c>
      <x:c r="I353" s="52" t="n">
        <x:v>19.4207194</x:v>
      </x:c>
      <x:c r="J353" s="52" t="n">
        <x:v>-99.0780594</x:v>
      </x:c>
      <x:c r="K353" s="45" t="str">
        <x:v>Cafe</x:v>
      </x:c>
      <x:c r="L353" s="45" t="str">
        <x:v>Travel_and_Channel</x:v>
      </x:c>
      <x:c r="M353" s="45" t="str">
        <x:v>C4</x:v>
      </x:c>
      <x:c r="N353" s="45" t="str">
        <x:v>Sí</x:v>
      </x:c>
      <x:c r="O353" s="45" t="str">
        <x:v>Maria Anallely Sanchez Garcia</x:v>
      </x:c>
      <x:c r="P353" s="45" t="str">
        <x:v>Ops y Directorio Alsea · octubre 2026</x:v>
      </x:c>
      <x:c r="Q353" s="45" t="str">
        <x:v>Puntos proporcionados</x:v>
      </x:c>
      <x:c r="R353" s="45" t="str">
        <x:v>Abierta</x:v>
      </x:c>
      <x:c r="S353" s="45" t="str"/>
      <x:c r="T353" s="45" t="n">
        <x:f>IF(AND(OR(E353="Abierta",E353="Próxima Apertura"),N353="Sí",ISNUMBER(I353),ISNUMBER(J353),ABS(I353)&lt;=90,ABS(J353)&lt;=180),1,0)</x:f>
        <x:v>1</x:v>
      </x:c>
    </x:row>
    <x:row r="354" ht="23" customHeight="1">
      <x:c r="A354" s="45" t="str">
        <x:v>Centro Centro</x:v>
      </x:c>
      <x:c r="B354" s="45" t="str">
        <x:v>Nora Caracas Saldaña</x:v>
      </x:c>
      <x:c r="C354" s="50" t="str">
        <x:v>38173</x:v>
      </x:c>
      <x:c r="D354" s="45" t="str">
        <x:v>Plaza Delta Planta Alta</x:v>
      </x:c>
      <x:c r="E354" s="45" t="str">
        <x:v>Abierta</x:v>
      </x:c>
      <x:c r="F354" s="51" t="d">
        <x:v>2005-12-16T00:00:00.000Z</x:v>
      </x:c>
      <x:c r="G354" s="45" t="str">
        <x:v>Benito Juárez</x:v>
      </x:c>
      <x:c r="H354" s="45" t="str">
        <x:v>Ciudad De México</x:v>
      </x:c>
      <x:c r="I354" s="52" t="n">
        <x:v>19.4025338</x:v>
      </x:c>
      <x:c r="J354" s="52" t="n">
        <x:v>-99.1540656</x:v>
      </x:c>
      <x:c r="K354" s="45" t="str">
        <x:v>Kiosko</x:v>
      </x:c>
      <x:c r="L354" s="45" t="str">
        <x:v>Retail</x:v>
      </x:c>
      <x:c r="M354" s="45" t="str">
        <x:v>C2</x:v>
      </x:c>
      <x:c r="N354" s="45" t="str">
        <x:v>Sí</x:v>
      </x:c>
      <x:c r="O354" s="45" t="str">
        <x:v>Nora Caracas Saldaña</x:v>
      </x:c>
      <x:c r="P354" s="45" t="str">
        <x:v>Ops y Directorio Alsea · octubre 2026</x:v>
      </x:c>
      <x:c r="Q354" s="45" t="str">
        <x:v>Puntos proporcionados</x:v>
      </x:c>
      <x:c r="R354" s="45" t="str">
        <x:v>Abierta</x:v>
      </x:c>
      <x:c r="S354" s="45" t="str"/>
      <x:c r="T354" s="45" t="n">
        <x:f>IF(AND(OR(E354="Abierta",E354="Próxima Apertura"),N354="Sí",ISNUMBER(I354),ISNUMBER(J354),ABS(I354)&lt;=90,ABS(J354)&lt;=180),1,0)</x:f>
        <x:v>1</x:v>
      </x:c>
    </x:row>
    <x:row r="355" ht="23" customHeight="1">
      <x:c r="A355" s="45" t="str">
        <x:v>Centro Centro</x:v>
      </x:c>
      <x:c r="B355" s="45" t="str">
        <x:v>Nora Caracas Saldaña</x:v>
      </x:c>
      <x:c r="C355" s="50" t="str">
        <x:v>38312</x:v>
      </x:c>
      <x:c r="D355" s="45" t="str">
        <x:v>La Salle</x:v>
      </x:c>
      <x:c r="E355" s="45" t="str">
        <x:v>Abierta</x:v>
      </x:c>
      <x:c r="F355" s="51" t="d">
        <x:v>2008-03-31T00:00:00.000Z</x:v>
      </x:c>
      <x:c r="G355" s="45" t="str">
        <x:v>Cuauhtémoc</x:v>
      </x:c>
      <x:c r="H355" s="45" t="str">
        <x:v>Ciudad De México</x:v>
      </x:c>
      <x:c r="I355" s="52" t="n">
        <x:v>19.4079122</x:v>
      </x:c>
      <x:c r="J355" s="52" t="n">
        <x:v>-99.1815012</x:v>
      </x:c>
      <x:c r="K355" s="45" t="str">
        <x:v>Cafe</x:v>
      </x:c>
      <x:c r="L355" s="45" t="str">
        <x:v>Institution</x:v>
      </x:c>
      <x:c r="M355" s="45" t="str">
        <x:v>C2</x:v>
      </x:c>
      <x:c r="N355" s="45" t="str">
        <x:v>Sí</x:v>
      </x:c>
      <x:c r="O355" s="45" t="str">
        <x:v>Nora Caracas Saldaña</x:v>
      </x:c>
      <x:c r="P355" s="45" t="str">
        <x:v>Ops y Directorio Alsea · octubre 2026</x:v>
      </x:c>
      <x:c r="Q355" s="45" t="str">
        <x:v>Puntos proporcionados</x:v>
      </x:c>
      <x:c r="R355" s="45" t="str">
        <x:v>Abierta</x:v>
      </x:c>
      <x:c r="S355" s="45" t="str"/>
      <x:c r="T355" s="45" t="n">
        <x:f>IF(AND(OR(E355="Abierta",E355="Próxima Apertura"),N355="Sí",ISNUMBER(I355),ISNUMBER(J355),ABS(I355)&lt;=90,ABS(J355)&lt;=180),1,0)</x:f>
        <x:v>1</x:v>
      </x:c>
    </x:row>
    <x:row r="356" ht="23" customHeight="1">
      <x:c r="A356" s="45" t="str">
        <x:v>Centro Centro</x:v>
      </x:c>
      <x:c r="B356" s="45" t="str">
        <x:v>Nora Caracas Saldaña</x:v>
      </x:c>
      <x:c r="C356" s="50" t="str">
        <x:v>38432</x:v>
      </x:c>
      <x:c r="D356" s="45" t="str">
        <x:v>Plaza Luis Cabrera</x:v>
      </x:c>
      <x:c r="E356" s="45" t="str">
        <x:v>Abierta</x:v>
      </x:c>
      <x:c r="F356" s="51" t="d">
        <x:v>2011-12-08T00:00:00.000Z</x:v>
      </x:c>
      <x:c r="G356" s="45" t="str">
        <x:v>Cuauhtémoc</x:v>
      </x:c>
      <x:c r="H356" s="45" t="str">
        <x:v>Ciudad De México</x:v>
      </x:c>
      <x:c r="I356" s="52" t="n">
        <x:v>19.4166209</x:v>
      </x:c>
      <x:c r="J356" s="52" t="n">
        <x:v>-99.159745</x:v>
      </x:c>
      <x:c r="K356" s="45" t="str">
        <x:v>Cafe</x:v>
      </x:c>
      <x:c r="L356" s="45" t="str">
        <x:v>Neighborhood</x:v>
      </x:c>
      <x:c r="M356" s="45" t="str">
        <x:v>C1</x:v>
      </x:c>
      <x:c r="N356" s="45" t="str">
        <x:v>Sí</x:v>
      </x:c>
      <x:c r="O356" s="45" t="str">
        <x:v>Nora Caracas Saldaña</x:v>
      </x:c>
      <x:c r="P356" s="45" t="str">
        <x:v>Ops y Directorio Alsea · octubre 2026</x:v>
      </x:c>
      <x:c r="Q356" s="45" t="str">
        <x:v>Puntos proporcionados</x:v>
      </x:c>
      <x:c r="R356" s="45" t="str">
        <x:v>Abierta</x:v>
      </x:c>
      <x:c r="S356" s="45" t="str"/>
      <x:c r="T356" s="45" t="n">
        <x:f>IF(AND(OR(E356="Abierta",E356="Próxima Apertura"),N356="Sí",ISNUMBER(I356),ISNUMBER(J356),ABS(I356)&lt;=90,ABS(J356)&lt;=180),1,0)</x:f>
        <x:v>1</x:v>
      </x:c>
    </x:row>
    <x:row r="357" ht="23" customHeight="1">
      <x:c r="A357" s="45" t="str">
        <x:v>Centro Centro</x:v>
      </x:c>
      <x:c r="B357" s="45" t="str">
        <x:v>Nora Caracas Saldaña</x:v>
      </x:c>
      <x:c r="C357" s="50" t="str">
        <x:v>38440</x:v>
      </x:c>
      <x:c r="D357" s="45" t="str">
        <x:v>Hospital Angeles Metropolitano</x:v>
      </x:c>
      <x:c r="E357" s="45" t="str">
        <x:v>Abierta</x:v>
      </x:c>
      <x:c r="F357" s="51" t="d">
        <x:v>2011-12-15T00:00:00.000Z</x:v>
      </x:c>
      <x:c r="G357" s="45" t="str">
        <x:v>Cuauhtémoc</x:v>
      </x:c>
      <x:c r="H357" s="45" t="str">
        <x:v>Ciudad De México</x:v>
      </x:c>
      <x:c r="I357" s="52" t="n">
        <x:v>19.4067405</x:v>
      </x:c>
      <x:c r="J357" s="52" t="n">
        <x:v>-99.1668712</x:v>
      </x:c>
      <x:c r="K357" s="45" t="str">
        <x:v>Cafe</x:v>
      </x:c>
      <x:c r="L357" s="45" t="str">
        <x:v>Institution</x:v>
      </x:c>
      <x:c r="M357" s="45" t="str">
        <x:v>C2</x:v>
      </x:c>
      <x:c r="N357" s="45" t="str">
        <x:v>Sí</x:v>
      </x:c>
      <x:c r="O357" s="45" t="str">
        <x:v>Nora Caracas Saldaña</x:v>
      </x:c>
      <x:c r="P357" s="45" t="str">
        <x:v>Ops y Directorio Alsea · octubre 2026</x:v>
      </x:c>
      <x:c r="Q357" s="45" t="str">
        <x:v>Puntos proporcionados</x:v>
      </x:c>
      <x:c r="R357" s="45" t="str">
        <x:v>Abierta</x:v>
      </x:c>
      <x:c r="S357" s="45" t="str"/>
      <x:c r="T357" s="45" t="n">
        <x:f>IF(AND(OR(E357="Abierta",E357="Próxima Apertura"),N357="Sí",ISNUMBER(I357),ISNUMBER(J357),ABS(I357)&lt;=90,ABS(J357)&lt;=180),1,0)</x:f>
        <x:v>1</x:v>
      </x:c>
    </x:row>
    <x:row r="358" ht="23" customHeight="1">
      <x:c r="A358" s="45" t="str">
        <x:v>Centro Centro</x:v>
      </x:c>
      <x:c r="B358" s="45" t="str">
        <x:v>Nora Caracas Saldaña</x:v>
      </x:c>
      <x:c r="C358" s="50" t="str">
        <x:v>38483</x:v>
      </x:c>
      <x:c r="D358" s="45" t="str">
        <x:v>Forum Buenavista</x:v>
      </x:c>
      <x:c r="E358" s="45" t="str">
        <x:v>Abierta</x:v>
      </x:c>
      <x:c r="F358" s="51" t="d">
        <x:v>2013-06-20T00:00:00.000Z</x:v>
      </x:c>
      <x:c r="G358" s="45" t="str">
        <x:v>Cuauhtémoc</x:v>
      </x:c>
      <x:c r="H358" s="45" t="str">
        <x:v>Ciudad De México</x:v>
      </x:c>
      <x:c r="I358" s="52" t="n">
        <x:v>19.4507152</x:v>
      </x:c>
      <x:c r="J358" s="52" t="n">
        <x:v>-99.1515093</x:v>
      </x:c>
      <x:c r="K358" s="45" t="str">
        <x:v>Cafe</x:v>
      </x:c>
      <x:c r="L358" s="45" t="str">
        <x:v>Retail</x:v>
      </x:c>
      <x:c r="M358" s="45" t="str">
        <x:v>C1</x:v>
      </x:c>
      <x:c r="N358" s="45" t="str">
        <x:v>Sí</x:v>
      </x:c>
      <x:c r="O358" s="45" t="str">
        <x:v>Nora Caracas Saldaña</x:v>
      </x:c>
      <x:c r="P358" s="45" t="str">
        <x:v>Ops y Directorio Alsea · octubre 2026</x:v>
      </x:c>
      <x:c r="Q358" s="45" t="str">
        <x:v>Puntos proporcionados</x:v>
      </x:c>
      <x:c r="R358" s="45" t="str">
        <x:v>Abierta</x:v>
      </x:c>
      <x:c r="S358" s="45" t="str"/>
      <x:c r="T358" s="45" t="n">
        <x:f>IF(AND(OR(E358="Abierta",E358="Próxima Apertura"),N358="Sí",ISNUMBER(I358),ISNUMBER(J358),ABS(I358)&lt;=90,ABS(J358)&lt;=180),1,0)</x:f>
        <x:v>1</x:v>
      </x:c>
    </x:row>
    <x:row r="359" ht="23" customHeight="1">
      <x:c r="A359" s="45" t="str">
        <x:v>Centro Centro</x:v>
      </x:c>
      <x:c r="B359" s="45" t="str">
        <x:v>Nora Caracas Saldaña</x:v>
      </x:c>
      <x:c r="C359" s="50" t="str">
        <x:v>38554</x:v>
      </x:c>
      <x:c r="D359" s="45" t="str">
        <x:v>Forum Buenavista II</x:v>
      </x:c>
      <x:c r="E359" s="45" t="str">
        <x:v>Abierta</x:v>
      </x:c>
      <x:c r="F359" s="51" t="d">
        <x:v>2014-09-25T00:00:00.000Z</x:v>
      </x:c>
      <x:c r="G359" s="45" t="str">
        <x:v>Cuauhtémoc</x:v>
      </x:c>
      <x:c r="H359" s="45" t="str">
        <x:v>Ciudad De México</x:v>
      </x:c>
      <x:c r="I359" s="52" t="n">
        <x:v>19.4497024</x:v>
      </x:c>
      <x:c r="J359" s="52" t="n">
        <x:v>-99.1515653</x:v>
      </x:c>
      <x:c r="K359" s="45" t="str">
        <x:v>Kiosko</x:v>
      </x:c>
      <x:c r="L359" s="45" t="str">
        <x:v>Retail</x:v>
      </x:c>
      <x:c r="M359" s="45" t="str">
        <x:v>C1</x:v>
      </x:c>
      <x:c r="N359" s="45" t="str">
        <x:v>Sí</x:v>
      </x:c>
      <x:c r="O359" s="45" t="str">
        <x:v>Nora Caracas Saldaña</x:v>
      </x:c>
      <x:c r="P359" s="45" t="str">
        <x:v>Ops y Directorio Alsea · octubre 2026</x:v>
      </x:c>
      <x:c r="Q359" s="45" t="str">
        <x:v>Puntos proporcionados</x:v>
      </x:c>
      <x:c r="R359" s="45" t="str">
        <x:v>Abierta</x:v>
      </x:c>
      <x:c r="S359" s="45" t="str"/>
      <x:c r="T359" s="45" t="n">
        <x:f>IF(AND(OR(E359="Abierta",E359="Próxima Apertura"),N359="Sí",ISNUMBER(I359),ISNUMBER(J359),ABS(I359)&lt;=90,ABS(J359)&lt;=180),1,0)</x:f>
        <x:v>1</x:v>
      </x:c>
    </x:row>
    <x:row r="360" ht="23" customHeight="1">
      <x:c r="A360" s="45" t="str">
        <x:v>Centro Centro</x:v>
      </x:c>
      <x:c r="B360" s="45" t="str">
        <x:v>Nora Caracas Saldaña</x:v>
      </x:c>
      <x:c r="C360" s="50" t="str">
        <x:v>38556</x:v>
      </x:c>
      <x:c r="D360" s="45" t="str">
        <x:v>Tuxpan 53</x:v>
      </x:c>
      <x:c r="E360" s="45" t="str">
        <x:v>Abierta</x:v>
      </x:c>
      <x:c r="F360" s="51" t="d">
        <x:v>2014-09-26T00:00:00.000Z</x:v>
      </x:c>
      <x:c r="G360" s="45" t="str">
        <x:v>Cuauhtémoc</x:v>
      </x:c>
      <x:c r="H360" s="45" t="str">
        <x:v>Ciudad De México</x:v>
      </x:c>
      <x:c r="I360" s="52" t="n">
        <x:v>19.4041632</x:v>
      </x:c>
      <x:c r="J360" s="52" t="n">
        <x:v>-99.1674161</x:v>
      </x:c>
      <x:c r="K360" s="45" t="str">
        <x:v>Cafe</x:v>
      </x:c>
      <x:c r="L360" s="45" t="str">
        <x:v>Neighborhood</x:v>
      </x:c>
      <x:c r="M360" s="45" t="str">
        <x:v>C2</x:v>
      </x:c>
      <x:c r="N360" s="45" t="str">
        <x:v>Sí</x:v>
      </x:c>
      <x:c r="O360" s="45" t="str">
        <x:v>Nora Caracas Saldaña</x:v>
      </x:c>
      <x:c r="P360" s="45" t="str">
        <x:v>Ops y Directorio Alsea · octubre 2026</x:v>
      </x:c>
      <x:c r="Q360" s="45" t="str">
        <x:v>Puntos proporcionados</x:v>
      </x:c>
      <x:c r="R360" s="45" t="str">
        <x:v>Abierta</x:v>
      </x:c>
      <x:c r="S360" s="45" t="str"/>
      <x:c r="T360" s="45" t="n">
        <x:f>IF(AND(OR(E360="Abierta",E360="Próxima Apertura"),N360="Sí",ISNUMBER(I360),ISNUMBER(J360),ABS(I360)&lt;=90,ABS(J360)&lt;=180),1,0)</x:f>
        <x:v>1</x:v>
      </x:c>
    </x:row>
    <x:row r="361" ht="23" customHeight="1">
      <x:c r="A361" s="45" t="str">
        <x:v>Centro Centro</x:v>
      </x:c>
      <x:c r="B361" s="45" t="str">
        <x:v>Nora Caracas Saldaña</x:v>
      </x:c>
      <x:c r="C361" s="50" t="str">
        <x:v>38558</x:v>
      </x:c>
      <x:c r="D361" s="45" t="str">
        <x:v>Roma Sur</x:v>
      </x:c>
      <x:c r="E361" s="45" t="str">
        <x:v>Abierta</x:v>
      </x:c>
      <x:c r="F361" s="51" t="d">
        <x:v>2014-09-26T00:00:00.000Z</x:v>
      </x:c>
      <x:c r="G361" s="45" t="str">
        <x:v>Cuauhtémoc</x:v>
      </x:c>
      <x:c r="H361" s="45" t="str">
        <x:v>Ciudad De México</x:v>
      </x:c>
      <x:c r="I361" s="52" t="n">
        <x:v>19.406444</x:v>
      </x:c>
      <x:c r="J361" s="52" t="n">
        <x:v>-99.161189</x:v>
      </x:c>
      <x:c r="K361" s="45" t="str">
        <x:v>Cafe</x:v>
      </x:c>
      <x:c r="L361" s="45" t="str">
        <x:v>Neighborhood</x:v>
      </x:c>
      <x:c r="M361" s="45" t="str">
        <x:v>C1</x:v>
      </x:c>
      <x:c r="N361" s="45" t="str">
        <x:v>Sí</x:v>
      </x:c>
      <x:c r="O361" s="45" t="str">
        <x:v>Nora Caracas Saldaña</x:v>
      </x:c>
      <x:c r="P361" s="45" t="str">
        <x:v>Ops y Directorio Alsea · octubre 2026</x:v>
      </x:c>
      <x:c r="Q361" s="45" t="str">
        <x:v>Puntos proporcionados</x:v>
      </x:c>
      <x:c r="R361" s="45" t="str">
        <x:v>Abierta</x:v>
      </x:c>
      <x:c r="S361" s="45" t="str"/>
      <x:c r="T361" s="45" t="n">
        <x:f>IF(AND(OR(E361="Abierta",E361="Próxima Apertura"),N361="Sí",ISNUMBER(I361),ISNUMBER(J361),ABS(I361)&lt;=90,ABS(J361)&lt;=180),1,0)</x:f>
        <x:v>1</x:v>
      </x:c>
    </x:row>
    <x:row r="362" ht="23" customHeight="1">
      <x:c r="A362" s="45" t="str">
        <x:v>Centro Centro</x:v>
      </x:c>
      <x:c r="B362" s="45" t="str">
        <x:v>Nora Caracas Saldaña</x:v>
      </x:c>
      <x:c r="C362" s="50" t="str">
        <x:v>38602</x:v>
      </x:c>
      <x:c r="D362" s="45" t="str">
        <x:v>Obrero Mundial</x:v>
      </x:c>
      <x:c r="E362" s="45" t="str">
        <x:v>Abierta</x:v>
      </x:c>
      <x:c r="F362" s="51" t="d">
        <x:v>2015-09-14T00:00:00.000Z</x:v>
      </x:c>
      <x:c r="G362" s="45" t="str">
        <x:v>Benito Juárez</x:v>
      </x:c>
      <x:c r="H362" s="45" t="str">
        <x:v>Ciudad De México</x:v>
      </x:c>
      <x:c r="I362" s="52" t="n">
        <x:v>19.4018886</x:v>
      </x:c>
      <x:c r="J362" s="52" t="n">
        <x:v>-99.159756</x:v>
      </x:c>
      <x:c r="K362" s="45" t="str">
        <x:v>Cafe</x:v>
      </x:c>
      <x:c r="L362" s="45" t="str">
        <x:v>Retail</x:v>
      </x:c>
      <x:c r="M362" s="45" t="str">
        <x:v>C2</x:v>
      </x:c>
      <x:c r="N362" s="45" t="str">
        <x:v>Sí</x:v>
      </x:c>
      <x:c r="O362" s="45" t="str">
        <x:v>Nora Caracas Saldaña</x:v>
      </x:c>
      <x:c r="P362" s="45" t="str">
        <x:v>Ops y Directorio Alsea · octubre 2026</x:v>
      </x:c>
      <x:c r="Q362" s="45" t="str">
        <x:v>Puntos proporcionados</x:v>
      </x:c>
      <x:c r="R362" s="45" t="str">
        <x:v>Abierta</x:v>
      </x:c>
      <x:c r="S362" s="45" t="str"/>
      <x:c r="T362" s="45" t="n">
        <x:f>IF(AND(OR(E362="Abierta",E362="Próxima Apertura"),N362="Sí",ISNUMBER(I362),ISNUMBER(J362),ABS(I362)&lt;=90,ABS(J362)&lt;=180),1,0)</x:f>
        <x:v>1</x:v>
      </x:c>
    </x:row>
    <x:row r="363" ht="23" customHeight="1">
      <x:c r="A363" s="45" t="str">
        <x:v>Centro Centro</x:v>
      </x:c>
      <x:c r="B363" s="45" t="str">
        <x:v>Nora Caracas Saldaña</x:v>
      </x:c>
      <x:c r="C363" s="50" t="str">
        <x:v>38658</x:v>
      </x:c>
      <x:c r="D363" s="45" t="str">
        <x:v>Plaza Delta Planta Baja</x:v>
      </x:c>
      <x:c r="E363" s="45" t="str">
        <x:v>Abierta</x:v>
      </x:c>
      <x:c r="F363" s="51" t="d">
        <x:v>2016-08-12T00:00:00.000Z</x:v>
      </x:c>
      <x:c r="G363" s="45" t="str">
        <x:v>Benito Juárez</x:v>
      </x:c>
      <x:c r="H363" s="45" t="str">
        <x:v>Ciudad De México</x:v>
      </x:c>
      <x:c r="I363" s="52" t="n">
        <x:v>19.4027512</x:v>
      </x:c>
      <x:c r="J363" s="52" t="n">
        <x:v>-99.1546322</x:v>
      </x:c>
      <x:c r="K363" s="45" t="str">
        <x:v>Cafe</x:v>
      </x:c>
      <x:c r="L363" s="45" t="str">
        <x:v>Retail</x:v>
      </x:c>
      <x:c r="M363" s="45" t="str">
        <x:v>C2</x:v>
      </x:c>
      <x:c r="N363" s="45" t="str">
        <x:v>Sí</x:v>
      </x:c>
      <x:c r="O363" s="45" t="str">
        <x:v>Nora Caracas Saldaña</x:v>
      </x:c>
      <x:c r="P363" s="45" t="str">
        <x:v>Ops y Directorio Alsea · octubre 2026</x:v>
      </x:c>
      <x:c r="Q363" s="45" t="str">
        <x:v>Puntos proporcionados</x:v>
      </x:c>
      <x:c r="R363" s="45" t="str">
        <x:v>Abierta</x:v>
      </x:c>
      <x:c r="S363" s="45" t="str"/>
      <x:c r="T363" s="45" t="n">
        <x:f>IF(AND(OR(E363="Abierta",E363="Próxima Apertura"),N363="Sí",ISNUMBER(I363),ISNUMBER(J363),ABS(I363)&lt;=90,ABS(J363)&lt;=180),1,0)</x:f>
        <x:v>1</x:v>
      </x:c>
    </x:row>
    <x:row r="364" ht="23" customHeight="1">
      <x:c r="A364" s="45" t="str">
        <x:v>Centro Centro</x:v>
      </x:c>
      <x:c r="B364" s="45" t="str">
        <x:v>Nora Caracas Saldaña</x:v>
      </x:c>
      <x:c r="C364" s="50" t="str">
        <x:v>38752</x:v>
      </x:c>
      <x:c r="D364" s="45" t="str">
        <x:v>Star Medica Roma</x:v>
      </x:c>
      <x:c r="E364" s="45" t="str">
        <x:v>Abierta</x:v>
      </x:c>
      <x:c r="F364" s="51" t="d">
        <x:v>2017-08-28T00:00:00.000Z</x:v>
      </x:c>
      <x:c r="G364" s="45" t="str">
        <x:v>Cuauhtémoc</x:v>
      </x:c>
      <x:c r="H364" s="45" t="str">
        <x:v>Ciudad De México</x:v>
      </x:c>
      <x:c r="I364" s="52" t="n">
        <x:v>19.4139303</x:v>
      </x:c>
      <x:c r="J364" s="52" t="n">
        <x:v>-99.1612705</x:v>
      </x:c>
      <x:c r="K364" s="45" t="str">
        <x:v>Cafe</x:v>
      </x:c>
      <x:c r="L364" s="45" t="str">
        <x:v>Institution</x:v>
      </x:c>
      <x:c r="M364" s="45" t="str">
        <x:v>C2</x:v>
      </x:c>
      <x:c r="N364" s="45" t="str">
        <x:v>Sí</x:v>
      </x:c>
      <x:c r="O364" s="45" t="str">
        <x:v>Nora Caracas Saldaña</x:v>
      </x:c>
      <x:c r="P364" s="45" t="str">
        <x:v>Ops y Directorio Alsea · octubre 2026</x:v>
      </x:c>
      <x:c r="Q364" s="45" t="str">
        <x:v>Puntos proporcionados</x:v>
      </x:c>
      <x:c r="R364" s="45" t="str">
        <x:v>Abierta</x:v>
      </x:c>
      <x:c r="S364" s="45" t="str"/>
      <x:c r="T364" s="45" t="n">
        <x:f>IF(AND(OR(E364="Abierta",E364="Próxima Apertura"),N364="Sí",ISNUMBER(I364),ISNUMBER(J364),ABS(I364)&lt;=90,ABS(J364)&lt;=180),1,0)</x:f>
        <x:v>1</x:v>
      </x:c>
    </x:row>
    <x:row r="365" ht="23" customHeight="1">
      <x:c r="A365" s="45" t="str">
        <x:v>Centro Centro</x:v>
      </x:c>
      <x:c r="B365" s="45" t="str">
        <x:v>Nora Caracas Saldaña</x:v>
      </x:c>
      <x:c r="C365" s="50" t="str">
        <x:v>38850</x:v>
      </x:c>
      <x:c r="D365" s="45" t="str">
        <x:v>Hospital Angeles Clinica Londres</x:v>
      </x:c>
      <x:c r="E365" s="45" t="str">
        <x:v>Abierta</x:v>
      </x:c>
      <x:c r="F365" s="51" t="d">
        <x:v>2018-12-07T00:00:00.000Z</x:v>
      </x:c>
      <x:c r="G365" s="45" t="str">
        <x:v>Cuauhtémoc</x:v>
      </x:c>
      <x:c r="H365" s="45" t="str">
        <x:v>Ciudad De México</x:v>
      </x:c>
      <x:c r="I365" s="52" t="n">
        <x:v>19.4215899</x:v>
      </x:c>
      <x:c r="J365" s="52" t="n">
        <x:v>-99.15632</x:v>
      </x:c>
      <x:c r="K365" s="45" t="str">
        <x:v>Cafe</x:v>
      </x:c>
      <x:c r="L365" s="45" t="str">
        <x:v>Institution</x:v>
      </x:c>
      <x:c r="M365" s="45" t="str">
        <x:v>C2</x:v>
      </x:c>
      <x:c r="N365" s="45" t="str">
        <x:v>Sí</x:v>
      </x:c>
      <x:c r="O365" s="45" t="str">
        <x:v>Nora Caracas Saldaña</x:v>
      </x:c>
      <x:c r="P365" s="45" t="str">
        <x:v>Ops y Directorio Alsea · octubre 2026</x:v>
      </x:c>
      <x:c r="Q365" s="45" t="str">
        <x:v>Puntos proporcionados</x:v>
      </x:c>
      <x:c r="R365" s="45" t="str">
        <x:v>Abierta</x:v>
      </x:c>
      <x:c r="S365" s="45" t="str"/>
      <x:c r="T365" s="45" t="n">
        <x:f>IF(AND(OR(E365="Abierta",E365="Próxima Apertura"),N365="Sí",ISNUMBER(I365),ISNUMBER(J365),ABS(I365)&lt;=90,ABS(J365)&lt;=180),1,0)</x:f>
        <x:v>1</x:v>
      </x:c>
    </x:row>
    <x:row r="366" ht="23" customHeight="1">
      <x:c r="A366" s="45" t="str">
        <x:v>Centro Centro</x:v>
      </x:c>
      <x:c r="B366" s="45" t="str">
        <x:v>Sin asignación</x:v>
      </x:c>
      <x:c r="C366" s="50" t="str">
        <x:v>38156</x:v>
      </x:c>
      <x:c r="D366" s="45" t="str">
        <x:v>Condesa II Tamaulipas</x:v>
      </x:c>
      <x:c r="E366" s="45" t="str">
        <x:v>Cierre Definitivo</x:v>
      </x:c>
      <x:c r="F366" s="51" t="d">
        <x:v>2005-07-03T00:00:00.000Z</x:v>
      </x:c>
      <x:c r="G366" s="45" t="str">
        <x:v>Cuauhtémoc</x:v>
      </x:c>
      <x:c r="H366" s="45" t="str">
        <x:v>Ciudad De México</x:v>
      </x:c>
      <x:c r="I366" s="52" t="n">
        <x:v>19.4124</x:v>
      </x:c>
      <x:c r="J366" s="52" t="n">
        <x:v>-99.1733</x:v>
      </x:c>
      <x:c r="K366" s="45" t="str">
        <x:v>Cafe</x:v>
      </x:c>
      <x:c r="L366" s="45" t="str">
        <x:v>Neighborhood</x:v>
      </x:c>
      <x:c r="M366" s="45" t="str">
        <x:v>C1</x:v>
      </x:c>
      <x:c r="N366" s="45" t="str">
        <x:v>No</x:v>
      </x:c>
      <x:c r="O366" s="45" t="str">
        <x:v>Sin asignación</x:v>
      </x:c>
      <x:c r="P366" s="45" t="str">
        <x:v>Ops y Directorio Alsea · octubre 2026</x:v>
      </x:c>
      <x:c r="Q366" s="45" t="str">
        <x:v>Directorio Alsea octubre 2026</x:v>
      </x:c>
      <x:c r="R366" s="45" t="str">
        <x:v>Cierre Definitivo</x:v>
      </x:c>
      <x:c r="S366" s="45" t="str"/>
      <x:c r="T366" s="45" t="n">
        <x:f>IF(AND(OR(E366="Abierta",E366="Próxima Apertura"),N366="Sí",ISNUMBER(I366),ISNUMBER(J366),ABS(I366)&lt;=90,ABS(J366)&lt;=180),1,0)</x:f>
        <x:v>0</x:v>
      </x:c>
    </x:row>
    <x:row r="367" ht="23" customHeight="1">
      <x:c r="A367" s="45" t="str">
        <x:v>Centro Centro</x:v>
      </x:c>
      <x:c r="B367" s="45" t="str">
        <x:v>Sin asignación</x:v>
      </x:c>
      <x:c r="C367" s="50" t="str">
        <x:v>38202</x:v>
      </x:c>
      <x:c r="D367" s="45" t="str">
        <x:v>Horacio</x:v>
      </x:c>
      <x:c r="E367" s="45" t="str">
        <x:v>Cierre Definitivo</x:v>
      </x:c>
      <x:c r="F367" s="51" t="d">
        <x:v>2006-10-29T00:00:00.000Z</x:v>
      </x:c>
      <x:c r="G367" s="45" t="str">
        <x:v>Miguel Hidalgo</x:v>
      </x:c>
      <x:c r="H367" s="45" t="str">
        <x:v>Ciudad De México</x:v>
      </x:c>
      <x:c r="I367" s="52" t="n">
        <x:v>19.4329</x:v>
      </x:c>
      <x:c r="J367" s="52" t="n">
        <x:v>-99.1868</x:v>
      </x:c>
      <x:c r="K367" s="45" t="str">
        <x:v>Cafe</x:v>
      </x:c>
      <x:c r="L367" s="45" t="str">
        <x:v>Office_Complex</x:v>
      </x:c>
      <x:c r="M367" s="45" t="str">
        <x:v>C2</x:v>
      </x:c>
      <x:c r="N367" s="45" t="str">
        <x:v>No</x:v>
      </x:c>
      <x:c r="O367" s="45" t="str">
        <x:v>Sin asignación</x:v>
      </x:c>
      <x:c r="P367" s="45" t="str">
        <x:v>Ops y Directorio Alsea · octubre 2026</x:v>
      </x:c>
      <x:c r="Q367" s="45" t="str">
        <x:v>Directorio Alsea octubre 2026</x:v>
      </x:c>
      <x:c r="R367" s="45" t="str">
        <x:v>Cierre Definitivo</x:v>
      </x:c>
      <x:c r="S367" s="45" t="str"/>
      <x:c r="T367" s="45" t="n">
        <x:f>IF(AND(OR(E367="Abierta",E367="Próxima Apertura"),N367="Sí",ISNUMBER(I367),ISNUMBER(J367),ABS(I367)&lt;=90,ABS(J367)&lt;=180),1,0)</x:f>
        <x:v>0</x:v>
      </x:c>
    </x:row>
    <x:row r="368" ht="23" customHeight="1">
      <x:c r="A368" s="45" t="str">
        <x:v>Centro Centro</x:v>
      </x:c>
      <x:c r="B368" s="45" t="str">
        <x:v>Sin asignación</x:v>
      </x:c>
      <x:c r="C368" s="50" t="str">
        <x:v>38421</x:v>
      </x:c>
      <x:c r="D368" s="45" t="str">
        <x:v>Durango</x:v>
      </x:c>
      <x:c r="E368" s="45" t="str">
        <x:v>Cierre Definitivo</x:v>
      </x:c>
      <x:c r="F368" s="51"/>
      <x:c r="G368" s="45" t="str">
        <x:v>Ciudad de México</x:v>
      </x:c>
      <x:c r="H368" s="45" t="str">
        <x:v>Ciudad de México</x:v>
      </x:c>
      <x:c r="I368" s="52" t="n">
        <x:v>19.419944</x:v>
      </x:c>
      <x:c r="J368" s="52" t="n">
        <x:v>-99.167699</x:v>
      </x:c>
      <x:c r="K368" s="45" t="str"/>
      <x:c r="L368" s="45" t="str"/>
      <x:c r="M368" s="45" t="str"/>
      <x:c r="N368" s="45" t="str">
        <x:v>No</x:v>
      </x:c>
      <x:c r="O368" s="45" t="str">
        <x:v>Sin asignación</x:v>
      </x:c>
      <x:c r="P368" s="45" t="str">
        <x:v>Directorio Alsea octubre 2026</x:v>
      </x:c>
      <x:c r="Q368" s="45" t="str">
        <x:v>Directorio Alsea octubre 2026</x:v>
      </x:c>
      <x:c r="R368" s="45" t="str">
        <x:v>Cierre Definitivo</x:v>
      </x:c>
      <x:c r="S368" s="45" t="str"/>
      <x:c r="T368" s="45" t="n">
        <x:f>IF(AND(OR(E368="Abierta",E368="Próxima Apertura"),N368="Sí",ISNUMBER(I368),ISNUMBER(J368),ABS(I368)&lt;=90,ABS(J368)&lt;=180),1,0)</x:f>
        <x:v>0</x:v>
      </x:c>
    </x:row>
    <x:row r="369" ht="23" customHeight="1">
      <x:c r="A369" s="45" t="str">
        <x:v>Centro Centro</x:v>
      </x:c>
      <x:c r="B369" s="45" t="str">
        <x:v>Sin asignación</x:v>
      </x:c>
      <x:c r="C369" s="50" t="str">
        <x:v>38495</x:v>
      </x:c>
      <x:c r="D369" s="45" t="str">
        <x:v>Torre Origami</x:v>
      </x:c>
      <x:c r="E369" s="45" t="str">
        <x:v>Cierre Definitivo</x:v>
      </x:c>
      <x:c r="F369" s="51"/>
      <x:c r="G369" s="45" t="str">
        <x:v>Ciudad de México</x:v>
      </x:c>
      <x:c r="H369" s="45" t="str">
        <x:v>Ciudad de México</x:v>
      </x:c>
      <x:c r="I369" s="52" t="n">
        <x:v>19.3688</x:v>
      </x:c>
      <x:c r="J369" s="52" t="n">
        <x:v>-99.1803</x:v>
      </x:c>
      <x:c r="K369" s="45" t="str"/>
      <x:c r="L369" s="45" t="str"/>
      <x:c r="M369" s="45" t="str"/>
      <x:c r="N369" s="45" t="str">
        <x:v>No</x:v>
      </x:c>
      <x:c r="O369" s="45" t="str">
        <x:v>Sin asignación</x:v>
      </x:c>
      <x:c r="P369" s="45" t="str">
        <x:v>Directorio Alsea octubre 2026</x:v>
      </x:c>
      <x:c r="Q369" s="45" t="str">
        <x:v>Directorio Alsea octubre 2026</x:v>
      </x:c>
      <x:c r="R369" s="45" t="str">
        <x:v>Cierre Definitivo</x:v>
      </x:c>
      <x:c r="S369" s="45" t="str"/>
      <x:c r="T369" s="45" t="n">
        <x:f>IF(AND(OR(E369="Abierta",E369="Próxima Apertura"),N369="Sí",ISNUMBER(I369),ISNUMBER(J369),ABS(I369)&lt;=90,ABS(J369)&lt;=180),1,0)</x:f>
        <x:v>0</x:v>
      </x:c>
    </x:row>
    <x:row r="370" ht="23" customHeight="1">
      <x:c r="A370" s="45" t="str">
        <x:v>Centro Centro</x:v>
      </x:c>
      <x:c r="B370" s="45" t="str">
        <x:v>Sin asignación</x:v>
      </x:c>
      <x:c r="C370" s="50" t="str">
        <x:v>38632</x:v>
      </x:c>
      <x:c r="D370" s="45" t="str">
        <x:v>Madero II</x:v>
      </x:c>
      <x:c r="E370" s="45" t="str">
        <x:v>Cierre Definitivo</x:v>
      </x:c>
      <x:c r="F370" s="51" t="d">
        <x:v>2015-12-22T00:00:00.000Z</x:v>
      </x:c>
      <x:c r="G370" s="45" t="str">
        <x:v>Cuauhtémoc</x:v>
      </x:c>
      <x:c r="H370" s="45" t="str">
        <x:v>Ciudad De México</x:v>
      </x:c>
      <x:c r="I370" s="52" t="n">
        <x:v>19.4337</x:v>
      </x:c>
      <x:c r="J370" s="52" t="n">
        <x:v>-99.1384</x:v>
      </x:c>
      <x:c r="K370" s="45" t="str">
        <x:v>Cafe</x:v>
      </x:c>
      <x:c r="L370" s="45" t="str">
        <x:v>Retail</x:v>
      </x:c>
      <x:c r="M370" s="45" t="str">
        <x:v>C2</x:v>
      </x:c>
      <x:c r="N370" s="45" t="str">
        <x:v>No</x:v>
      </x:c>
      <x:c r="O370" s="45" t="str">
        <x:v>Sin asignación</x:v>
      </x:c>
      <x:c r="P370" s="45" t="str">
        <x:v>Ops y Directorio Alsea · octubre 2026</x:v>
      </x:c>
      <x:c r="Q370" s="45" t="str">
        <x:v>Directorio Alsea octubre 2026</x:v>
      </x:c>
      <x:c r="R370" s="45" t="str">
        <x:v>Cierre Definitivo</x:v>
      </x:c>
      <x:c r="S370" s="45" t="str"/>
      <x:c r="T370" s="45" t="n">
        <x:f>IF(AND(OR(E370="Abierta",E370="Próxima Apertura"),N370="Sí",ISNUMBER(I370),ISNUMBER(J370),ABS(I370)&lt;=90,ABS(J370)&lt;=180),1,0)</x:f>
        <x:v>0</x:v>
      </x:c>
    </x:row>
    <x:row r="371" ht="23" customHeight="1">
      <x:c r="A371" s="45" t="str">
        <x:v>Centro Centro</x:v>
      </x:c>
      <x:c r="B371" s="45" t="str">
        <x:v>Sin asignación</x:v>
      </x:c>
      <x:c r="C371" s="50" t="str">
        <x:v>38915</x:v>
      </x:c>
      <x:c r="D371" s="45" t="str">
        <x:v>Cinemex Galerias Insurgentes</x:v>
      </x:c>
      <x:c r="E371" s="45" t="str">
        <x:v>Cierre Definitivo</x:v>
      </x:c>
      <x:c r="F371" s="51" t="d">
        <x:v>2022-11-14T00:00:00.000Z</x:v>
      </x:c>
      <x:c r="G371" s="45" t="str">
        <x:v>Benito Juárez</x:v>
      </x:c>
      <x:c r="H371" s="45" t="str">
        <x:v>Ciudad De México</x:v>
      </x:c>
      <x:c r="I371" s="52" t="n">
        <x:v>19.37114737</x:v>
      </x:c>
      <x:c r="J371" s="52" t="n">
        <x:v>-99.17868597</x:v>
      </x:c>
      <x:c r="K371" s="45" t="str">
        <x:v>Cafe</x:v>
      </x:c>
      <x:c r="L371" s="45" t="str">
        <x:v>Retail</x:v>
      </x:c>
      <x:c r="M371" s="45" t="str"/>
      <x:c r="N371" s="45" t="str">
        <x:v>No</x:v>
      </x:c>
      <x:c r="O371" s="45" t="str">
        <x:v>Sin asignación</x:v>
      </x:c>
      <x:c r="P371" s="45" t="str">
        <x:v>Ops y Directorio Alsea · octubre 2026</x:v>
      </x:c>
      <x:c r="Q371" s="45" t="str">
        <x:v>Directorio Alsea octubre 2026</x:v>
      </x:c>
      <x:c r="R371" s="45" t="str">
        <x:v>Cierre Definitivo</x:v>
      </x:c>
      <x:c r="S371" s="45" t="str"/>
      <x:c r="T371" s="45" t="n">
        <x:f>IF(AND(OR(E371="Abierta",E371="Próxima Apertura"),N371="Sí",ISNUMBER(I371),ISNUMBER(J371),ABS(I371)&lt;=90,ABS(J371)&lt;=180),1,0)</x:f>
        <x:v>0</x:v>
      </x:c>
    </x:row>
    <x:row r="372" ht="23" customHeight="1">
      <x:c r="A372" s="45" t="str">
        <x:v>Centro Centro</x:v>
      </x:c>
      <x:c r="B372" s="45" t="str">
        <x:v>Vacante</x:v>
      </x:c>
      <x:c r="C372" s="50" t="str">
        <x:v>38123</x:v>
      </x:c>
      <x:c r="D372" s="45" t="str">
        <x:v>Plaza Alameda</x:v>
      </x:c>
      <x:c r="E372" s="45" t="str">
        <x:v>Abierta</x:v>
      </x:c>
      <x:c r="F372" s="51" t="d">
        <x:v>2004-01-22T00:00:00.000Z</x:v>
      </x:c>
      <x:c r="G372" s="45" t="str">
        <x:v>Cuauhtémoc</x:v>
      </x:c>
      <x:c r="H372" s="45" t="str">
        <x:v>Ciudad De México</x:v>
      </x:c>
      <x:c r="I372" s="52" t="n">
        <x:v>19.4350013</x:v>
      </x:c>
      <x:c r="J372" s="52" t="n">
        <x:v>-99.1466981</x:v>
      </x:c>
      <x:c r="K372" s="45" t="str">
        <x:v>Cafe</x:v>
      </x:c>
      <x:c r="L372" s="45" t="str">
        <x:v>Retail</x:v>
      </x:c>
      <x:c r="M372" s="45" t="str">
        <x:v>C2</x:v>
      </x:c>
      <x:c r="N372" s="45" t="str">
        <x:v>Sí</x:v>
      </x:c>
      <x:c r="O372" s="45" t="str">
        <x:v>Vacante</x:v>
      </x:c>
      <x:c r="P372" s="45" t="str">
        <x:v>Ops y Directorio Alsea · octubre 2026</x:v>
      </x:c>
      <x:c r="Q372" s="45" t="str">
        <x:v>Puntos proporcionados</x:v>
      </x:c>
      <x:c r="R372" s="45" t="str">
        <x:v>Abierta</x:v>
      </x:c>
      <x:c r="S372" s="45" t="str"/>
      <x:c r="T372" s="45" t="n">
        <x:f>IF(AND(OR(E372="Abierta",E372="Próxima Apertura"),N372="Sí",ISNUMBER(I372),ISNUMBER(J372),ABS(I372)&lt;=90,ABS(J372)&lt;=180),1,0)</x:f>
        <x:v>1</x:v>
      </x:c>
    </x:row>
    <x:row r="373" ht="23" customHeight="1">
      <x:c r="A373" s="45" t="str">
        <x:v>Centro Centro</x:v>
      </x:c>
      <x:c r="B373" s="45" t="str">
        <x:v>Vacante</x:v>
      </x:c>
      <x:c r="C373" s="50" t="str">
        <x:v>38155</x:v>
      </x:c>
      <x:c r="D373" s="45" t="str">
        <x:v>16 de Septiembre</x:v>
      </x:c>
      <x:c r="E373" s="45" t="str">
        <x:v>Abierta</x:v>
      </x:c>
      <x:c r="F373" s="51" t="d">
        <x:v>2005-06-30T00:00:00.000Z</x:v>
      </x:c>
      <x:c r="G373" s="45" t="str">
        <x:v>Cuauhtémoc</x:v>
      </x:c>
      <x:c r="H373" s="45" t="str">
        <x:v>Ciudad De México</x:v>
      </x:c>
      <x:c r="I373" s="52" t="n">
        <x:v>19.432162</x:v>
      </x:c>
      <x:c r="J373" s="52" t="n">
        <x:v>-99.135101</x:v>
      </x:c>
      <x:c r="K373" s="45" t="str">
        <x:v>Cafe</x:v>
      </x:c>
      <x:c r="L373" s="45" t="str">
        <x:v>Retail</x:v>
      </x:c>
      <x:c r="M373" s="45" t="str">
        <x:v>C2</x:v>
      </x:c>
      <x:c r="N373" s="45" t="str">
        <x:v>Sí</x:v>
      </x:c>
      <x:c r="O373" s="45" t="str">
        <x:v>Vacante</x:v>
      </x:c>
      <x:c r="P373" s="45" t="str">
        <x:v>Ops y Directorio Alsea · octubre 2026</x:v>
      </x:c>
      <x:c r="Q373" s="45" t="str">
        <x:v>Puntos proporcionados</x:v>
      </x:c>
      <x:c r="R373" s="45" t="str">
        <x:v>Abierta</x:v>
      </x:c>
      <x:c r="S373" s="45" t="str"/>
      <x:c r="T373" s="45" t="n">
        <x:f>IF(AND(OR(E373="Abierta",E373="Próxima Apertura"),N373="Sí",ISNUMBER(I373),ISNUMBER(J373),ABS(I373)&lt;=90,ABS(J373)&lt;=180),1,0)</x:f>
        <x:v>1</x:v>
      </x:c>
    </x:row>
    <x:row r="374" ht="23" customHeight="1">
      <x:c r="A374" s="45" t="str">
        <x:v>Centro Centro</x:v>
      </x:c>
      <x:c r="B374" s="45" t="str">
        <x:v>Vacante</x:v>
      </x:c>
      <x:c r="C374" s="50" t="str">
        <x:v>38203</x:v>
      </x:c>
      <x:c r="D374" s="45" t="str">
        <x:v>Embassy Suites</x:v>
      </x:c>
      <x:c r="E374" s="45" t="str">
        <x:v>Abierta</x:v>
      </x:c>
      <x:c r="F374" s="51" t="d">
        <x:v>2006-11-07T00:00:00.000Z</x:v>
      </x:c>
      <x:c r="G374" s="45" t="str">
        <x:v>Cuauhtémoc</x:v>
      </x:c>
      <x:c r="H374" s="45" t="str">
        <x:v>Ciudad De México</x:v>
      </x:c>
      <x:c r="I374" s="52" t="n">
        <x:v>19.4337094</x:v>
      </x:c>
      <x:c r="J374" s="52" t="n">
        <x:v>-99.154458</x:v>
      </x:c>
      <x:c r="K374" s="45" t="str">
        <x:v>Cafe</x:v>
      </x:c>
      <x:c r="L374" s="45" t="str">
        <x:v>Retail</x:v>
      </x:c>
      <x:c r="M374" s="45" t="str">
        <x:v>C2</x:v>
      </x:c>
      <x:c r="N374" s="45" t="str">
        <x:v>Sí</x:v>
      </x:c>
      <x:c r="O374" s="45" t="str">
        <x:v>Vacante</x:v>
      </x:c>
      <x:c r="P374" s="45" t="str">
        <x:v>Ops y Directorio Alsea · octubre 2026</x:v>
      </x:c>
      <x:c r="Q374" s="45" t="str">
        <x:v>Puntos proporcionados</x:v>
      </x:c>
      <x:c r="R374" s="45" t="str">
        <x:v>Abierta</x:v>
      </x:c>
      <x:c r="S374" s="45" t="str"/>
      <x:c r="T374" s="45" t="n">
        <x:f>IF(AND(OR(E374="Abierta",E374="Próxima Apertura"),N374="Sí",ISNUMBER(I374),ISNUMBER(J374),ABS(I374)&lt;=90,ABS(J374)&lt;=180),1,0)</x:f>
        <x:v>1</x:v>
      </x:c>
    </x:row>
    <x:row r="375" ht="23" customHeight="1">
      <x:c r="A375" s="45" t="str">
        <x:v>Centro Centro</x:v>
      </x:c>
      <x:c r="B375" s="45" t="str">
        <x:v>Vacante</x:v>
      </x:c>
      <x:c r="C375" s="50" t="str">
        <x:v>38234</x:v>
      </x:c>
      <x:c r="D375" s="45" t="str">
        <x:v>Fiesta Americana Reforma</x:v>
      </x:c>
      <x:c r="E375" s="45" t="str">
        <x:v>Abierta</x:v>
      </x:c>
      <x:c r="F375" s="51" t="d">
        <x:v>2007-06-11T00:00:00.000Z</x:v>
      </x:c>
      <x:c r="G375" s="45" t="str">
        <x:v>Cuauhtémoc</x:v>
      </x:c>
      <x:c r="H375" s="45" t="str">
        <x:v>Ciudad De México</x:v>
      </x:c>
      <x:c r="I375" s="52" t="n">
        <x:v>19.432767</x:v>
      </x:c>
      <x:c r="J375" s="52" t="n">
        <x:v>-99.154919</x:v>
      </x:c>
      <x:c r="K375" s="45" t="str">
        <x:v>Cafe</x:v>
      </x:c>
      <x:c r="L375" s="45" t="str">
        <x:v>Retail</x:v>
      </x:c>
      <x:c r="M375" s="45" t="str">
        <x:v>C2</x:v>
      </x:c>
      <x:c r="N375" s="45" t="str">
        <x:v>Sí</x:v>
      </x:c>
      <x:c r="O375" s="45" t="str">
        <x:v>Vacante</x:v>
      </x:c>
      <x:c r="P375" s="45" t="str">
        <x:v>Ops y Directorio Alsea · octubre 2026</x:v>
      </x:c>
      <x:c r="Q375" s="45" t="str">
        <x:v>Puntos proporcionados</x:v>
      </x:c>
      <x:c r="R375" s="45" t="str">
        <x:v>Abierta</x:v>
      </x:c>
      <x:c r="S375" s="45" t="str"/>
      <x:c r="T375" s="45" t="n">
        <x:f>IF(AND(OR(E375="Abierta",E375="Próxima Apertura"),N375="Sí",ISNUMBER(I375),ISNUMBER(J375),ABS(I375)&lt;=90,ABS(J375)&lt;=180),1,0)</x:f>
        <x:v>1</x:v>
      </x:c>
    </x:row>
    <x:row r="376" ht="23" customHeight="1">
      <x:c r="A376" s="45" t="str">
        <x:v>Centro Centro</x:v>
      </x:c>
      <x:c r="B376" s="45" t="str">
        <x:v>Vacante</x:v>
      </x:c>
      <x:c r="C376" s="50" t="str">
        <x:v>38376</x:v>
      </x:c>
      <x:c r="D376" s="45" t="str">
        <x:v>Torre Caballito</x:v>
      </x:c>
      <x:c r="E376" s="45" t="str">
        <x:v>Abierta</x:v>
      </x:c>
      <x:c r="F376" s="51" t="d">
        <x:v>2010-04-05T00:00:00.000Z</x:v>
      </x:c>
      <x:c r="G376" s="45" t="str">
        <x:v>Cuauhtémoc</x:v>
      </x:c>
      <x:c r="H376" s="45" t="str">
        <x:v>Ciudad De México</x:v>
      </x:c>
      <x:c r="I376" s="52" t="n">
        <x:v>19.4362</x:v>
      </x:c>
      <x:c r="J376" s="52" t="n">
        <x:v>-99.148977</x:v>
      </x:c>
      <x:c r="K376" s="45" t="str">
        <x:v>Cafe</x:v>
      </x:c>
      <x:c r="L376" s="45" t="str">
        <x:v>Office_Complex</x:v>
      </x:c>
      <x:c r="M376" s="45" t="str">
        <x:v>C1</x:v>
      </x:c>
      <x:c r="N376" s="45" t="str">
        <x:v>Sí</x:v>
      </x:c>
      <x:c r="O376" s="45" t="str">
        <x:v>Vacante</x:v>
      </x:c>
      <x:c r="P376" s="45" t="str">
        <x:v>Ops y Directorio Alsea · octubre 2026</x:v>
      </x:c>
      <x:c r="Q376" s="45" t="str">
        <x:v>Puntos proporcionados</x:v>
      </x:c>
      <x:c r="R376" s="45" t="str">
        <x:v>Abierta</x:v>
      </x:c>
      <x:c r="S376" s="45" t="str"/>
      <x:c r="T376" s="45" t="n">
        <x:f>IF(AND(OR(E376="Abierta",E376="Próxima Apertura"),N376="Sí",ISNUMBER(I376),ISNUMBER(J376),ABS(I376)&lt;=90,ABS(J376)&lt;=180),1,0)</x:f>
        <x:v>1</x:v>
      </x:c>
    </x:row>
    <x:row r="377" ht="23" customHeight="1">
      <x:c r="A377" s="45" t="str">
        <x:v>Centro Centro</x:v>
      </x:c>
      <x:c r="B377" s="45" t="str">
        <x:v>Vacante</x:v>
      </x:c>
      <x:c r="C377" s="50" t="str">
        <x:v>38463</x:v>
      </x:c>
      <x:c r="D377" s="45" t="str">
        <x:v>Uruguay</x:v>
      </x:c>
      <x:c r="E377" s="45" t="str">
        <x:v>Abierta</x:v>
      </x:c>
      <x:c r="F377" s="51" t="d">
        <x:v>2012-09-21T00:00:00.000Z</x:v>
      </x:c>
      <x:c r="G377" s="45" t="str">
        <x:v>Cuauhtémoc</x:v>
      </x:c>
      <x:c r="H377" s="45" t="str">
        <x:v>Ciudad De México</x:v>
      </x:c>
      <x:c r="I377" s="52" t="n">
        <x:v>19.430575</x:v>
      </x:c>
      <x:c r="J377" s="52" t="n">
        <x:v>-99.137206</x:v>
      </x:c>
      <x:c r="K377" s="45" t="str">
        <x:v>Cafe</x:v>
      </x:c>
      <x:c r="L377" s="45" t="str">
        <x:v>Retail</x:v>
      </x:c>
      <x:c r="M377" s="45" t="str">
        <x:v>C1</x:v>
      </x:c>
      <x:c r="N377" s="45" t="str">
        <x:v>Sí</x:v>
      </x:c>
      <x:c r="O377" s="45" t="str">
        <x:v>Vacante</x:v>
      </x:c>
      <x:c r="P377" s="45" t="str">
        <x:v>Ops y Directorio Alsea · octubre 2026</x:v>
      </x:c>
      <x:c r="Q377" s="45" t="str">
        <x:v>Puntos proporcionados</x:v>
      </x:c>
      <x:c r="R377" s="45" t="str">
        <x:v>Abierta</x:v>
      </x:c>
      <x:c r="S377" s="45" t="str"/>
      <x:c r="T377" s="45" t="n">
        <x:f>IF(AND(OR(E377="Abierta",E377="Próxima Apertura"),N377="Sí",ISNUMBER(I377),ISNUMBER(J377),ABS(I377)&lt;=90,ABS(J377)&lt;=180),1,0)</x:f>
        <x:v>1</x:v>
      </x:c>
    </x:row>
    <x:row r="378" ht="23" customHeight="1">
      <x:c r="A378" s="45" t="str">
        <x:v>Centro Centro</x:v>
      </x:c>
      <x:c r="B378" s="45" t="str">
        <x:v>Vacante</x:v>
      </x:c>
      <x:c r="C378" s="50" t="str">
        <x:v>38465</x:v>
      </x:c>
      <x:c r="D378" s="45" t="str">
        <x:v>Juarez 32</x:v>
      </x:c>
      <x:c r="E378" s="45" t="str">
        <x:v>Abierta</x:v>
      </x:c>
      <x:c r="F378" s="51" t="d">
        <x:v>2012-09-28T00:00:00.000Z</x:v>
      </x:c>
      <x:c r="G378" s="45" t="str">
        <x:v>Cuauhtémoc</x:v>
      </x:c>
      <x:c r="H378" s="45" t="str">
        <x:v>Ciudad De México</x:v>
      </x:c>
      <x:c r="I378" s="52" t="n">
        <x:v>19.43456</x:v>
      </x:c>
      <x:c r="J378" s="52" t="n">
        <x:v>-99.143191</x:v>
      </x:c>
      <x:c r="K378" s="45" t="str">
        <x:v>Cafe</x:v>
      </x:c>
      <x:c r="L378" s="45" t="str">
        <x:v>Retail</x:v>
      </x:c>
      <x:c r="M378" s="45" t="str">
        <x:v>C2</x:v>
      </x:c>
      <x:c r="N378" s="45" t="str">
        <x:v>Sí</x:v>
      </x:c>
      <x:c r="O378" s="45" t="str">
        <x:v>Vacante</x:v>
      </x:c>
      <x:c r="P378" s="45" t="str">
        <x:v>Ops y Directorio Alsea · octubre 2026</x:v>
      </x:c>
      <x:c r="Q378" s="45" t="str">
        <x:v>Puntos proporcionados</x:v>
      </x:c>
      <x:c r="R378" s="45" t="str">
        <x:v>Abierta</x:v>
      </x:c>
      <x:c r="S378" s="45" t="str"/>
      <x:c r="T378" s="45" t="n">
        <x:f>IF(AND(OR(E378="Abierta",E378="Próxima Apertura"),N378="Sí",ISNUMBER(I378),ISNUMBER(J378),ABS(I378)&lt;=90,ABS(J378)&lt;=180),1,0)</x:f>
        <x:v>1</x:v>
      </x:c>
    </x:row>
    <x:row r="379" ht="23" customHeight="1">
      <x:c r="A379" s="45" t="str">
        <x:v>Centro Centro</x:v>
      </x:c>
      <x:c r="B379" s="45" t="str">
        <x:v>Vacante</x:v>
      </x:c>
      <x:c r="C379" s="50" t="str">
        <x:v>38487</x:v>
      </x:c>
      <x:c r="D379" s="45" t="str">
        <x:v>Madero</x:v>
      </x:c>
      <x:c r="E379" s="45" t="str">
        <x:v>Abierta</x:v>
      </x:c>
      <x:c r="F379" s="51" t="d">
        <x:v>2013-03-31T00:00:00.000Z</x:v>
      </x:c>
      <x:c r="G379" s="45" t="str">
        <x:v>Cuauhtémoc</x:v>
      </x:c>
      <x:c r="H379" s="45" t="str">
        <x:v>Ciudad De México</x:v>
      </x:c>
      <x:c r="I379" s="52" t="n">
        <x:v>19.4338083</x:v>
      </x:c>
      <x:c r="J379" s="52" t="n">
        <x:v>-99.1368482</x:v>
      </x:c>
      <x:c r="K379" s="45" t="str">
        <x:v>Cafe</x:v>
      </x:c>
      <x:c r="L379" s="45" t="str">
        <x:v>Retail</x:v>
      </x:c>
      <x:c r="M379" s="45" t="str">
        <x:v>C2</x:v>
      </x:c>
      <x:c r="N379" s="45" t="str">
        <x:v>Sí</x:v>
      </x:c>
      <x:c r="O379" s="45" t="str">
        <x:v>Vacante</x:v>
      </x:c>
      <x:c r="P379" s="45" t="str">
        <x:v>Ops y Directorio Alsea · octubre 2026</x:v>
      </x:c>
      <x:c r="Q379" s="45" t="str">
        <x:v>Puntos proporcionados</x:v>
      </x:c>
      <x:c r="R379" s="45" t="str">
        <x:v>Abierta</x:v>
      </x:c>
      <x:c r="S379" s="45" t="str"/>
      <x:c r="T379" s="45" t="n">
        <x:f>IF(AND(OR(E379="Abierta",E379="Próxima Apertura"),N379="Sí",ISNUMBER(I379),ISNUMBER(J379),ABS(I379)&lt;=90,ABS(J379)&lt;=180),1,0)</x:f>
        <x:v>1</x:v>
      </x:c>
    </x:row>
    <x:row r="380" ht="23" customHeight="1">
      <x:c r="A380" s="45" t="str">
        <x:v>Centro Centro</x:v>
      </x:c>
      <x:c r="B380" s="45" t="str">
        <x:v>Vacante</x:v>
      </x:c>
      <x:c r="C380" s="50" t="str">
        <x:v>38497</x:v>
      </x:c>
      <x:c r="D380" s="45" t="str">
        <x:v>5 de Mayo</x:v>
      </x:c>
      <x:c r="E380" s="45" t="str">
        <x:v>Abierta</x:v>
      </x:c>
      <x:c r="F380" s="51" t="d">
        <x:v>2013-08-02T00:00:00.000Z</x:v>
      </x:c>
      <x:c r="G380" s="45" t="str">
        <x:v>Cuauhtémoc</x:v>
      </x:c>
      <x:c r="H380" s="45" t="str">
        <x:v>Ciudad De México</x:v>
      </x:c>
      <x:c r="I380" s="52" t="n">
        <x:v>19.4344843</x:v>
      </x:c>
      <x:c r="J380" s="52" t="n">
        <x:v>-99.1388776</x:v>
      </x:c>
      <x:c r="K380" s="45" t="str">
        <x:v>Cafe</x:v>
      </x:c>
      <x:c r="L380" s="45" t="str">
        <x:v>Retail</x:v>
      </x:c>
      <x:c r="M380" s="45" t="str">
        <x:v>C1</x:v>
      </x:c>
      <x:c r="N380" s="45" t="str">
        <x:v>Sí</x:v>
      </x:c>
      <x:c r="O380" s="45" t="str">
        <x:v>Vacante</x:v>
      </x:c>
      <x:c r="P380" s="45" t="str">
        <x:v>Ops y Directorio Alsea · octubre 2026</x:v>
      </x:c>
      <x:c r="Q380" s="45" t="str">
        <x:v>Puntos proporcionados</x:v>
      </x:c>
      <x:c r="R380" s="45" t="str">
        <x:v>Abierta</x:v>
      </x:c>
      <x:c r="S380" s="45" t="str"/>
      <x:c r="T380" s="45" t="n">
        <x:f>IF(AND(OR(E380="Abierta",E380="Próxima Apertura"),N380="Sí",ISNUMBER(I380),ISNUMBER(J380),ABS(I380)&lt;=90,ABS(J380)&lt;=180),1,0)</x:f>
        <x:v>1</x:v>
      </x:c>
    </x:row>
    <x:row r="381" ht="23" customHeight="1">
      <x:c r="A381" s="45" t="str">
        <x:v>Centro Centro</x:v>
      </x:c>
      <x:c r="B381" s="45" t="str">
        <x:v>Vacante</x:v>
      </x:c>
      <x:c r="C381" s="50" t="str">
        <x:v>38762</x:v>
      </x:c>
      <x:c r="D381" s="45" t="str">
        <x:v>Patio Boturini</x:v>
      </x:c>
      <x:c r="E381" s="45" t="str">
        <x:v>Abierta</x:v>
      </x:c>
      <x:c r="F381" s="51" t="d">
        <x:v>2017-11-27T00:00:00.000Z</x:v>
      </x:c>
      <x:c r="G381" s="45" t="str">
        <x:v>Cuauhtémoc</x:v>
      </x:c>
      <x:c r="H381" s="45" t="str">
        <x:v>Ciudad De México</x:v>
      </x:c>
      <x:c r="I381" s="52" t="n">
        <x:v>19.419403</x:v>
      </x:c>
      <x:c r="J381" s="52" t="n">
        <x:v>-99.129884</x:v>
      </x:c>
      <x:c r="K381" s="45" t="str">
        <x:v>Cafe</x:v>
      </x:c>
      <x:c r="L381" s="45" t="str">
        <x:v>Retail</x:v>
      </x:c>
      <x:c r="M381" s="45" t="str">
        <x:v>C1</x:v>
      </x:c>
      <x:c r="N381" s="45" t="str">
        <x:v>Sí</x:v>
      </x:c>
      <x:c r="O381" s="45" t="str">
        <x:v>Vacante</x:v>
      </x:c>
      <x:c r="P381" s="45" t="str">
        <x:v>Ops y Directorio Alsea · octubre 2026</x:v>
      </x:c>
      <x:c r="Q381" s="45" t="str">
        <x:v>Puntos proporcionados</x:v>
      </x:c>
      <x:c r="R381" s="45" t="str">
        <x:v>Abierta</x:v>
      </x:c>
      <x:c r="S381" s="45" t="str"/>
      <x:c r="T381" s="45" t="n">
        <x:f>IF(AND(OR(E381="Abierta",E381="Próxima Apertura"),N381="Sí",ISNUMBER(I381),ISNUMBER(J381),ABS(I381)&lt;=90,ABS(J381)&lt;=180),1,0)</x:f>
        <x:v>1</x:v>
      </x:c>
    </x:row>
    <x:row r="382" ht="23" customHeight="1">
      <x:c r="A382" s="45" t="str">
        <x:v>Centro Centro</x:v>
      </x:c>
      <x:c r="B382" s="45" t="str">
        <x:v>Vacante</x:v>
      </x:c>
      <x:c r="C382" s="50" t="str">
        <x:v>38785</x:v>
      </x:c>
      <x:c r="D382" s="45" t="str">
        <x:v>Versalles</x:v>
      </x:c>
      <x:c r="E382" s="45" t="str">
        <x:v>Abierta</x:v>
      </x:c>
      <x:c r="F382" s="51" t="d">
        <x:v>2018-01-29T00:00:00.000Z</x:v>
      </x:c>
      <x:c r="G382" s="45" t="str">
        <x:v>Cuauhtémoc</x:v>
      </x:c>
      <x:c r="H382" s="45" t="str">
        <x:v>Ciudad De México</x:v>
      </x:c>
      <x:c r="I382" s="52" t="n">
        <x:v>19.4302436</x:v>
      </x:c>
      <x:c r="J382" s="52" t="n">
        <x:v>-99.1545802</x:v>
      </x:c>
      <x:c r="K382" s="45" t="str">
        <x:v>Cafe</x:v>
      </x:c>
      <x:c r="L382" s="45" t="str">
        <x:v>Retail</x:v>
      </x:c>
      <x:c r="M382" s="45" t="str">
        <x:v>C1</x:v>
      </x:c>
      <x:c r="N382" s="45" t="str">
        <x:v>Sí</x:v>
      </x:c>
      <x:c r="O382" s="45" t="str">
        <x:v>Vacante</x:v>
      </x:c>
      <x:c r="P382" s="45" t="str">
        <x:v>Ops y Directorio Alsea · octubre 2026</x:v>
      </x:c>
      <x:c r="Q382" s="45" t="str">
        <x:v>Puntos proporcionados</x:v>
      </x:c>
      <x:c r="R382" s="45" t="str">
        <x:v>Abierta</x:v>
      </x:c>
      <x:c r="S382" s="45" t="str"/>
      <x:c r="T382" s="45" t="n">
        <x:f>IF(AND(OR(E382="Abierta",E382="Próxima Apertura"),N382="Sí",ISNUMBER(I382),ISNUMBER(J382),ABS(I382)&lt;=90,ABS(J382)&lt;=180),1,0)</x:f>
        <x:v>1</x:v>
      </x:c>
    </x:row>
    <x:row r="383" ht="23" customHeight="1">
      <x:c r="A383" s="45" t="str">
        <x:v>Centro Centro</x:v>
      </x:c>
      <x:c r="B383" s="45" t="str">
        <x:v>Vacante</x:v>
      </x:c>
      <x:c r="C383" s="50" t="str">
        <x:v>43123</x:v>
      </x:c>
      <x:c r="D383" s="45" t="str">
        <x:v>Plaza Tlatelolco</x:v>
      </x:c>
      <x:c r="E383" s="45" t="str">
        <x:v>Abierta</x:v>
      </x:c>
      <x:c r="F383" s="51" t="d">
        <x:v>2025-03-07T00:00:00.000Z</x:v>
      </x:c>
      <x:c r="G383" s="45" t="str">
        <x:v>Cuauhtémoc</x:v>
      </x:c>
      <x:c r="H383" s="45" t="str">
        <x:v>Ciudad De México</x:v>
      </x:c>
      <x:c r="I383" s="52" t="n">
        <x:v>19.4507979</x:v>
      </x:c>
      <x:c r="J383" s="52" t="n">
        <x:v>-99.1407406</x:v>
      </x:c>
      <x:c r="K383" s="45" t="str">
        <x:v>Cafe</x:v>
      </x:c>
      <x:c r="L383" s="45" t="str">
        <x:v>Retail</x:v>
      </x:c>
      <x:c r="M383" s="45" t="str">
        <x:v>C1</x:v>
      </x:c>
      <x:c r="N383" s="45" t="str">
        <x:v>Sí</x:v>
      </x:c>
      <x:c r="O383" s="45" t="str">
        <x:v>Vacante</x:v>
      </x:c>
      <x:c r="P383" s="45" t="str">
        <x:v>Ops y Directorio Alsea · octubre 2026</x:v>
      </x:c>
      <x:c r="Q383" s="45" t="str">
        <x:v>Puntos proporcionados</x:v>
      </x:c>
      <x:c r="R383" s="45" t="str">
        <x:v>Abierta</x:v>
      </x:c>
      <x:c r="S383" s="45" t="str"/>
      <x:c r="T383" s="45" t="n">
        <x:f>IF(AND(OR(E383="Abierta",E383="Próxima Apertura"),N383="Sí",ISNUMBER(I383),ISNUMBER(J383),ABS(I383)&lt;=90,ABS(J383)&lt;=180),1,0)</x:f>
        <x:v>1</x:v>
      </x:c>
    </x:row>
    <x:row r="384" ht="23" customHeight="1">
      <x:c r="A384" s="45" t="str">
        <x:v>Bajío</x:v>
      </x:c>
      <x:c r="B384" s="45" t="str">
        <x:v>Christian Medina Capetillo</x:v>
      </x:c>
      <x:c r="C384" s="50" t="str">
        <x:v>38262</x:v>
      </x:c>
      <x:c r="D384" s="45" t="str">
        <x:v>Centro Max</x:v>
      </x:c>
      <x:c r="E384" s="45" t="str">
        <x:v>Abierta</x:v>
      </x:c>
      <x:c r="F384" s="51" t="d">
        <x:v>2007-10-20T00:00:00.000Z</x:v>
      </x:c>
      <x:c r="G384" s="45" t="str">
        <x:v>León</x:v>
      </x:c>
      <x:c r="H384" s="45" t="str">
        <x:v>Guanajuato</x:v>
      </x:c>
      <x:c r="I384" s="52" t="n">
        <x:v>21.1004922</x:v>
      </x:c>
      <x:c r="J384" s="52" t="n">
        <x:v>-101.6343017</x:v>
      </x:c>
      <x:c r="K384" s="45" t="str">
        <x:v>Cafe</x:v>
      </x:c>
      <x:c r="L384" s="45" t="str">
        <x:v>Retail</x:v>
      </x:c>
      <x:c r="M384" s="45" t="str">
        <x:v>C2</x:v>
      </x:c>
      <x:c r="N384" s="45" t="str">
        <x:v>Sí</x:v>
      </x:c>
      <x:c r="O384" s="45" t="str">
        <x:v>Christian Medina Capetillo</x:v>
      </x:c>
      <x:c r="P384" s="45" t="str">
        <x:v>Ops y Directorio Alsea · octubre 2026</x:v>
      </x:c>
      <x:c r="Q384" s="45" t="str">
        <x:v>Puntos proporcionados</x:v>
      </x:c>
      <x:c r="R384" s="45" t="str">
        <x:v>Abierta</x:v>
      </x:c>
      <x:c r="S384" s="45" t="str"/>
      <x:c r="T384" s="45" t="n">
        <x:f>IF(AND(OR(E384="Abierta",E384="Próxima Apertura"),N384="Sí",ISNUMBER(I384),ISNUMBER(J384),ABS(I384)&lt;=90,ABS(J384)&lt;=180),1,0)</x:f>
        <x:v>1</x:v>
      </x:c>
    </x:row>
    <x:row r="385" ht="23" customHeight="1">
      <x:c r="A385" s="45" t="str">
        <x:v>Bajío</x:v>
      </x:c>
      <x:c r="B385" s="45" t="str">
        <x:v>Christian Medina Capetillo</x:v>
      </x:c>
      <x:c r="C385" s="50" t="str">
        <x:v>38355</x:v>
      </x:c>
      <x:c r="D385" s="45" t="str">
        <x:v>Centro Guanajuato</x:v>
      </x:c>
      <x:c r="E385" s="45" t="str">
        <x:v>Abierta</x:v>
      </x:c>
      <x:c r="F385" s="51" t="d">
        <x:v>2008-12-12T00:00:00.000Z</x:v>
      </x:c>
      <x:c r="G385" s="45" t="str">
        <x:v>Guanajuato</x:v>
      </x:c>
      <x:c r="H385" s="45" t="str">
        <x:v>Guanajuato</x:v>
      </x:c>
      <x:c r="I385" s="52" t="n">
        <x:v>21.015798</x:v>
      </x:c>
      <x:c r="J385" s="52" t="n">
        <x:v>-101.2526999</x:v>
      </x:c>
      <x:c r="K385" s="45" t="str">
        <x:v>Cafe</x:v>
      </x:c>
      <x:c r="L385" s="45" t="str">
        <x:v>Tourism_and_Entertainment</x:v>
      </x:c>
      <x:c r="M385" s="45" t="str">
        <x:v>C3</x:v>
      </x:c>
      <x:c r="N385" s="45" t="str">
        <x:v>Sí</x:v>
      </x:c>
      <x:c r="O385" s="45" t="str">
        <x:v>Christian Medina Capetillo</x:v>
      </x:c>
      <x:c r="P385" s="45" t="str">
        <x:v>Ops y Directorio Alsea · octubre 2026</x:v>
      </x:c>
      <x:c r="Q385" s="45" t="str">
        <x:v>Puntos proporcionados</x:v>
      </x:c>
      <x:c r="R385" s="45" t="str">
        <x:v>Abierta</x:v>
      </x:c>
      <x:c r="S385" s="45" t="str"/>
      <x:c r="T385" s="45" t="n">
        <x:f>IF(AND(OR(E385="Abierta",E385="Próxima Apertura"),N385="Sí",ISNUMBER(I385),ISNUMBER(J385),ABS(I385)&lt;=90,ABS(J385)&lt;=180),1,0)</x:f>
        <x:v>1</x:v>
      </x:c>
    </x:row>
    <x:row r="386" ht="23" customHeight="1">
      <x:c r="A386" s="45" t="str">
        <x:v>Bajío</x:v>
      </x:c>
      <x:c r="B386" s="45" t="str">
        <x:v>Christian Medina Capetillo</x:v>
      </x:c>
      <x:c r="C386" s="50" t="str">
        <x:v>38392</x:v>
      </x:c>
      <x:c r="D386" s="45" t="str">
        <x:v>Mariano Escobedo</x:v>
      </x:c>
      <x:c r="E386" s="45" t="str">
        <x:v>Abierta</x:v>
      </x:c>
      <x:c r="F386" s="51" t="d">
        <x:v>2010-11-11T00:00:00.000Z</x:v>
      </x:c>
      <x:c r="G386" s="45" t="str">
        <x:v>León</x:v>
      </x:c>
      <x:c r="H386" s="45" t="str">
        <x:v>Guanajuato</x:v>
      </x:c>
      <x:c r="I386" s="52" t="n">
        <x:v>21.1084731</x:v>
      </x:c>
      <x:c r="J386" s="52" t="n">
        <x:v>-101.6650176</x:v>
      </x:c>
      <x:c r="K386" s="45" t="str">
        <x:v>Cafe</x:v>
      </x:c>
      <x:c r="L386" s="45" t="str">
        <x:v>Neighborhood</x:v>
      </x:c>
      <x:c r="M386" s="45" t="str">
        <x:v>C2</x:v>
      </x:c>
      <x:c r="N386" s="45" t="str">
        <x:v>Sí</x:v>
      </x:c>
      <x:c r="O386" s="45" t="str">
        <x:v>Christian Medina Capetillo</x:v>
      </x:c>
      <x:c r="P386" s="45" t="str">
        <x:v>Ops y Directorio Alsea · octubre 2026</x:v>
      </x:c>
      <x:c r="Q386" s="45" t="str">
        <x:v>Puntos proporcionados</x:v>
      </x:c>
      <x:c r="R386" s="45" t="str">
        <x:v>Abierta</x:v>
      </x:c>
      <x:c r="S386" s="45" t="str"/>
      <x:c r="T386" s="45" t="n">
        <x:f>IF(AND(OR(E386="Abierta",E386="Próxima Apertura"),N386="Sí",ISNUMBER(I386),ISNUMBER(J386),ABS(I386)&lt;=90,ABS(J386)&lt;=180),1,0)</x:f>
        <x:v>1</x:v>
      </x:c>
    </x:row>
    <x:row r="387" ht="23" customHeight="1">
      <x:c r="A387" s="45" t="str">
        <x:v>Bajío</x:v>
      </x:c>
      <x:c r="B387" s="45" t="str">
        <x:v>Christian Medina Capetillo</x:v>
      </x:c>
      <x:c r="C387" s="50" t="str">
        <x:v>38473</x:v>
      </x:c>
      <x:c r="D387" s="45" t="str">
        <x:v>Outlet Leon</x:v>
      </x:c>
      <x:c r="E387" s="45" t="str">
        <x:v>Abierta</x:v>
      </x:c>
      <x:c r="F387" s="51" t="d">
        <x:v>2010-12-05T00:00:00.000Z</x:v>
      </x:c>
      <x:c r="G387" s="45" t="str">
        <x:v>León</x:v>
      </x:c>
      <x:c r="H387" s="45" t="str">
        <x:v>Guanajuato</x:v>
      </x:c>
      <x:c r="I387" s="52" t="n">
        <x:v>21.0857674</x:v>
      </x:c>
      <x:c r="J387" s="52" t="n">
        <x:v>-101.6146339</x:v>
      </x:c>
      <x:c r="K387" s="45" t="str">
        <x:v>Cafe</x:v>
      </x:c>
      <x:c r="L387" s="45" t="str">
        <x:v>Retail</x:v>
      </x:c>
      <x:c r="M387" s="45" t="str">
        <x:v>C2</x:v>
      </x:c>
      <x:c r="N387" s="45" t="str">
        <x:v>Sí</x:v>
      </x:c>
      <x:c r="O387" s="45" t="str">
        <x:v>Christian Medina Capetillo</x:v>
      </x:c>
      <x:c r="P387" s="45" t="str">
        <x:v>Ops y Directorio Alsea · octubre 2026</x:v>
      </x:c>
      <x:c r="Q387" s="45" t="str">
        <x:v>Puntos proporcionados</x:v>
      </x:c>
      <x:c r="R387" s="45" t="str">
        <x:v>Abierta</x:v>
      </x:c>
      <x:c r="S387" s="45" t="str"/>
      <x:c r="T387" s="45" t="n">
        <x:f>IF(AND(OR(E387="Abierta",E387="Próxima Apertura"),N387="Sí",ISNUMBER(I387),ISNUMBER(J387),ABS(I387)&lt;=90,ABS(J387)&lt;=180),1,0)</x:f>
        <x:v>1</x:v>
      </x:c>
    </x:row>
    <x:row r="388" ht="23" customHeight="1">
      <x:c r="A388" s="45" t="str">
        <x:v>Bajío</x:v>
      </x:c>
      <x:c r="B388" s="45" t="str">
        <x:v>Christian Medina Capetillo</x:v>
      </x:c>
      <x:c r="C388" s="50" t="str">
        <x:v>38506</x:v>
      </x:c>
      <x:c r="D388" s="45" t="str">
        <x:v>Altacia</x:v>
      </x:c>
      <x:c r="E388" s="45" t="str">
        <x:v>Abierta</x:v>
      </x:c>
      <x:c r="F388" s="51" t="d">
        <x:v>2013-09-19T00:00:00.000Z</x:v>
      </x:c>
      <x:c r="G388" s="45" t="str">
        <x:v>León</x:v>
      </x:c>
      <x:c r="H388" s="45" t="str">
        <x:v>Guanajuato</x:v>
      </x:c>
      <x:c r="I388" s="52" t="n">
        <x:v>21.092848</x:v>
      </x:c>
      <x:c r="J388" s="52" t="n">
        <x:v>-101.62646</x:v>
      </x:c>
      <x:c r="K388" s="45" t="str">
        <x:v>Cafe</x:v>
      </x:c>
      <x:c r="L388" s="45" t="str">
        <x:v>Retail</x:v>
      </x:c>
      <x:c r="M388" s="45" t="str">
        <x:v>C2</x:v>
      </x:c>
      <x:c r="N388" s="45" t="str">
        <x:v>Sí</x:v>
      </x:c>
      <x:c r="O388" s="45" t="str">
        <x:v>Christian Medina Capetillo</x:v>
      </x:c>
      <x:c r="P388" s="45" t="str">
        <x:v>Ops y Directorio Alsea · octubre 2026</x:v>
      </x:c>
      <x:c r="Q388" s="45" t="str">
        <x:v>Puntos proporcionados</x:v>
      </x:c>
      <x:c r="R388" s="45" t="str">
        <x:v>Abierta</x:v>
      </x:c>
      <x:c r="S388" s="45" t="str"/>
      <x:c r="T388" s="45" t="n">
        <x:f>IF(AND(OR(E388="Abierta",E388="Próxima Apertura"),N388="Sí",ISNUMBER(I388),ISNUMBER(J388),ABS(I388)&lt;=90,ABS(J388)&lt;=180),1,0)</x:f>
        <x:v>1</x:v>
      </x:c>
    </x:row>
    <x:row r="389" ht="23" customHeight="1">
      <x:c r="A389" s="45" t="str">
        <x:v>Bajío</x:v>
      </x:c>
      <x:c r="B389" s="45" t="str">
        <x:v>Christian Medina Capetillo</x:v>
      </x:c>
      <x:c r="C389" s="50" t="str">
        <x:v>38563</x:v>
      </x:c>
      <x:c r="D389" s="45" t="str">
        <x:v>One Silao</x:v>
      </x:c>
      <x:c r="E389" s="45" t="str">
        <x:v>Abierta</x:v>
      </x:c>
      <x:c r="F389" s="51" t="d">
        <x:v>2014-12-12T00:00:00.000Z</x:v>
      </x:c>
      <x:c r="G389" s="45" t="str">
        <x:v>Silao</x:v>
      </x:c>
      <x:c r="H389" s="45" t="str">
        <x:v>Guanajuato</x:v>
      </x:c>
      <x:c r="I389" s="52" t="n">
        <x:v>20.9653242</x:v>
      </x:c>
      <x:c r="J389" s="52" t="n">
        <x:v>-101.456396</x:v>
      </x:c>
      <x:c r="K389" s="45" t="str">
        <x:v>Drive_Thru</x:v>
      </x:c>
      <x:c r="L389" s="45" t="str">
        <x:v>Transfers</x:v>
      </x:c>
      <x:c r="M389" s="45" t="str">
        <x:v>C3</x:v>
      </x:c>
      <x:c r="N389" s="45" t="str">
        <x:v>Sí</x:v>
      </x:c>
      <x:c r="O389" s="45" t="str">
        <x:v>Christian Medina Capetillo</x:v>
      </x:c>
      <x:c r="P389" s="45" t="str">
        <x:v>Ops y Directorio Alsea · octubre 2026</x:v>
      </x:c>
      <x:c r="Q389" s="45" t="str">
        <x:v>Puntos proporcionados</x:v>
      </x:c>
      <x:c r="R389" s="45" t="str">
        <x:v>Abierta</x:v>
      </x:c>
      <x:c r="S389" s="45" t="str"/>
      <x:c r="T389" s="45" t="n">
        <x:f>IF(AND(OR(E389="Abierta",E389="Próxima Apertura"),N389="Sí",ISNUMBER(I389),ISNUMBER(J389),ABS(I389)&lt;=90,ABS(J389)&lt;=180),1,0)</x:f>
        <x:v>1</x:v>
      </x:c>
    </x:row>
    <x:row r="390" ht="23" customHeight="1">
      <x:c r="A390" s="45" t="str">
        <x:v>Bajío</x:v>
      </x:c>
      <x:c r="B390" s="45" t="str">
        <x:v>Christian Medina Capetillo</x:v>
      </x:c>
      <x:c r="C390" s="50" t="str">
        <x:v>38630</x:v>
      </x:c>
      <x:c r="D390" s="45" t="str">
        <x:v>Galerias las Torres Leon</x:v>
      </x:c>
      <x:c r="E390" s="45" t="str">
        <x:v>Abierta</x:v>
      </x:c>
      <x:c r="F390" s="51" t="d">
        <x:v>2015-12-18T00:00:00.000Z</x:v>
      </x:c>
      <x:c r="G390" s="45" t="str">
        <x:v>León</x:v>
      </x:c>
      <x:c r="H390" s="45" t="str">
        <x:v>Guanajuato</x:v>
      </x:c>
      <x:c r="I390" s="52" t="n">
        <x:v>21.1478945</x:v>
      </x:c>
      <x:c r="J390" s="52" t="n">
        <x:v>-101.6478882</x:v>
      </x:c>
      <x:c r="K390" s="45" t="str">
        <x:v>Cafe</x:v>
      </x:c>
      <x:c r="L390" s="45" t="str">
        <x:v>Retail</x:v>
      </x:c>
      <x:c r="M390" s="45" t="str">
        <x:v>C2</x:v>
      </x:c>
      <x:c r="N390" s="45" t="str">
        <x:v>Sí</x:v>
      </x:c>
      <x:c r="O390" s="45" t="str">
        <x:v>Christian Medina Capetillo</x:v>
      </x:c>
      <x:c r="P390" s="45" t="str">
        <x:v>Ops y Directorio Alsea · octubre 2026</x:v>
      </x:c>
      <x:c r="Q390" s="45" t="str">
        <x:v>Puntos proporcionados</x:v>
      </x:c>
      <x:c r="R390" s="45" t="str">
        <x:v>Abierta</x:v>
      </x:c>
      <x:c r="S390" s="45" t="str"/>
      <x:c r="T390" s="45" t="n">
        <x:f>IF(AND(OR(E390="Abierta",E390="Próxima Apertura"),N390="Sí",ISNUMBER(I390),ISNUMBER(J390),ABS(I390)&lt;=90,ABS(J390)&lt;=180),1,0)</x:f>
        <x:v>1</x:v>
      </x:c>
    </x:row>
    <x:row r="391" ht="23" customHeight="1">
      <x:c r="A391" s="45" t="str">
        <x:v>Bajío</x:v>
      </x:c>
      <x:c r="B391" s="45" t="str">
        <x:v>Christian Medina Capetillo</x:v>
      </x:c>
      <x:c r="C391" s="50" t="str">
        <x:v>38734</x:v>
      </x:c>
      <x:c r="D391" s="45" t="str">
        <x:v>Puerto Interior</x:v>
      </x:c>
      <x:c r="E391" s="45" t="str">
        <x:v>Abierta</x:v>
      </x:c>
      <x:c r="F391" s="51" t="d">
        <x:v>2017-07-22T00:00:00.000Z</x:v>
      </x:c>
      <x:c r="G391" s="45" t="str">
        <x:v>Silao</x:v>
      </x:c>
      <x:c r="H391" s="45" t="str">
        <x:v>Guanajuato</x:v>
      </x:c>
      <x:c r="I391" s="52" t="n">
        <x:v>21.00147</x:v>
      </x:c>
      <x:c r="J391" s="52" t="n">
        <x:v>-101.509405</x:v>
      </x:c>
      <x:c r="K391" s="45" t="str">
        <x:v>Drive_Thru</x:v>
      </x:c>
      <x:c r="L391" s="45" t="str">
        <x:v>Transfers</x:v>
      </x:c>
      <x:c r="M391" s="45" t="str">
        <x:v>C3</x:v>
      </x:c>
      <x:c r="N391" s="45" t="str">
        <x:v>Sí</x:v>
      </x:c>
      <x:c r="O391" s="45" t="str">
        <x:v>Christian Medina Capetillo</x:v>
      </x:c>
      <x:c r="P391" s="45" t="str">
        <x:v>Ops y Directorio Alsea · octubre 2026</x:v>
      </x:c>
      <x:c r="Q391" s="45" t="str">
        <x:v>Puntos proporcionados</x:v>
      </x:c>
      <x:c r="R391" s="45" t="str">
        <x:v>Abierta</x:v>
      </x:c>
      <x:c r="S391" s="45" t="str"/>
      <x:c r="T391" s="45" t="n">
        <x:f>IF(AND(OR(E391="Abierta",E391="Próxima Apertura"),N391="Sí",ISNUMBER(I391),ISNUMBER(J391),ABS(I391)&lt;=90,ABS(J391)&lt;=180),1,0)</x:f>
        <x:v>1</x:v>
      </x:c>
    </x:row>
    <x:row r="392" ht="23" customHeight="1">
      <x:c r="A392" s="45" t="str">
        <x:v>Bajío</x:v>
      </x:c>
      <x:c r="B392" s="45" t="str">
        <x:v>Christian Medina Capetillo</x:v>
      </x:c>
      <x:c r="C392" s="50" t="str">
        <x:v>38833</x:v>
      </x:c>
      <x:c r="D392" s="45" t="str">
        <x:v>Aeropuerto Bajio</x:v>
      </x:c>
      <x:c r="E392" s="45" t="str">
        <x:v>Abierta</x:v>
      </x:c>
      <x:c r="F392" s="51" t="d">
        <x:v>2018-09-06T00:00:00.000Z</x:v>
      </x:c>
      <x:c r="G392" s="45" t="str">
        <x:v>Silao</x:v>
      </x:c>
      <x:c r="H392" s="45" t="str">
        <x:v>Guanajuato</x:v>
      </x:c>
      <x:c r="I392" s="52" t="n">
        <x:v>20.9858618</x:v>
      </x:c>
      <x:c r="J392" s="52" t="n">
        <x:v>-101.4784443</x:v>
      </x:c>
      <x:c r="K392" s="45" t="str">
        <x:v>Cafe</x:v>
      </x:c>
      <x:c r="L392" s="45" t="str">
        <x:v>Travel_and_Channel</x:v>
      </x:c>
      <x:c r="M392" s="45" t="str">
        <x:v>C5</x:v>
      </x:c>
      <x:c r="N392" s="45" t="str">
        <x:v>Sí</x:v>
      </x:c>
      <x:c r="O392" s="45" t="str">
        <x:v>Christian Medina Capetillo</x:v>
      </x:c>
      <x:c r="P392" s="45" t="str">
        <x:v>Ops y Directorio Alsea · octubre 2026</x:v>
      </x:c>
      <x:c r="Q392" s="45" t="str">
        <x:v>Puntos proporcionados</x:v>
      </x:c>
      <x:c r="R392" s="45" t="str">
        <x:v>Abierta</x:v>
      </x:c>
      <x:c r="S392" s="45" t="str"/>
      <x:c r="T392" s="45" t="n">
        <x:f>IF(AND(OR(E392="Abierta",E392="Próxima Apertura"),N392="Sí",ISNUMBER(I392),ISNUMBER(J392),ABS(I392)&lt;=90,ABS(J392)&lt;=180),1,0)</x:f>
        <x:v>1</x:v>
      </x:c>
    </x:row>
    <x:row r="393" ht="23" customHeight="1">
      <x:c r="A393" s="45" t="str">
        <x:v>Bajío</x:v>
      </x:c>
      <x:c r="B393" s="45" t="str">
        <x:v>Christian Medina Capetillo</x:v>
      </x:c>
      <x:c r="C393" s="50" t="str">
        <x:v>38891</x:v>
      </x:c>
      <x:c r="D393" s="45" t="str">
        <x:v>Gran Patio Guanajuato</x:v>
      </x:c>
      <x:c r="E393" s="45" t="str">
        <x:v>Abierta</x:v>
      </x:c>
      <x:c r="F393" s="51" t="d">
        <x:v>2020-07-31T00:00:00.000Z</x:v>
      </x:c>
      <x:c r="G393" s="45" t="str">
        <x:v>Guanajuato</x:v>
      </x:c>
      <x:c r="H393" s="45" t="str">
        <x:v>Guanajuato</x:v>
      </x:c>
      <x:c r="I393" s="52" t="n">
        <x:v>20.9736149</x:v>
      </x:c>
      <x:c r="J393" s="52" t="n">
        <x:v>-101.2783734</x:v>
      </x:c>
      <x:c r="K393" s="45" t="str">
        <x:v>Cafe</x:v>
      </x:c>
      <x:c r="L393" s="45" t="str">
        <x:v>Retail</x:v>
      </x:c>
      <x:c r="M393" s="45" t="str">
        <x:v>C2</x:v>
      </x:c>
      <x:c r="N393" s="45" t="str">
        <x:v>Sí</x:v>
      </x:c>
      <x:c r="O393" s="45" t="str">
        <x:v>Christian Medina Capetillo</x:v>
      </x:c>
      <x:c r="P393" s="45" t="str">
        <x:v>Ops y Directorio Alsea · octubre 2026</x:v>
      </x:c>
      <x:c r="Q393" s="45" t="str">
        <x:v>Puntos proporcionados</x:v>
      </x:c>
      <x:c r="R393" s="45" t="str">
        <x:v>Abierta</x:v>
      </x:c>
      <x:c r="S393" s="45" t="str"/>
      <x:c r="T393" s="45" t="n">
        <x:f>IF(AND(OR(E393="Abierta",E393="Próxima Apertura"),N393="Sí",ISNUMBER(I393),ISNUMBER(J393),ABS(I393)&lt;=90,ABS(J393)&lt;=180),1,0)</x:f>
        <x:v>1</x:v>
      </x:c>
    </x:row>
    <x:row r="394" ht="23" customHeight="1">
      <x:c r="A394" s="45" t="str">
        <x:v>Bajío</x:v>
      </x:c>
      <x:c r="B394" s="45" t="str">
        <x:v>Christian Medina Capetillo</x:v>
      </x:c>
      <x:c r="C394" s="50" t="str">
        <x:v>38912</x:v>
      </x:c>
      <x:c r="D394" s="45" t="str">
        <x:v>Punto Escobedo DT León</x:v>
      </x:c>
      <x:c r="E394" s="45" t="str">
        <x:v>Abierta</x:v>
      </x:c>
      <x:c r="F394" s="51" t="d">
        <x:v>2022-07-13T00:00:00.000Z</x:v>
      </x:c>
      <x:c r="G394" s="45" t="str">
        <x:v>León</x:v>
      </x:c>
      <x:c r="H394" s="45" t="str">
        <x:v>Guanajuato</x:v>
      </x:c>
      <x:c r="I394" s="52" t="n">
        <x:v>21.1042202</x:v>
      </x:c>
      <x:c r="J394" s="52" t="n">
        <x:v>-101.6486866</x:v>
      </x:c>
      <x:c r="K394" s="45" t="str">
        <x:v>Drive_Thru</x:v>
      </x:c>
      <x:c r="L394" s="45" t="str">
        <x:v>Retail</x:v>
      </x:c>
      <x:c r="M394" s="45" t="str">
        <x:v>C2</x:v>
      </x:c>
      <x:c r="N394" s="45" t="str">
        <x:v>Sí</x:v>
      </x:c>
      <x:c r="O394" s="45" t="str">
        <x:v>Christian Medina Capetillo</x:v>
      </x:c>
      <x:c r="P394" s="45" t="str">
        <x:v>Ops y Directorio Alsea · octubre 2026</x:v>
      </x:c>
      <x:c r="Q394" s="45" t="str">
        <x:v>Puntos proporcionados</x:v>
      </x:c>
      <x:c r="R394" s="45" t="str">
        <x:v>Abierta</x:v>
      </x:c>
      <x:c r="S394" s="45" t="str"/>
      <x:c r="T394" s="45" t="n">
        <x:f>IF(AND(OR(E394="Abierta",E394="Próxima Apertura"),N394="Sí",ISNUMBER(I394),ISNUMBER(J394),ABS(I394)&lt;=90,ABS(J394)&lt;=180),1,0)</x:f>
        <x:v>1</x:v>
      </x:c>
    </x:row>
    <x:row r="395" ht="23" customHeight="1">
      <x:c r="A395" s="45" t="str">
        <x:v>Bajío</x:v>
      </x:c>
      <x:c r="B395" s="45" t="str">
        <x:v>Christian Medina Capetillo</x:v>
      </x:c>
      <x:c r="C395" s="50" t="str">
        <x:v>38974</x:v>
      </x:c>
      <x:c r="D395" s="45" t="str">
        <x:v>Carretera León Silao DT</x:v>
      </x:c>
      <x:c r="E395" s="45" t="str">
        <x:v>Abierta</x:v>
      </x:c>
      <x:c r="F395" s="51" t="d">
        <x:v>2023-12-11T00:00:00.000Z</x:v>
      </x:c>
      <x:c r="G395" s="45" t="str">
        <x:v>León</x:v>
      </x:c>
      <x:c r="H395" s="45" t="str">
        <x:v>Guanajuato</x:v>
      </x:c>
      <x:c r="I395" s="52" t="n">
        <x:v>21.0848933</x:v>
      </x:c>
      <x:c r="J395" s="52" t="n">
        <x:v>-101.6144745</x:v>
      </x:c>
      <x:c r="K395" s="45" t="str">
        <x:v>Drive_Thru</x:v>
      </x:c>
      <x:c r="L395" s="45" t="str">
        <x:v>Transfers</x:v>
      </x:c>
      <x:c r="M395" s="45" t="str">
        <x:v>C2</x:v>
      </x:c>
      <x:c r="N395" s="45" t="str">
        <x:v>Sí</x:v>
      </x:c>
      <x:c r="O395" s="45" t="str">
        <x:v>Christian Medina Capetillo</x:v>
      </x:c>
      <x:c r="P395" s="45" t="str">
        <x:v>Ops y Directorio Alsea · octubre 2026</x:v>
      </x:c>
      <x:c r="Q395" s="45" t="str">
        <x:v>Puntos proporcionados</x:v>
      </x:c>
      <x:c r="R395" s="45" t="str">
        <x:v>Abierta</x:v>
      </x:c>
      <x:c r="S395" s="45" t="str"/>
      <x:c r="T395" s="45" t="n">
        <x:f>IF(AND(OR(E395="Abierta",E395="Próxima Apertura"),N395="Sí",ISNUMBER(I395),ISNUMBER(J395),ABS(I395)&lt;=90,ABS(J395)&lt;=180),1,0)</x:f>
        <x:v>1</x:v>
      </x:c>
    </x:row>
    <x:row r="396" ht="23" customHeight="1">
      <x:c r="A396" s="45" t="str">
        <x:v>Bajío</x:v>
      </x:c>
      <x:c r="B396" s="45" t="str">
        <x:v>Christian Medina Capetillo</x:v>
      </x:c>
      <x:c r="C396" s="50" t="str">
        <x:v>43063</x:v>
      </x:c>
      <x:c r="D396" s="45" t="str">
        <x:v>Plaza Nogal León DT</x:v>
      </x:c>
      <x:c r="E396" s="45" t="str">
        <x:v>Abierta</x:v>
      </x:c>
      <x:c r="F396" s="51" t="d">
        <x:v>2024-09-29T00:00:00.000Z</x:v>
      </x:c>
      <x:c r="G396" s="45" t="str">
        <x:v>León</x:v>
      </x:c>
      <x:c r="H396" s="45" t="str">
        <x:v>Guanajuato</x:v>
      </x:c>
      <x:c r="I396" s="52" t="n">
        <x:v>21.1334105</x:v>
      </x:c>
      <x:c r="J396" s="52" t="n">
        <x:v>-101.6130351</x:v>
      </x:c>
      <x:c r="K396" s="45" t="str">
        <x:v>Drive_Thru</x:v>
      </x:c>
      <x:c r="L396" s="45" t="str">
        <x:v>Retail</x:v>
      </x:c>
      <x:c r="M396" s="45" t="str">
        <x:v>C2</x:v>
      </x:c>
      <x:c r="N396" s="45" t="str">
        <x:v>Sí</x:v>
      </x:c>
      <x:c r="O396" s="45" t="str">
        <x:v>Christian Medina Capetillo</x:v>
      </x:c>
      <x:c r="P396" s="45" t="str">
        <x:v>Ops y Directorio Alsea · octubre 2026</x:v>
      </x:c>
      <x:c r="Q396" s="45" t="str">
        <x:v>Puntos proporcionados</x:v>
      </x:c>
      <x:c r="R396" s="45" t="str">
        <x:v>Abierta</x:v>
      </x:c>
      <x:c r="S396" s="45" t="str"/>
      <x:c r="T396" s="45" t="n">
        <x:f>IF(AND(OR(E396="Abierta",E396="Próxima Apertura"),N396="Sí",ISNUMBER(I396),ISNUMBER(J396),ABS(I396)&lt;=90,ABS(J396)&lt;=180),1,0)</x:f>
        <x:v>1</x:v>
      </x:c>
    </x:row>
    <x:row r="397" ht="23" customHeight="1">
      <x:c r="A397" s="45" t="str">
        <x:v>Bajío</x:v>
      </x:c>
      <x:c r="B397" s="45" t="str">
        <x:v>Christian Medina Capetillo</x:v>
      </x:c>
      <x:c r="C397" s="50" t="str">
        <x:v>43185</x:v>
      </x:c>
      <x:c r="D397" s="45" t="str">
        <x:v>Plaza Pedregal Sur</x:v>
      </x:c>
      <x:c r="E397" s="45" t="str">
        <x:v>Abierta</x:v>
      </x:c>
      <x:c r="F397" s="51" t="d">
        <x:v>2025-12-07T00:00:00.000Z</x:v>
      </x:c>
      <x:c r="G397" s="45" t="str">
        <x:v>León</x:v>
      </x:c>
      <x:c r="H397" s="45" t="str">
        <x:v>Guanajuato</x:v>
      </x:c>
      <x:c r="I397" s="52" t="n">
        <x:v>21.1106785</x:v>
      </x:c>
      <x:c r="J397" s="52" t="n">
        <x:v>-101.6077085</x:v>
      </x:c>
      <x:c r="K397" s="45" t="str">
        <x:v>Drive_Thru</x:v>
      </x:c>
      <x:c r="L397" s="45" t="str">
        <x:v>Retail</x:v>
      </x:c>
      <x:c r="M397" s="45" t="str">
        <x:v>C2</x:v>
      </x:c>
      <x:c r="N397" s="45" t="str">
        <x:v>Sí</x:v>
      </x:c>
      <x:c r="O397" s="45" t="str">
        <x:v>Christian Medina Capetillo</x:v>
      </x:c>
      <x:c r="P397" s="45" t="str">
        <x:v>Ops y Directorio Alsea · octubre 2026</x:v>
      </x:c>
      <x:c r="Q397" s="45" t="str">
        <x:v>Puntos proporcionados</x:v>
      </x:c>
      <x:c r="R397" s="45" t="str">
        <x:v>Abierta</x:v>
      </x:c>
      <x:c r="S397" s="45" t="str"/>
      <x:c r="T397" s="45" t="n">
        <x:f>IF(AND(OR(E397="Abierta",E397="Próxima Apertura"),N397="Sí",ISNUMBER(I397),ISNUMBER(J397),ABS(I397)&lt;=90,ABS(J397)&lt;=180),1,0)</x:f>
        <x:v>1</x:v>
      </x:c>
    </x:row>
    <x:row r="398" ht="23" customHeight="1">
      <x:c r="A398" s="45" t="str">
        <x:v>Bajío</x:v>
      </x:c>
      <x:c r="B398" s="45" t="str">
        <x:v>David Carrasco</x:v>
      </x:c>
      <x:c r="C398" s="50" t="str">
        <x:v>38357</x:v>
      </x:c>
      <x:c r="D398" s="45" t="str">
        <x:v>Galerias Pachuca</x:v>
      </x:c>
      <x:c r="E398" s="45" t="str">
        <x:v>Cierre Temporal</x:v>
      </x:c>
      <x:c r="F398" s="51" t="d">
        <x:v>2008-12-19T00:00:00.000Z</x:v>
      </x:c>
      <x:c r="G398" s="45" t="str">
        <x:v>Pachuca De Soto</x:v>
      </x:c>
      <x:c r="H398" s="45" t="str">
        <x:v>Hidalgo</x:v>
      </x:c>
      <x:c r="I398" s="52" t="n">
        <x:v>20.0983119628493</x:v>
      </x:c>
      <x:c r="J398" s="52" t="n">
        <x:v>-98.7675262916617</x:v>
      </x:c>
      <x:c r="K398" s="45" t="str">
        <x:v>Kiosko</x:v>
      </x:c>
      <x:c r="L398" s="45" t="str">
        <x:v>Retail</x:v>
      </x:c>
      <x:c r="M398" s="45" t="str">
        <x:v>C2</x:v>
      </x:c>
      <x:c r="N398" s="45" t="str">
        <x:v>No</x:v>
      </x:c>
      <x:c r="O398" s="45" t="str">
        <x:v>David Carrasco Hernandez</x:v>
      </x:c>
      <x:c r="P398" s="45" t="str">
        <x:v>Ops y Directorio Alsea · octubre 2026</x:v>
      </x:c>
      <x:c r="Q398" s="45" t="str">
        <x:v>CMS anterior</x:v>
      </x:c>
      <x:c r="R398" s="45" t="str">
        <x:v>Abierta</x:v>
      </x:c>
      <x:c r="S398" s="45" t="str">
        <x:v>Ops: Cierre Temporal. Alsea: Abierta. Se conserva el estatus operativo más específico.</x:v>
      </x:c>
      <x:c r="T398" s="45" t="n">
        <x:f>IF(AND(OR(E398="Abierta",E398="Próxima Apertura"),N398="Sí",ISNUMBER(I398),ISNUMBER(J398),ABS(I398)&lt;=90,ABS(J398)&lt;=180),1,0)</x:f>
        <x:v>0</x:v>
      </x:c>
    </x:row>
    <x:row r="399" ht="23" customHeight="1">
      <x:c r="A399" s="45" t="str">
        <x:v>Bajío</x:v>
      </x:c>
      <x:c r="B399" s="45" t="str">
        <x:v>David Carrasco</x:v>
      </x:c>
      <x:c r="C399" s="50" t="str">
        <x:v>38358</x:v>
      </x:c>
      <x:c r="D399" s="45" t="str">
        <x:v>Pachuca San Javier DT</x:v>
      </x:c>
      <x:c r="E399" s="45" t="str">
        <x:v>Abierta</x:v>
      </x:c>
      <x:c r="F399" s="51" t="d">
        <x:v>2008-12-19T00:00:00.000Z</x:v>
      </x:c>
      <x:c r="G399" s="45" t="str">
        <x:v>Pachuca De Soto</x:v>
      </x:c>
      <x:c r="H399" s="45" t="str">
        <x:v>Hidalgo</x:v>
      </x:c>
      <x:c r="I399" s="52" t="n">
        <x:v>20.11468</x:v>
      </x:c>
      <x:c r="J399" s="52" t="n">
        <x:v>-98.74706</x:v>
      </x:c>
      <x:c r="K399" s="45" t="str">
        <x:v>Drive_Thru</x:v>
      </x:c>
      <x:c r="L399" s="45" t="str">
        <x:v>Retail</x:v>
      </x:c>
      <x:c r="M399" s="45" t="str">
        <x:v>C2</x:v>
      </x:c>
      <x:c r="N399" s="45" t="str">
        <x:v>Sí</x:v>
      </x:c>
      <x:c r="O399" s="45" t="str">
        <x:v>David Carrasco Hernandez</x:v>
      </x:c>
      <x:c r="P399" s="45" t="str">
        <x:v>Ops y Directorio Alsea · octubre 2026</x:v>
      </x:c>
      <x:c r="Q399" s="45" t="str">
        <x:v>CMS anterior</x:v>
      </x:c>
      <x:c r="R399" s="45" t="str">
        <x:v>Abierta</x:v>
      </x:c>
      <x:c r="S399" s="45" t="str"/>
      <x:c r="T399" s="45" t="n">
        <x:f>IF(AND(OR(E399="Abierta",E399="Próxima Apertura"),N399="Sí",ISNUMBER(I399),ISNUMBER(J399),ABS(I399)&lt;=90,ABS(J399)&lt;=180),1,0)</x:f>
        <x:v>1</x:v>
      </x:c>
    </x:row>
    <x:row r="400" ht="23" customHeight="1">
      <x:c r="A400" s="45" t="str">
        <x:v>Bajío</x:v>
      </x:c>
      <x:c r="B400" s="45" t="str">
        <x:v>David Carrasco</x:v>
      </x:c>
      <x:c r="C400" s="50" t="str">
        <x:v>38790</x:v>
      </x:c>
      <x:c r="D400" s="45" t="str">
        <x:v>Carretera Mexico Pachuca</x:v>
      </x:c>
      <x:c r="E400" s="45" t="str">
        <x:v>Abierta</x:v>
      </x:c>
      <x:c r="F400" s="51" t="d">
        <x:v>2018-04-03T00:00:00.000Z</x:v>
      </x:c>
      <x:c r="G400" s="45" t="str">
        <x:v>Tolcayuca</x:v>
      </x:c>
      <x:c r="H400" s="45" t="str">
        <x:v>Hidalgo</x:v>
      </x:c>
      <x:c r="I400" s="52" t="n">
        <x:v>19.91932</x:v>
      </x:c>
      <x:c r="J400" s="52" t="n">
        <x:v>-98.9044</x:v>
      </x:c>
      <x:c r="K400" s="45" t="str">
        <x:v>Drive_Thru</x:v>
      </x:c>
      <x:c r="L400" s="45" t="str">
        <x:v>Transfers</x:v>
      </x:c>
      <x:c r="M400" s="45" t="str">
        <x:v>C3</x:v>
      </x:c>
      <x:c r="N400" s="45" t="str">
        <x:v>Sí</x:v>
      </x:c>
      <x:c r="O400" s="45" t="str">
        <x:v>David Carrasco Hernandez</x:v>
      </x:c>
      <x:c r="P400" s="45" t="str">
        <x:v>Ops y Directorio Alsea · octubre 2026</x:v>
      </x:c>
      <x:c r="Q400" s="45" t="str">
        <x:v>CMS anterior</x:v>
      </x:c>
      <x:c r="R400" s="45" t="str">
        <x:v>Abierta</x:v>
      </x:c>
      <x:c r="S400" s="45" t="str"/>
      <x:c r="T400" s="45" t="n">
        <x:f>IF(AND(OR(E400="Abierta",E400="Próxima Apertura"),N400="Sí",ISNUMBER(I400),ISNUMBER(J400),ABS(I400)&lt;=90,ABS(J400)&lt;=180),1,0)</x:f>
        <x:v>1</x:v>
      </x:c>
    </x:row>
    <x:row r="401" ht="23" customHeight="1">
      <x:c r="A401" s="45" t="str">
        <x:v>Bajío</x:v>
      </x:c>
      <x:c r="B401" s="45" t="str">
        <x:v>David Carrasco</x:v>
      </x:c>
      <x:c r="C401" s="50" t="str">
        <x:v>38793</x:v>
      </x:c>
      <x:c r="D401" s="45" t="str">
        <x:v>Galerias Pachuca PA</x:v>
      </x:c>
      <x:c r="E401" s="45" t="str">
        <x:v>Abierta</x:v>
      </x:c>
      <x:c r="F401" s="51" t="d">
        <x:v>2018-05-15T00:00:00.000Z</x:v>
      </x:c>
      <x:c r="G401" s="45" t="str">
        <x:v>Pachuca De Soto</x:v>
      </x:c>
      <x:c r="H401" s="45" t="str">
        <x:v>Hidalgo</x:v>
      </x:c>
      <x:c r="I401" s="52" t="n">
        <x:v>20.09818</x:v>
      </x:c>
      <x:c r="J401" s="52" t="n">
        <x:v>-98.76859</x:v>
      </x:c>
      <x:c r="K401" s="45" t="str">
        <x:v>Cafe</x:v>
      </x:c>
      <x:c r="L401" s="45" t="str">
        <x:v>Retail</x:v>
      </x:c>
      <x:c r="M401" s="45" t="str">
        <x:v>C2</x:v>
      </x:c>
      <x:c r="N401" s="45" t="str">
        <x:v>Sí</x:v>
      </x:c>
      <x:c r="O401" s="45" t="str">
        <x:v>David Carrasco Hernandez</x:v>
      </x:c>
      <x:c r="P401" s="45" t="str">
        <x:v>Ops y Directorio Alsea · octubre 2026</x:v>
      </x:c>
      <x:c r="Q401" s="45" t="str">
        <x:v>CMS anterior</x:v>
      </x:c>
      <x:c r="R401" s="45" t="str">
        <x:v>Abierta</x:v>
      </x:c>
      <x:c r="S401" s="45" t="str"/>
      <x:c r="T401" s="45" t="n">
        <x:f>IF(AND(OR(E401="Abierta",E401="Próxima Apertura"),N401="Sí",ISNUMBER(I401),ISNUMBER(J401),ABS(I401)&lt;=90,ABS(J401)&lt;=180),1,0)</x:f>
        <x:v>1</x:v>
      </x:c>
    </x:row>
    <x:row r="402" ht="23" customHeight="1">
      <x:c r="A402" s="45" t="str">
        <x:v>Bajío</x:v>
      </x:c>
      <x:c r="B402" s="45" t="str">
        <x:v>David Carrasco</x:v>
      </x:c>
      <x:c r="C402" s="50" t="str">
        <x:v>38893</x:v>
      </x:c>
      <x:c r="D402" s="45" t="str">
        <x:v>Explanada Pachuca</x:v>
      </x:c>
      <x:c r="E402" s="45" t="str">
        <x:v>Abierta</x:v>
      </x:c>
      <x:c r="F402" s="51" t="d">
        <x:v>2020-08-04T00:00:00.000Z</x:v>
      </x:c>
      <x:c r="G402" s="45" t="str">
        <x:v>Pachuca De Soto</x:v>
      </x:c>
      <x:c r="H402" s="45" t="str">
        <x:v>Hidalgo</x:v>
      </x:c>
      <x:c r="I402" s="52" t="n">
        <x:v>20.0377</x:v>
      </x:c>
      <x:c r="J402" s="52" t="n">
        <x:v>-98.7954</x:v>
      </x:c>
      <x:c r="K402" s="45" t="str">
        <x:v>Cafe</x:v>
      </x:c>
      <x:c r="L402" s="45" t="str">
        <x:v>Retail</x:v>
      </x:c>
      <x:c r="M402" s="45" t="str">
        <x:v>C2</x:v>
      </x:c>
      <x:c r="N402" s="45" t="str">
        <x:v>Sí</x:v>
      </x:c>
      <x:c r="O402" s="45" t="str">
        <x:v>David Carrasco Hernandez</x:v>
      </x:c>
      <x:c r="P402" s="45" t="str">
        <x:v>Ops y Directorio Alsea · octubre 2026</x:v>
      </x:c>
      <x:c r="Q402" s="45" t="str">
        <x:v>CMS anterior</x:v>
      </x:c>
      <x:c r="R402" s="45" t="str">
        <x:v>Abierta</x:v>
      </x:c>
      <x:c r="S402" s="45" t="str"/>
      <x:c r="T402" s="45" t="n">
        <x:f>IF(AND(OR(E402="Abierta",E402="Próxima Apertura"),N402="Sí",ISNUMBER(I402),ISNUMBER(J402),ABS(I402)&lt;=90,ABS(J402)&lt;=180),1,0)</x:f>
        <x:v>1</x:v>
      </x:c>
    </x:row>
    <x:row r="403" ht="23" customHeight="1">
      <x:c r="A403" s="45" t="str">
        <x:v>Bajío</x:v>
      </x:c>
      <x:c r="B403" s="45" t="str">
        <x:v>David Carrasco</x:v>
      </x:c>
      <x:c r="C403" s="50" t="str">
        <x:v>38908</x:v>
      </x:c>
      <x:c r="D403" s="45" t="str">
        <x:v>Carretera Pachuca Mexico</x:v>
      </x:c>
      <x:c r="E403" s="45" t="str">
        <x:v>Abierta</x:v>
      </x:c>
      <x:c r="F403" s="51" t="d">
        <x:v>2022-05-12T00:00:00.000Z</x:v>
      </x:c>
      <x:c r="G403" s="45" t="str">
        <x:v>Tolcayuca</x:v>
      </x:c>
      <x:c r="H403" s="45" t="str">
        <x:v>Hidalgo</x:v>
      </x:c>
      <x:c r="I403" s="52" t="n">
        <x:v>19.9324931864592</x:v>
      </x:c>
      <x:c r="J403" s="52" t="n">
        <x:v>-98.8903946971544</x:v>
      </x:c>
      <x:c r="K403" s="45" t="str">
        <x:v>Drive_Thru</x:v>
      </x:c>
      <x:c r="L403" s="45" t="str">
        <x:v>Transfers</x:v>
      </x:c>
      <x:c r="M403" s="45" t="str">
        <x:v>C3</x:v>
      </x:c>
      <x:c r="N403" s="45" t="str">
        <x:v>Sí</x:v>
      </x:c>
      <x:c r="O403" s="45" t="str">
        <x:v>David Carrasco Hernandez</x:v>
      </x:c>
      <x:c r="P403" s="45" t="str">
        <x:v>Ops y Directorio Alsea · octubre 2026</x:v>
      </x:c>
      <x:c r="Q403" s="45" t="str">
        <x:v>CMS anterior</x:v>
      </x:c>
      <x:c r="R403" s="45" t="str">
        <x:v>Abierta</x:v>
      </x:c>
      <x:c r="S403" s="45" t="str"/>
      <x:c r="T403" s="45" t="n">
        <x:f>IF(AND(OR(E403="Abierta",E403="Próxima Apertura"),N403="Sí",ISNUMBER(I403),ISNUMBER(J403),ABS(I403)&lt;=90,ABS(J403)&lt;=180),1,0)</x:f>
        <x:v>1</x:v>
      </x:c>
    </x:row>
    <x:row r="404" ht="23" customHeight="1">
      <x:c r="A404" s="45" t="str">
        <x:v>Bajío</x:v>
      </x:c>
      <x:c r="B404" s="45" t="str">
        <x:v>David Carrasco</x:v>
      </x:c>
      <x:c r="C404" s="50" t="str">
        <x:v>38910</x:v>
      </x:c>
      <x:c r="D404" s="45" t="str">
        <x:v>AIFA Llegadas Nacional AMB</x:v>
      </x:c>
      <x:c r="E404" s="45" t="str">
        <x:v>Abierta</x:v>
      </x:c>
      <x:c r="F404" s="51" t="d">
        <x:v>2022-05-16T00:00:00.000Z</x:v>
      </x:c>
      <x:c r="G404" s="45" t="str">
        <x:v>Zumpango</x:v>
      </x:c>
      <x:c r="H404" s="45" t="str">
        <x:v>Estado De México</x:v>
      </x:c>
      <x:c r="I404" s="52" t="n">
        <x:v>19.7346408488469</x:v>
      </x:c>
      <x:c r="J404" s="52" t="n">
        <x:v>-99.0254420825625</x:v>
      </x:c>
      <x:c r="K404" s="45" t="str">
        <x:v>Cafe</x:v>
      </x:c>
      <x:c r="L404" s="45" t="str">
        <x:v>Travel_and_Channel</x:v>
      </x:c>
      <x:c r="M404" s="45" t="str">
        <x:v>C4</x:v>
      </x:c>
      <x:c r="N404" s="45" t="str">
        <x:v>Sí</x:v>
      </x:c>
      <x:c r="O404" s="45" t="str">
        <x:v>David Carrasco Hernandez</x:v>
      </x:c>
      <x:c r="P404" s="45" t="str">
        <x:v>Ops y Directorio Alsea · octubre 2026</x:v>
      </x:c>
      <x:c r="Q404" s="45" t="str">
        <x:v>CMS anterior</x:v>
      </x:c>
      <x:c r="R404" s="45" t="str">
        <x:v>Abierta</x:v>
      </x:c>
      <x:c r="S404" s="45" t="str"/>
      <x:c r="T404" s="45" t="n">
        <x:f>IF(AND(OR(E404="Abierta",E404="Próxima Apertura"),N404="Sí",ISNUMBER(I404),ISNUMBER(J404),ABS(I404)&lt;=90,ABS(J404)&lt;=180),1,0)</x:f>
        <x:v>1</x:v>
      </x:c>
    </x:row>
    <x:row r="405" ht="23" customHeight="1">
      <x:c r="A405" s="45" t="str">
        <x:v>Bajío</x:v>
      </x:c>
      <x:c r="B405" s="45" t="str">
        <x:v>David Carrasco</x:v>
      </x:c>
      <x:c r="C405" s="50" t="str">
        <x:v>38911</x:v>
      </x:c>
      <x:c r="D405" s="45" t="str">
        <x:v>AIFA SUE Nacional</x:v>
      </x:c>
      <x:c r="E405" s="45" t="str">
        <x:v>Abierta</x:v>
      </x:c>
      <x:c r="F405" s="51" t="d">
        <x:v>2022-05-23T00:00:00.000Z</x:v>
      </x:c>
      <x:c r="G405" s="45" t="str">
        <x:v>Zumpango</x:v>
      </x:c>
      <x:c r="H405" s="45" t="str">
        <x:v>Estado De México</x:v>
      </x:c>
      <x:c r="I405" s="52" t="n">
        <x:v>19.7342570980023</x:v>
      </x:c>
      <x:c r="J405" s="52" t="n">
        <x:v>-99.0239829608593</x:v>
      </x:c>
      <x:c r="K405" s="45" t="str">
        <x:v>Cafe</x:v>
      </x:c>
      <x:c r="L405" s="45" t="str">
        <x:v>Travel_and_Channel</x:v>
      </x:c>
      <x:c r="M405" s="45" t="str">
        <x:v>C5</x:v>
      </x:c>
      <x:c r="N405" s="45" t="str">
        <x:v>Sí</x:v>
      </x:c>
      <x:c r="O405" s="45" t="str">
        <x:v>David Carrasco Hernandez</x:v>
      </x:c>
      <x:c r="P405" s="45" t="str">
        <x:v>Ops y Directorio Alsea · octubre 2026</x:v>
      </x:c>
      <x:c r="Q405" s="45" t="str">
        <x:v>CMS anterior</x:v>
      </x:c>
      <x:c r="R405" s="45" t="str">
        <x:v>Abierta</x:v>
      </x:c>
      <x:c r="S405" s="45" t="str"/>
      <x:c r="T405" s="45" t="n">
        <x:f>IF(AND(OR(E405="Abierta",E405="Próxima Apertura"),N405="Sí",ISNUMBER(I405),ISNUMBER(J405),ABS(I405)&lt;=90,ABS(J405)&lt;=180),1,0)</x:f>
        <x:v>1</x:v>
      </x:c>
    </x:row>
    <x:row r="406" ht="23" customHeight="1">
      <x:c r="A406" s="45" t="str">
        <x:v>Bajío</x:v>
      </x:c>
      <x:c r="B406" s="45" t="str">
        <x:v>David Carrasco</x:v>
      </x:c>
      <x:c r="C406" s="50" t="str">
        <x:v>38939</x:v>
      </x:c>
      <x:c r="D406" s="45" t="str">
        <x:v>Pachuca DT II</x:v>
      </x:c>
      <x:c r="E406" s="45" t="str">
        <x:v>Abierta</x:v>
      </x:c>
      <x:c r="F406" s="51" t="d">
        <x:v>2023-12-31T00:00:00.000Z</x:v>
      </x:c>
      <x:c r="G406" s="45" t="str">
        <x:v>Pachuca De Soto</x:v>
      </x:c>
      <x:c r="H406" s="45" t="str">
        <x:v>Hidalgo</x:v>
      </x:c>
      <x:c r="I406" s="52" t="n">
        <x:v>20.0949444443824</x:v>
      </x:c>
      <x:c r="J406" s="52" t="n">
        <x:v>-98.761355845395</x:v>
      </x:c>
      <x:c r="K406" s="45" t="str">
        <x:v>Drive_Thru</x:v>
      </x:c>
      <x:c r="L406" s="45" t="str">
        <x:v>Neighborhood</x:v>
      </x:c>
      <x:c r="M406" s="45" t="str">
        <x:v>C2</x:v>
      </x:c>
      <x:c r="N406" s="45" t="str">
        <x:v>Sí</x:v>
      </x:c>
      <x:c r="O406" s="45" t="str">
        <x:v>David Carrasco Hernandez</x:v>
      </x:c>
      <x:c r="P406" s="45" t="str">
        <x:v>Ops y Directorio Alsea · octubre 2026</x:v>
      </x:c>
      <x:c r="Q406" s="45" t="str">
        <x:v>CMS anterior</x:v>
      </x:c>
      <x:c r="R406" s="45" t="str">
        <x:v>Abierta</x:v>
      </x:c>
      <x:c r="S406" s="45" t="str"/>
      <x:c r="T406" s="45" t="n">
        <x:f>IF(AND(OR(E406="Abierta",E406="Próxima Apertura"),N406="Sí",ISNUMBER(I406),ISNUMBER(J406),ABS(I406)&lt;=90,ABS(J406)&lt;=180),1,0)</x:f>
        <x:v>1</x:v>
      </x:c>
    </x:row>
    <x:row r="407" ht="23" customHeight="1">
      <x:c r="A407" s="45" t="str">
        <x:v>Bajío</x:v>
      </x:c>
      <x:c r="B407" s="45" t="str">
        <x:v>David Carrasco</x:v>
      </x:c>
      <x:c r="C407" s="50" t="str">
        <x:v>43064</x:v>
      </x:c>
      <x:c r="D407" s="45" t="str">
        <x:v>Santa catarina DT AP</x:v>
      </x:c>
      <x:c r="E407" s="45" t="str">
        <x:v>Abierta</x:v>
      </x:c>
      <x:c r="F407" s="51" t="d">
        <x:v>2025-02-16T00:00:00.000Z</x:v>
      </x:c>
      <x:c r="G407" s="45" t="str">
        <x:v>Pachuca De Soto</x:v>
      </x:c>
      <x:c r="H407" s="45" t="str">
        <x:v>Hidalgo</x:v>
      </x:c>
      <x:c r="I407" s="52" t="n">
        <x:v>20.0720711014675</x:v>
      </x:c>
      <x:c r="J407" s="52" t="n">
        <x:v>-98.7919785057047</x:v>
      </x:c>
      <x:c r="K407" s="45" t="str">
        <x:v>Drive_Thru</x:v>
      </x:c>
      <x:c r="L407" s="45" t="str">
        <x:v>Transfers</x:v>
      </x:c>
      <x:c r="M407" s="45" t="str">
        <x:v>C2</x:v>
      </x:c>
      <x:c r="N407" s="45" t="str">
        <x:v>Sí</x:v>
      </x:c>
      <x:c r="O407" s="45" t="str">
        <x:v>David Carrasco Hernandez</x:v>
      </x:c>
      <x:c r="P407" s="45" t="str">
        <x:v>Ops y Directorio Alsea · octubre 2026</x:v>
      </x:c>
      <x:c r="Q407" s="45" t="str">
        <x:v>CMS anterior</x:v>
      </x:c>
      <x:c r="R407" s="45" t="str">
        <x:v>Abierta</x:v>
      </x:c>
      <x:c r="S407" s="45" t="str"/>
      <x:c r="T407" s="45" t="n">
        <x:f>IF(AND(OR(E407="Abierta",E407="Próxima Apertura"),N407="Sí",ISNUMBER(I407),ISNUMBER(J407),ABS(I407)&lt;=90,ABS(J407)&lt;=180),1,0)</x:f>
        <x:v>1</x:v>
      </x:c>
    </x:row>
    <x:row r="408" ht="23" customHeight="1">
      <x:c r="A408" s="45" t="str">
        <x:v>Bajío</x:v>
      </x:c>
      <x:c r="B408" s="45" t="str">
        <x:v>David Carrasco</x:v>
      </x:c>
      <x:c r="C408" s="50" t="str">
        <x:v>43082</x:v>
      </x:c>
      <x:c r="D408" s="45" t="str">
        <x:v>AIFA Salidas PTA 1</x:v>
      </x:c>
      <x:c r="E408" s="45" t="str">
        <x:v>Abierta</x:v>
      </x:c>
      <x:c r="F408" s="51" t="d">
        <x:v>2024-12-08T00:00:00.000Z</x:v>
      </x:c>
      <x:c r="G408" s="45" t="str">
        <x:v>Zumpango</x:v>
      </x:c>
      <x:c r="H408" s="45" t="str">
        <x:v>Estado De México</x:v>
      </x:c>
      <x:c r="I408" s="52" t="n">
        <x:v>19.7335415403579</x:v>
      </x:c>
      <x:c r="J408" s="52" t="n">
        <x:v>-99.0257947953245</x:v>
      </x:c>
      <x:c r="K408" s="45" t="str">
        <x:v>Kiosko</x:v>
      </x:c>
      <x:c r="L408" s="45" t="str">
        <x:v>Travel_and_Channel</x:v>
      </x:c>
      <x:c r="M408" s="45" t="str">
        <x:v>C4</x:v>
      </x:c>
      <x:c r="N408" s="45" t="str">
        <x:v>Sí</x:v>
      </x:c>
      <x:c r="O408" s="45" t="str">
        <x:v>David Carrasco Hernandez</x:v>
      </x:c>
      <x:c r="P408" s="45" t="str">
        <x:v>Ops y Directorio Alsea · octubre 2026</x:v>
      </x:c>
      <x:c r="Q408" s="45" t="str">
        <x:v>CMS anterior</x:v>
      </x:c>
      <x:c r="R408" s="45" t="str">
        <x:v>Abierta</x:v>
      </x:c>
      <x:c r="S408" s="45" t="str"/>
      <x:c r="T408" s="45" t="n">
        <x:f>IF(AND(OR(E408="Abierta",E408="Próxima Apertura"),N408="Sí",ISNUMBER(I408),ISNUMBER(J408),ABS(I408)&lt;=90,ABS(J408)&lt;=180),1,0)</x:f>
        <x:v>1</x:v>
      </x:c>
    </x:row>
    <x:row r="409" ht="23" customHeight="1">
      <x:c r="A409" s="45" t="str">
        <x:v>Bajío</x:v>
      </x:c>
      <x:c r="B409" s="45" t="str">
        <x:v>David Carrasco</x:v>
      </x:c>
      <x:c r="C409" s="50" t="str">
        <x:v>43083</x:v>
      </x:c>
      <x:c r="D409" s="45" t="str">
        <x:v>AIFA Llegadas Internacional AMB</x:v>
      </x:c>
      <x:c r="E409" s="45" t="str">
        <x:v>Abierta</x:v>
      </x:c>
      <x:c r="F409" s="51" t="d">
        <x:v>2024-12-01T00:00:00.000Z</x:v>
      </x:c>
      <x:c r="G409" s="45" t="str">
        <x:v>Zumpango</x:v>
      </x:c>
      <x:c r="H409" s="45" t="str">
        <x:v>Estado De México</x:v>
      </x:c>
      <x:c r="I409" s="52" t="n">
        <x:v>19.7338293548598</x:v>
      </x:c>
      <x:c r="J409" s="52" t="n">
        <x:v>-99.0243356736293</x:v>
      </x:c>
      <x:c r="K409" s="45" t="str">
        <x:v>Kiosko</x:v>
      </x:c>
      <x:c r="L409" s="45" t="str">
        <x:v>Travel_and_Channel</x:v>
      </x:c>
      <x:c r="M409" s="45" t="str">
        <x:v>C4</x:v>
      </x:c>
      <x:c r="N409" s="45" t="str">
        <x:v>Sí</x:v>
      </x:c>
      <x:c r="O409" s="45" t="str">
        <x:v>David Carrasco Hernandez</x:v>
      </x:c>
      <x:c r="P409" s="45" t="str">
        <x:v>Ops y Directorio Alsea · octubre 2026</x:v>
      </x:c>
      <x:c r="Q409" s="45" t="str">
        <x:v>CMS anterior</x:v>
      </x:c>
      <x:c r="R409" s="45" t="str">
        <x:v>Abierta</x:v>
      </x:c>
      <x:c r="S409" s="45" t="str"/>
      <x:c r="T409" s="45" t="n">
        <x:f>IF(AND(OR(E409="Abierta",E409="Próxima Apertura"),N409="Sí",ISNUMBER(I409),ISNUMBER(J409),ABS(I409)&lt;=90,ABS(J409)&lt;=180),1,0)</x:f>
        <x:v>1</x:v>
      </x:c>
    </x:row>
    <x:row r="410" ht="23" customHeight="1">
      <x:c r="A410" s="45" t="str">
        <x:v>Bajío</x:v>
      </x:c>
      <x:c r="B410" s="45" t="str">
        <x:v>David Carrasco</x:v>
      </x:c>
      <x:c r="C410" s="50" t="str">
        <x:v>43170</x:v>
      </x:c>
      <x:c r="D410" s="45" t="str">
        <x:v>Real de la plata</x:v>
      </x:c>
      <x:c r="E410" s="45" t="str">
        <x:v>Abierta</x:v>
      </x:c>
      <x:c r="F410" s="51" t="d">
        <x:v>2025-10-19T00:00:00.000Z</x:v>
      </x:c>
      <x:c r="G410" s="45" t="str">
        <x:v>Pachuca De Soto</x:v>
      </x:c>
      <x:c r="H410" s="45" t="str">
        <x:v>Hidalgo</x:v>
      </x:c>
      <x:c r="I410" s="52" t="n">
        <x:v>20.094506452377164</x:v>
      </x:c>
      <x:c r="J410" s="52" t="n">
        <x:v>-98.7611983695264</x:v>
      </x:c>
      <x:c r="K410" s="45" t="str">
        <x:v>Drive_Thru</x:v>
      </x:c>
      <x:c r="L410" s="45" t="str">
        <x:v>Neighborhood</x:v>
      </x:c>
      <x:c r="M410" s="45" t="str">
        <x:v>C2</x:v>
      </x:c>
      <x:c r="N410" s="45" t="str">
        <x:v>Sí</x:v>
      </x:c>
      <x:c r="O410" s="45" t="str">
        <x:v>David Carrasco Hernandez</x:v>
      </x:c>
      <x:c r="P410" s="45" t="str">
        <x:v>Ops y Directorio Alsea · octubre 2026</x:v>
      </x:c>
      <x:c r="Q410" s="45" t="str">
        <x:v>CMS anterior</x:v>
      </x:c>
      <x:c r="R410" s="45" t="str">
        <x:v>Abierta</x:v>
      </x:c>
      <x:c r="S410" s="45" t="str"/>
      <x:c r="T410" s="45" t="n">
        <x:f>IF(AND(OR(E410="Abierta",E410="Próxima Apertura"),N410="Sí",ISNUMBER(I410),ISNUMBER(J410),ABS(I410)&lt;=90,ABS(J410)&lt;=180),1,0)</x:f>
        <x:v>1</x:v>
      </x:c>
    </x:row>
    <x:row r="411" ht="23" customHeight="1">
      <x:c r="A411" s="45" t="str">
        <x:v>Bajío</x:v>
      </x:c>
      <x:c r="B411" s="45" t="str">
        <x:v>David Carrasco</x:v>
      </x:c>
      <x:c r="C411" s="50" t="str">
        <x:v>43256</x:v>
      </x:c>
      <x:c r="D411" s="45" t="str">
        <x:v>Zumpango Town Center</x:v>
      </x:c>
      <x:c r="E411" s="45" t="str">
        <x:v>Abierta</x:v>
      </x:c>
      <x:c r="F411" s="51" t="d">
        <x:v>2026-09-19T00:00:00.000Z</x:v>
      </x:c>
      <x:c r="G411" s="45" t="str">
        <x:v>Zumpango de Ocampo</x:v>
      </x:c>
      <x:c r="H411" s="45" t="str">
        <x:v>Estado De México</x:v>
      </x:c>
      <x:c r="I411" s="52" t="n">
        <x:v>19.7915871941135</x:v>
      </x:c>
      <x:c r="J411" s="52" t="n">
        <x:v>-99.0560672246231</x:v>
      </x:c>
      <x:c r="K411" s="45" t="str">
        <x:v>Cafe</x:v>
      </x:c>
      <x:c r="L411" s="45" t="str">
        <x:v>Retail</x:v>
      </x:c>
      <x:c r="M411" s="45" t="str">
        <x:v>C2</x:v>
      </x:c>
      <x:c r="N411" s="45" t="str">
        <x:v>Sí</x:v>
      </x:c>
      <x:c r="O411" s="45" t="str">
        <x:v>David Carrasco Hernandez</x:v>
      </x:c>
      <x:c r="P411" s="45" t="str">
        <x:v>Ops y Directorio Alsea · octubre 2026</x:v>
      </x:c>
      <x:c r="Q411" s="45" t="str">
        <x:v>CMS anterior</x:v>
      </x:c>
      <x:c r="R411" s="45" t="str">
        <x:v>Abierta</x:v>
      </x:c>
      <x:c r="S411" s="45" t="str"/>
      <x:c r="T411" s="45" t="n">
        <x:f>IF(AND(OR(E411="Abierta",E411="Próxima Apertura"),N411="Sí",ISNUMBER(I411),ISNUMBER(J411),ABS(I411)&lt;=90,ABS(J411)&lt;=180),1,0)</x:f>
        <x:v>1</x:v>
      </x:c>
    </x:row>
    <x:row r="412" ht="23" customHeight="1">
      <x:c r="A412" s="45" t="str">
        <x:v>Bajío</x:v>
      </x:c>
      <x:c r="B412" s="45" t="str">
        <x:v>Elizabeth Berenice Chaires Espinoza</x:v>
      </x:c>
      <x:c r="C412" s="50" t="str">
        <x:v>38306</x:v>
      </x:c>
      <x:c r="D412" s="45" t="str">
        <x:v>Irapuato 1</x:v>
      </x:c>
      <x:c r="E412" s="45" t="str">
        <x:v>Abierta</x:v>
      </x:c>
      <x:c r="F412" s="51" t="d">
        <x:v>2008-03-28T00:00:00.000Z</x:v>
      </x:c>
      <x:c r="G412" s="45" t="str">
        <x:v>Irapuato</x:v>
      </x:c>
      <x:c r="H412" s="45" t="str">
        <x:v>Guanajuato</x:v>
      </x:c>
      <x:c r="I412" s="52" t="n">
        <x:v>20.6824873</x:v>
      </x:c>
      <x:c r="J412" s="52" t="n">
        <x:v>-101.3806984</x:v>
      </x:c>
      <x:c r="K412" s="45" t="str">
        <x:v>Drive_Thru</x:v>
      </x:c>
      <x:c r="L412" s="45" t="str">
        <x:v>Transfers</x:v>
      </x:c>
      <x:c r="M412" s="45" t="str">
        <x:v>C2</x:v>
      </x:c>
      <x:c r="N412" s="45" t="str">
        <x:v>Sí</x:v>
      </x:c>
      <x:c r="O412" s="45" t="str">
        <x:v>Elizabeth Berenice Chaires Espinoza</x:v>
      </x:c>
      <x:c r="P412" s="45" t="str">
        <x:v>Ops y Directorio Alsea · octubre 2026</x:v>
      </x:c>
      <x:c r="Q412" s="45" t="str">
        <x:v>Puntos proporcionados</x:v>
      </x:c>
      <x:c r="R412" s="45" t="str">
        <x:v>Abierta</x:v>
      </x:c>
      <x:c r="S412" s="45" t="str"/>
      <x:c r="T412" s="45" t="n">
        <x:f>IF(AND(OR(E412="Abierta",E412="Próxima Apertura"),N412="Sí",ISNUMBER(I412),ISNUMBER(J412),ABS(I412)&lt;=90,ABS(J412)&lt;=180),1,0)</x:f>
        <x:v>1</x:v>
      </x:c>
    </x:row>
    <x:row r="413" ht="23" customHeight="1">
      <x:c r="A413" s="45" t="str">
        <x:v>Bajío</x:v>
      </x:c>
      <x:c r="B413" s="45" t="str">
        <x:v>Elizabeth Berenice Chaires Espinoza</x:v>
      </x:c>
      <x:c r="C413" s="50" t="str">
        <x:v>38315</x:v>
      </x:c>
      <x:c r="D413" s="45" t="str">
        <x:v>Celaya Lopez Mateos</x:v>
      </x:c>
      <x:c r="E413" s="45" t="str">
        <x:v>Abierta</x:v>
      </x:c>
      <x:c r="F413" s="51" t="d">
        <x:v>2008-06-06T00:00:00.000Z</x:v>
      </x:c>
      <x:c r="G413" s="45" t="str">
        <x:v>Celaya</x:v>
      </x:c>
      <x:c r="H413" s="45" t="str">
        <x:v>Guanajuato</x:v>
      </x:c>
      <x:c r="I413" s="52" t="n">
        <x:v>20.519655</x:v>
      </x:c>
      <x:c r="J413" s="52" t="n">
        <x:v>-100.828816</x:v>
      </x:c>
      <x:c r="K413" s="45" t="str">
        <x:v>Cafe</x:v>
      </x:c>
      <x:c r="L413" s="45" t="str">
        <x:v>Retail</x:v>
      </x:c>
      <x:c r="M413" s="45" t="str">
        <x:v>C2</x:v>
      </x:c>
      <x:c r="N413" s="45" t="str">
        <x:v>Sí</x:v>
      </x:c>
      <x:c r="O413" s="45" t="str">
        <x:v>Elizabeth Berenice Chaires Espinoza</x:v>
      </x:c>
      <x:c r="P413" s="45" t="str">
        <x:v>Ops y Directorio Alsea · octubre 2026</x:v>
      </x:c>
      <x:c r="Q413" s="45" t="str">
        <x:v>Puntos proporcionados</x:v>
      </x:c>
      <x:c r="R413" s="45" t="str">
        <x:v>Abierta</x:v>
      </x:c>
      <x:c r="S413" s="45" t="str"/>
      <x:c r="T413" s="45" t="n">
        <x:f>IF(AND(OR(E413="Abierta",E413="Próxima Apertura"),N413="Sí",ISNUMBER(I413),ISNUMBER(J413),ABS(I413)&lt;=90,ABS(J413)&lt;=180),1,0)</x:f>
        <x:v>1</x:v>
      </x:c>
    </x:row>
    <x:row r="414" ht="23" customHeight="1">
      <x:c r="A414" s="45" t="str">
        <x:v>Bajío</x:v>
      </x:c>
      <x:c r="B414" s="45" t="str">
        <x:v>Elizabeth Berenice Chaires Espinoza</x:v>
      </x:c>
      <x:c r="C414" s="50" t="str">
        <x:v>38520</x:v>
      </x:c>
      <x:c r="D414" s="45" t="str">
        <x:v>Celaya Campestre</x:v>
      </x:c>
      <x:c r="E414" s="45" t="str">
        <x:v>Abierta</x:v>
      </x:c>
      <x:c r="F414" s="51" t="d">
        <x:v>2013-12-05T00:00:00.000Z</x:v>
      </x:c>
      <x:c r="G414" s="45" t="str">
        <x:v>Celaya</x:v>
      </x:c>
      <x:c r="H414" s="45" t="str">
        <x:v>Guanajuato</x:v>
      </x:c>
      <x:c r="I414" s="52" t="n">
        <x:v>20.5179034</x:v>
      </x:c>
      <x:c r="J414" s="52" t="n">
        <x:v>-100.79085</x:v>
      </x:c>
      <x:c r="K414" s="45" t="str">
        <x:v>Cafe</x:v>
      </x:c>
      <x:c r="L414" s="45" t="str">
        <x:v>Retail</x:v>
      </x:c>
      <x:c r="M414" s="45" t="str">
        <x:v>C2</x:v>
      </x:c>
      <x:c r="N414" s="45" t="str">
        <x:v>Sí</x:v>
      </x:c>
      <x:c r="O414" s="45" t="str">
        <x:v>Elizabeth Berenice Chaires Espinoza</x:v>
      </x:c>
      <x:c r="P414" s="45" t="str">
        <x:v>Ops y Directorio Alsea · octubre 2026</x:v>
      </x:c>
      <x:c r="Q414" s="45" t="str">
        <x:v>Puntos proporcionados</x:v>
      </x:c>
      <x:c r="R414" s="45" t="str">
        <x:v>Abierta</x:v>
      </x:c>
      <x:c r="S414" s="45" t="str"/>
      <x:c r="T414" s="45" t="n">
        <x:f>IF(AND(OR(E414="Abierta",E414="Próxima Apertura"),N414="Sí",ISNUMBER(I414),ISNUMBER(J414),ABS(I414)&lt;=90,ABS(J414)&lt;=180),1,0)</x:f>
        <x:v>1</x:v>
      </x:c>
    </x:row>
    <x:row r="415" ht="23" customHeight="1">
      <x:c r="A415" s="45" t="str">
        <x:v>Bajío</x:v>
      </x:c>
      <x:c r="B415" s="45" t="str">
        <x:v>Elizabeth Berenice Chaires Espinoza</x:v>
      </x:c>
      <x:c r="C415" s="50" t="str">
        <x:v>38631</x:v>
      </x:c>
      <x:c r="D415" s="45" t="str">
        <x:v>Plaza Cibeles</x:v>
      </x:c>
      <x:c r="E415" s="45" t="str">
        <x:v>Abierta</x:v>
      </x:c>
      <x:c r="F415" s="51" t="d">
        <x:v>2015-12-21T00:00:00.000Z</x:v>
      </x:c>
      <x:c r="G415" s="45" t="str">
        <x:v>Irapuato</x:v>
      </x:c>
      <x:c r="H415" s="45" t="str">
        <x:v>Guanajuato</x:v>
      </x:c>
      <x:c r="I415" s="52" t="n">
        <x:v>20.6814536</x:v>
      </x:c>
      <x:c r="J415" s="52" t="n">
        <x:v>-101.3813932</x:v>
      </x:c>
      <x:c r="K415" s="45" t="str">
        <x:v>Cafe</x:v>
      </x:c>
      <x:c r="L415" s="45" t="str">
        <x:v>Retail</x:v>
      </x:c>
      <x:c r="M415" s="45" t="str">
        <x:v>C2</x:v>
      </x:c>
      <x:c r="N415" s="45" t="str">
        <x:v>Sí</x:v>
      </x:c>
      <x:c r="O415" s="45" t="str">
        <x:v>Elizabeth Berenice Chaires Espinoza</x:v>
      </x:c>
      <x:c r="P415" s="45" t="str">
        <x:v>Ops y Directorio Alsea · octubre 2026</x:v>
      </x:c>
      <x:c r="Q415" s="45" t="str">
        <x:v>Puntos proporcionados</x:v>
      </x:c>
      <x:c r="R415" s="45" t="str">
        <x:v>Abierta</x:v>
      </x:c>
      <x:c r="S415" s="45" t="str"/>
      <x:c r="T415" s="45" t="n">
        <x:f>IF(AND(OR(E415="Abierta",E415="Próxima Apertura"),N415="Sí",ISNUMBER(I415),ISNUMBER(J415),ABS(I415)&lt;=90,ABS(J415)&lt;=180),1,0)</x:f>
        <x:v>1</x:v>
      </x:c>
    </x:row>
    <x:row r="416" ht="23" customHeight="1">
      <x:c r="A416" s="45" t="str">
        <x:v>Bajío</x:v>
      </x:c>
      <x:c r="B416" s="45" t="str">
        <x:v>Elizabeth Berenice Chaires Espinoza</x:v>
      </x:c>
      <x:c r="C416" s="50" t="str">
        <x:v>38665</x:v>
      </x:c>
      <x:c r="D416" s="45" t="str">
        <x:v>Galerias Celaya</x:v>
      </x:c>
      <x:c r="E416" s="45" t="str">
        <x:v>Abierta</x:v>
      </x:c>
      <x:c r="F416" s="51" t="d">
        <x:v>2016-08-30T00:00:00.000Z</x:v>
      </x:c>
      <x:c r="G416" s="45" t="str">
        <x:v>Celaya</x:v>
      </x:c>
      <x:c r="H416" s="45" t="str">
        <x:v>Guanajuato</x:v>
      </x:c>
      <x:c r="I416" s="52" t="n">
        <x:v>20.5321454</x:v>
      </x:c>
      <x:c r="J416" s="52" t="n">
        <x:v>-100.7789009</x:v>
      </x:c>
      <x:c r="K416" s="45" t="str">
        <x:v>Cafe</x:v>
      </x:c>
      <x:c r="L416" s="45" t="str">
        <x:v>Retail</x:v>
      </x:c>
      <x:c r="M416" s="45" t="str">
        <x:v>C2</x:v>
      </x:c>
      <x:c r="N416" s="45" t="str">
        <x:v>Sí</x:v>
      </x:c>
      <x:c r="O416" s="45" t="str">
        <x:v>Elizabeth Berenice Chaires Espinoza</x:v>
      </x:c>
      <x:c r="P416" s="45" t="str">
        <x:v>Ops y Directorio Alsea · octubre 2026</x:v>
      </x:c>
      <x:c r="Q416" s="45" t="str">
        <x:v>Puntos proporcionados</x:v>
      </x:c>
      <x:c r="R416" s="45" t="str">
        <x:v>Abierta</x:v>
      </x:c>
      <x:c r="S416" s="45" t="str"/>
      <x:c r="T416" s="45" t="n">
        <x:f>IF(AND(OR(E416="Abierta",E416="Próxima Apertura"),N416="Sí",ISNUMBER(I416),ISNUMBER(J416),ABS(I416)&lt;=90,ABS(J416)&lt;=180),1,0)</x:f>
        <x:v>1</x:v>
      </x:c>
    </x:row>
    <x:row r="417" ht="23" customHeight="1">
      <x:c r="A417" s="45" t="str">
        <x:v>Bajío</x:v>
      </x:c>
      <x:c r="B417" s="45" t="str">
        <x:v>Elizabeth Berenice Chaires Espinoza</x:v>
      </x:c>
      <x:c r="C417" s="50" t="str">
        <x:v>38669</x:v>
      </x:c>
      <x:c r="D417" s="45" t="str">
        <x:v>Salamanca Power Town</x:v>
      </x:c>
      <x:c r="E417" s="45" t="str">
        <x:v>Abierta</x:v>
      </x:c>
      <x:c r="F417" s="51" t="d">
        <x:v>2016-10-02T00:00:00.000Z</x:v>
      </x:c>
      <x:c r="G417" s="45" t="str">
        <x:v>Salamanca</x:v>
      </x:c>
      <x:c r="H417" s="45" t="str">
        <x:v>Guanajuato</x:v>
      </x:c>
      <x:c r="I417" s="52" t="n">
        <x:v>20.5831254</x:v>
      </x:c>
      <x:c r="J417" s="52" t="n">
        <x:v>-101.2300941</x:v>
      </x:c>
      <x:c r="K417" s="45" t="str">
        <x:v>Cafe</x:v>
      </x:c>
      <x:c r="L417" s="45" t="str">
        <x:v>Retail</x:v>
      </x:c>
      <x:c r="M417" s="45" t="str">
        <x:v>C2</x:v>
      </x:c>
      <x:c r="N417" s="45" t="str">
        <x:v>Sí</x:v>
      </x:c>
      <x:c r="O417" s="45" t="str">
        <x:v>Elizabeth Berenice Chaires Espinoza</x:v>
      </x:c>
      <x:c r="P417" s="45" t="str">
        <x:v>Ops y Directorio Alsea · octubre 2026</x:v>
      </x:c>
      <x:c r="Q417" s="45" t="str">
        <x:v>Puntos proporcionados</x:v>
      </x:c>
      <x:c r="R417" s="45" t="str">
        <x:v>Abierta</x:v>
      </x:c>
      <x:c r="S417" s="45" t="str"/>
      <x:c r="T417" s="45" t="n">
        <x:f>IF(AND(OR(E417="Abierta",E417="Próxima Apertura"),N417="Sí",ISNUMBER(I417),ISNUMBER(J417),ABS(I417)&lt;=90,ABS(J417)&lt;=180),1,0)</x:f>
        <x:v>1</x:v>
      </x:c>
    </x:row>
    <x:row r="418" ht="23" customHeight="1">
      <x:c r="A418" s="45" t="str">
        <x:v>Bajío</x:v>
      </x:c>
      <x:c r="B418" s="45" t="str">
        <x:v>Elizabeth Berenice Chaires Espinoza</x:v>
      </x:c>
      <x:c r="C418" s="50" t="str">
        <x:v>38689</x:v>
      </x:c>
      <x:c r="D418" s="45" t="str">
        <x:v>Carretera Irapuato</x:v>
      </x:c>
      <x:c r="E418" s="45" t="str">
        <x:v>Abierta</x:v>
      </x:c>
      <x:c r="F418" s="51" t="d">
        <x:v>2016-11-23T00:00:00.000Z</x:v>
      </x:c>
      <x:c r="G418" s="45" t="str">
        <x:v>Irapuato</x:v>
      </x:c>
      <x:c r="H418" s="45" t="str">
        <x:v>Guanajuato</x:v>
      </x:c>
      <x:c r="I418" s="52" t="n">
        <x:v>20.7105713</x:v>
      </x:c>
      <x:c r="J418" s="52" t="n">
        <x:v>-101.3262165</x:v>
      </x:c>
      <x:c r="K418" s="45" t="str">
        <x:v>Drive_Thru</x:v>
      </x:c>
      <x:c r="L418" s="45" t="str">
        <x:v>Transfers</x:v>
      </x:c>
      <x:c r="M418" s="45" t="str">
        <x:v>C3</x:v>
      </x:c>
      <x:c r="N418" s="45" t="str">
        <x:v>Sí</x:v>
      </x:c>
      <x:c r="O418" s="45" t="str">
        <x:v>Elizabeth Berenice Chaires Espinoza</x:v>
      </x:c>
      <x:c r="P418" s="45" t="str">
        <x:v>Ops y Directorio Alsea · octubre 2026</x:v>
      </x:c>
      <x:c r="Q418" s="45" t="str">
        <x:v>Puntos proporcionados</x:v>
      </x:c>
      <x:c r="R418" s="45" t="str">
        <x:v>Abierta</x:v>
      </x:c>
      <x:c r="S418" s="45" t="str"/>
      <x:c r="T418" s="45" t="n">
        <x:f>IF(AND(OR(E418="Abierta",E418="Próxima Apertura"),N418="Sí",ISNUMBER(I418),ISNUMBER(J418),ABS(I418)&lt;=90,ABS(J418)&lt;=180),1,0)</x:f>
        <x:v>1</x:v>
      </x:c>
    </x:row>
    <x:row r="419" ht="23" customHeight="1">
      <x:c r="A419" s="45" t="str">
        <x:v>Bajío</x:v>
      </x:c>
      <x:c r="B419" s="45" t="str">
        <x:v>Elizabeth Berenice Chaires Espinoza</x:v>
      </x:c>
      <x:c r="C419" s="50" t="str">
        <x:v>38735</x:v>
      </x:c>
      <x:c r="D419" s="45" t="str">
        <x:v>Salamanca Mazda</x:v>
      </x:c>
      <x:c r="E419" s="45" t="str">
        <x:v>Abierta</x:v>
      </x:c>
      <x:c r="F419" s="51" t="d">
        <x:v>2017-07-21T00:00:00.000Z</x:v>
      </x:c>
      <x:c r="G419" s="45" t="str">
        <x:v>Salamanca</x:v>
      </x:c>
      <x:c r="H419" s="45" t="str">
        <x:v>Guanajuato</x:v>
      </x:c>
      <x:c r="I419" s="52" t="n">
        <x:v>20.6035784</x:v>
      </x:c>
      <x:c r="J419" s="52" t="n">
        <x:v>-101.2452372</x:v>
      </x:c>
      <x:c r="K419" s="45" t="str">
        <x:v>Drive_Thru</x:v>
      </x:c>
      <x:c r="L419" s="45" t="str">
        <x:v>Transfers</x:v>
      </x:c>
      <x:c r="M419" s="45" t="str">
        <x:v>C3</x:v>
      </x:c>
      <x:c r="N419" s="45" t="str">
        <x:v>Sí</x:v>
      </x:c>
      <x:c r="O419" s="45" t="str">
        <x:v>Elizabeth Berenice Chaires Espinoza</x:v>
      </x:c>
      <x:c r="P419" s="45" t="str">
        <x:v>Ops y Directorio Alsea · octubre 2026</x:v>
      </x:c>
      <x:c r="Q419" s="45" t="str">
        <x:v>Puntos proporcionados</x:v>
      </x:c>
      <x:c r="R419" s="45" t="str">
        <x:v>Abierta</x:v>
      </x:c>
      <x:c r="S419" s="45" t="str"/>
      <x:c r="T419" s="45" t="n">
        <x:f>IF(AND(OR(E419="Abierta",E419="Próxima Apertura"),N419="Sí",ISNUMBER(I419),ISNUMBER(J419),ABS(I419)&lt;=90,ABS(J419)&lt;=180),1,0)</x:f>
        <x:v>1</x:v>
      </x:c>
    </x:row>
    <x:row r="420" ht="23" customHeight="1">
      <x:c r="A420" s="45" t="str">
        <x:v>Bajío</x:v>
      </x:c>
      <x:c r="B420" s="45" t="str">
        <x:v>Elizabeth Berenice Chaires Espinoza</x:v>
      </x:c>
      <x:c r="C420" s="50" t="str">
        <x:v>38818</x:v>
      </x:c>
      <x:c r="D420" s="45" t="str">
        <x:v>Centro Jacarandas</x:v>
      </x:c>
      <x:c r="E420" s="45" t="str">
        <x:v>Abierta</x:v>
      </x:c>
      <x:c r="F420" s="51" t="d">
        <x:v>2018-07-21T00:00:00.000Z</x:v>
      </x:c>
      <x:c r="G420" s="45" t="str">
        <x:v>Irapuato</x:v>
      </x:c>
      <x:c r="H420" s="45" t="str">
        <x:v>Guanajuato</x:v>
      </x:c>
      <x:c r="I420" s="52" t="n">
        <x:v>20.674669</x:v>
      </x:c>
      <x:c r="J420" s="52" t="n">
        <x:v>-101.371492</x:v>
      </x:c>
      <x:c r="K420" s="45" t="str">
        <x:v>Cafe</x:v>
      </x:c>
      <x:c r="L420" s="45" t="str">
        <x:v>Retail</x:v>
      </x:c>
      <x:c r="M420" s="45" t="str">
        <x:v>C2</x:v>
      </x:c>
      <x:c r="N420" s="45" t="str">
        <x:v>Sí</x:v>
      </x:c>
      <x:c r="O420" s="45" t="str">
        <x:v>Elizabeth Berenice Chaires Espinoza</x:v>
      </x:c>
      <x:c r="P420" s="45" t="str">
        <x:v>Ops y Directorio Alsea · octubre 2026</x:v>
      </x:c>
      <x:c r="Q420" s="45" t="str">
        <x:v>Puntos proporcionados</x:v>
      </x:c>
      <x:c r="R420" s="45" t="str">
        <x:v>Abierta</x:v>
      </x:c>
      <x:c r="S420" s="45" t="str"/>
      <x:c r="T420" s="45" t="n">
        <x:f>IF(AND(OR(E420="Abierta",E420="Próxima Apertura"),N420="Sí",ISNUMBER(I420),ISNUMBER(J420),ABS(I420)&lt;=90,ABS(J420)&lt;=180),1,0)</x:f>
        <x:v>1</x:v>
      </x:c>
    </x:row>
    <x:row r="421" ht="23" customHeight="1">
      <x:c r="A421" s="45" t="str">
        <x:v>Bajío</x:v>
      </x:c>
      <x:c r="B421" s="45" t="str">
        <x:v>Elizabeth Berenice Chaires Espinoza</x:v>
      </x:c>
      <x:c r="C421" s="50" t="str">
        <x:v>38953</x:v>
      </x:c>
      <x:c r="D421" s="45" t="str">
        <x:v>Fragaria Irapuato</x:v>
      </x:c>
      <x:c r="E421" s="45" t="str">
        <x:v>Abierta</x:v>
      </x:c>
      <x:c r="F421" s="51" t="d">
        <x:v>2023-05-04T00:00:00.000Z</x:v>
      </x:c>
      <x:c r="G421" s="45" t="str">
        <x:v>Irapuato</x:v>
      </x:c>
      <x:c r="H421" s="45" t="str">
        <x:v>Guanajuato</x:v>
      </x:c>
      <x:c r="I421" s="52" t="n">
        <x:v>20.7095421</x:v>
      </x:c>
      <x:c r="J421" s="52" t="n">
        <x:v>-101.3518093</x:v>
      </x:c>
      <x:c r="K421" s="45" t="str">
        <x:v>Drive_Thru</x:v>
      </x:c>
      <x:c r="L421" s="45" t="str">
        <x:v>Retail</x:v>
      </x:c>
      <x:c r="M421" s="45" t="str">
        <x:v>C2</x:v>
      </x:c>
      <x:c r="N421" s="45" t="str">
        <x:v>Sí</x:v>
      </x:c>
      <x:c r="O421" s="45" t="str">
        <x:v>Elizabeth Berenice Chaires Espinoza</x:v>
      </x:c>
      <x:c r="P421" s="45" t="str">
        <x:v>Ops y Directorio Alsea · octubre 2026</x:v>
      </x:c>
      <x:c r="Q421" s="45" t="str">
        <x:v>Puntos proporcionados</x:v>
      </x:c>
      <x:c r="R421" s="45" t="str">
        <x:v>Abierta</x:v>
      </x:c>
      <x:c r="S421" s="45" t="str"/>
      <x:c r="T421" s="45" t="n">
        <x:f>IF(AND(OR(E421="Abierta",E421="Próxima Apertura"),N421="Sí",ISNUMBER(I421),ISNUMBER(J421),ABS(I421)&lt;=90,ABS(J421)&lt;=180),1,0)</x:f>
        <x:v>1</x:v>
      </x:c>
    </x:row>
    <x:row r="422" ht="23" customHeight="1">
      <x:c r="A422" s="45" t="str">
        <x:v>Bajío</x:v>
      </x:c>
      <x:c r="B422" s="45" t="str">
        <x:v>Elizabeth Berenice Chaires Espinoza</x:v>
      </x:c>
      <x:c r="C422" s="50" t="str">
        <x:v>43050</x:v>
      </x:c>
      <x:c r="D422" s="45" t="str">
        <x:v>Galerias Uriangato DT</x:v>
      </x:c>
      <x:c r="E422" s="45" t="str">
        <x:v>Abierta</x:v>
      </x:c>
      <x:c r="F422" s="51" t="d">
        <x:v>2024-09-12T00:00:00.000Z</x:v>
      </x:c>
      <x:c r="G422" s="45" t="str">
        <x:v>Uriangato</x:v>
      </x:c>
      <x:c r="H422" s="45" t="str">
        <x:v>Guanajuato</x:v>
      </x:c>
      <x:c r="I422" s="52" t="n">
        <x:v>20.1208341</x:v>
      </x:c>
      <x:c r="J422" s="52" t="n">
        <x:v>-101.1779528</x:v>
      </x:c>
      <x:c r="K422" s="45" t="str">
        <x:v>Drive_Thru</x:v>
      </x:c>
      <x:c r="L422" s="45" t="str">
        <x:v>Retail</x:v>
      </x:c>
      <x:c r="M422" s="45" t="str">
        <x:v>C2</x:v>
      </x:c>
      <x:c r="N422" s="45" t="str">
        <x:v>Sí</x:v>
      </x:c>
      <x:c r="O422" s="45" t="str">
        <x:v>Elizabeth Berenice Chaires Espinoza</x:v>
      </x:c>
      <x:c r="P422" s="45" t="str">
        <x:v>Ops y Directorio Alsea · octubre 2026</x:v>
      </x:c>
      <x:c r="Q422" s="45" t="str">
        <x:v>Puntos proporcionados</x:v>
      </x:c>
      <x:c r="R422" s="45" t="str">
        <x:v>Abierta</x:v>
      </x:c>
      <x:c r="S422" s="45" t="str"/>
      <x:c r="T422" s="45" t="n">
        <x:f>IF(AND(OR(E422="Abierta",E422="Próxima Apertura"),N422="Sí",ISNUMBER(I422),ISNUMBER(J422),ABS(I422)&lt;=90,ABS(J422)&lt;=180),1,0)</x:f>
        <x:v>1</x:v>
      </x:c>
    </x:row>
    <x:row r="423" ht="23" customHeight="1">
      <x:c r="A423" s="45" t="str">
        <x:v>Bajío</x:v>
      </x:c>
      <x:c r="B423" s="45" t="str">
        <x:v>Elizabeth Berenice Chaires Espinoza</x:v>
      </x:c>
      <x:c r="C423" s="50" t="str">
        <x:v>43071</x:v>
      </x:c>
      <x:c r="D423" s="45" t="str">
        <x:v>Tecnologico Celaya</x:v>
      </x:c>
      <x:c r="E423" s="45" t="str">
        <x:v>Abierta</x:v>
      </x:c>
      <x:c r="F423" s="51" t="d">
        <x:v>2025-08-28T00:00:00.000Z</x:v>
      </x:c>
      <x:c r="G423" s="45" t="str">
        <x:v>Celaya</x:v>
      </x:c>
      <x:c r="H423" s="45" t="str">
        <x:v>Guanajuato</x:v>
      </x:c>
      <x:c r="I423" s="52" t="n">
        <x:v>20.5564259</x:v>
      </x:c>
      <x:c r="J423" s="52" t="n">
        <x:v>-100.8221361</x:v>
      </x:c>
      <x:c r="K423" s="45" t="str">
        <x:v>Drive_Thru</x:v>
      </x:c>
      <x:c r="L423" s="45" t="str">
        <x:v>Retail</x:v>
      </x:c>
      <x:c r="M423" s="45" t="str">
        <x:v>C2</x:v>
      </x:c>
      <x:c r="N423" s="45" t="str">
        <x:v>Sí</x:v>
      </x:c>
      <x:c r="O423" s="45" t="str">
        <x:v>Elizabeth Berenice Chaires Espinoza</x:v>
      </x:c>
      <x:c r="P423" s="45" t="str">
        <x:v>Ops y Directorio Alsea · octubre 2026</x:v>
      </x:c>
      <x:c r="Q423" s="45" t="str">
        <x:v>Puntos proporcionados</x:v>
      </x:c>
      <x:c r="R423" s="45" t="str">
        <x:v>Abierta</x:v>
      </x:c>
      <x:c r="S423" s="45" t="str"/>
      <x:c r="T423" s="45" t="n">
        <x:f>IF(AND(OR(E423="Abierta",E423="Próxima Apertura"),N423="Sí",ISNUMBER(I423),ISNUMBER(J423),ABS(I423)&lt;=90,ABS(J423)&lt;=180),1,0)</x:f>
        <x:v>1</x:v>
      </x:c>
    </x:row>
    <x:row r="424" ht="23" customHeight="1">
      <x:c r="A424" s="45" t="str">
        <x:v>Bajío</x:v>
      </x:c>
      <x:c r="B424" s="45" t="str">
        <x:v>Gloria Montiel Piñon</x:v>
      </x:c>
      <x:c r="C424" s="50" t="str">
        <x:v>38268</x:v>
      </x:c>
      <x:c r="D424" s="45" t="str">
        <x:v>Plaza Boulevares</x:v>
      </x:c>
      <x:c r="E424" s="45" t="str">
        <x:v>Abierta</x:v>
      </x:c>
      <x:c r="F424" s="51" t="d">
        <x:v>2007-11-09T00:00:00.000Z</x:v>
      </x:c>
      <x:c r="G424" s="45" t="str">
        <x:v>Querétaro</x:v>
      </x:c>
      <x:c r="H424" s="45" t="str">
        <x:v>Querétaro</x:v>
      </x:c>
      <x:c r="I424" s="52" t="n">
        <x:v>20.614683</x:v>
      </x:c>
      <x:c r="J424" s="52" t="n">
        <x:v>-100.387737</x:v>
      </x:c>
      <x:c r="K424" s="45" t="str">
        <x:v>Cafe</x:v>
      </x:c>
      <x:c r="L424" s="45" t="str">
        <x:v>Retail</x:v>
      </x:c>
      <x:c r="M424" s="45" t="str">
        <x:v>C1</x:v>
      </x:c>
      <x:c r="N424" s="45" t="str">
        <x:v>Sí</x:v>
      </x:c>
      <x:c r="O424" s="45" t="str">
        <x:v>Gloria Montiel Piñon</x:v>
      </x:c>
      <x:c r="P424" s="45" t="str">
        <x:v>Ops y Directorio Alsea · octubre 2026</x:v>
      </x:c>
      <x:c r="Q424" s="45" t="str">
        <x:v>Puntos proporcionados</x:v>
      </x:c>
      <x:c r="R424" s="45" t="str">
        <x:v>Abierta</x:v>
      </x:c>
      <x:c r="S424" s="45" t="str"/>
      <x:c r="T424" s="45" t="n">
        <x:f>IF(AND(OR(E424="Abierta",E424="Próxima Apertura"),N424="Sí",ISNUMBER(I424),ISNUMBER(J424),ABS(I424)&lt;=90,ABS(J424)&lt;=180),1,0)</x:f>
        <x:v>1</x:v>
      </x:c>
    </x:row>
    <x:row r="425" ht="23" customHeight="1">
      <x:c r="A425" s="45" t="str">
        <x:v>Bajío</x:v>
      </x:c>
      <x:c r="B425" s="45" t="str">
        <x:v>Gloria Montiel Piñon</x:v>
      </x:c>
      <x:c r="C425" s="50" t="str">
        <x:v>38286</x:v>
      </x:c>
      <x:c r="D425" s="45" t="str">
        <x:v>Los Arcos Queretaro</x:v>
      </x:c>
      <x:c r="E425" s="45" t="str">
        <x:v>Abierta</x:v>
      </x:c>
      <x:c r="F425" s="51" t="d">
        <x:v>2007-12-14T00:00:00.000Z</x:v>
      </x:c>
      <x:c r="G425" s="45" t="str">
        <x:v>Querétaro</x:v>
      </x:c>
      <x:c r="H425" s="45" t="str">
        <x:v>Querétaro</x:v>
      </x:c>
      <x:c r="I425" s="52" t="n">
        <x:v>20.594019</x:v>
      </x:c>
      <x:c r="J425" s="52" t="n">
        <x:v>-100.376311</x:v>
      </x:c>
      <x:c r="K425" s="45" t="str">
        <x:v>Cafe</x:v>
      </x:c>
      <x:c r="L425" s="45" t="str">
        <x:v>Neighborhood</x:v>
      </x:c>
      <x:c r="M425" s="45" t="str">
        <x:v>C1</x:v>
      </x:c>
      <x:c r="N425" s="45" t="str">
        <x:v>Sí</x:v>
      </x:c>
      <x:c r="O425" s="45" t="str">
        <x:v>Gloria Montiel Piñon</x:v>
      </x:c>
      <x:c r="P425" s="45" t="str">
        <x:v>Ops y Directorio Alsea · octubre 2026</x:v>
      </x:c>
      <x:c r="Q425" s="45" t="str">
        <x:v>Puntos proporcionados</x:v>
      </x:c>
      <x:c r="R425" s="45" t="str">
        <x:v>Abierta</x:v>
      </x:c>
      <x:c r="S425" s="45" t="str"/>
      <x:c r="T425" s="45" t="n">
        <x:f>IF(AND(OR(E425="Abierta",E425="Próxima Apertura"),N425="Sí",ISNUMBER(I425),ISNUMBER(J425),ABS(I425)&lt;=90,ABS(J425)&lt;=180),1,0)</x:f>
        <x:v>1</x:v>
      </x:c>
    </x:row>
    <x:row r="426" ht="23" customHeight="1">
      <x:c r="A426" s="45" t="str">
        <x:v>Bajío</x:v>
      </x:c>
      <x:c r="B426" s="45" t="str">
        <x:v>Gloria Montiel Piñon</x:v>
      </x:c>
      <x:c r="C426" s="50" t="str">
        <x:v>38601</x:v>
      </x:c>
      <x:c r="D426" s="45" t="str">
        <x:v>Paseo Quintana</x:v>
      </x:c>
      <x:c r="E426" s="45" t="str">
        <x:v>Abierta</x:v>
      </x:c>
      <x:c r="F426" s="51" t="d">
        <x:v>2015-08-21T00:00:00.000Z</x:v>
      </x:c>
      <x:c r="G426" s="45" t="str">
        <x:v>Querétaro</x:v>
      </x:c>
      <x:c r="H426" s="45" t="str">
        <x:v>Querétaro</x:v>
      </x:c>
      <x:c r="I426" s="52" t="n">
        <x:v>20.6106976</x:v>
      </x:c>
      <x:c r="J426" s="52" t="n">
        <x:v>-100.3822301</x:v>
      </x:c>
      <x:c r="K426" s="45" t="str">
        <x:v>Cafe</x:v>
      </x:c>
      <x:c r="L426" s="45" t="str">
        <x:v>Retail</x:v>
      </x:c>
      <x:c r="M426" s="45" t="str">
        <x:v>C1</x:v>
      </x:c>
      <x:c r="N426" s="45" t="str">
        <x:v>Sí</x:v>
      </x:c>
      <x:c r="O426" s="45" t="str">
        <x:v>Gloria Montiel Piñon</x:v>
      </x:c>
      <x:c r="P426" s="45" t="str">
        <x:v>Ops y Directorio Alsea · octubre 2026</x:v>
      </x:c>
      <x:c r="Q426" s="45" t="str">
        <x:v>Puntos proporcionados</x:v>
      </x:c>
      <x:c r="R426" s="45" t="str">
        <x:v>Abierta</x:v>
      </x:c>
      <x:c r="S426" s="45" t="str"/>
      <x:c r="T426" s="45" t="n">
        <x:f>IF(AND(OR(E426="Abierta",E426="Próxima Apertura"),N426="Sí",ISNUMBER(I426),ISNUMBER(J426),ABS(I426)&lt;=90,ABS(J426)&lt;=180),1,0)</x:f>
        <x:v>1</x:v>
      </x:c>
    </x:row>
    <x:row r="427" ht="23" customHeight="1">
      <x:c r="A427" s="45" t="str">
        <x:v>Bajío</x:v>
      </x:c>
      <x:c r="B427" s="45" t="str">
        <x:v>Gloria Montiel Piñon</x:v>
      </x:c>
      <x:c r="C427" s="50" t="str">
        <x:v>38642</x:v>
      </x:c>
      <x:c r="D427" s="45" t="str">
        <x:v>Carretera Mexico Queretaro</x:v>
      </x:c>
      <x:c r="E427" s="45" t="str">
        <x:v>Abierta</x:v>
      </x:c>
      <x:c r="F427" s="51" t="d">
        <x:v>2016-06-25T00:00:00.000Z</x:v>
      </x:c>
      <x:c r="G427" s="45" t="str">
        <x:v>El Marqués</x:v>
      </x:c>
      <x:c r="H427" s="45" t="str">
        <x:v>Querétaro</x:v>
      </x:c>
      <x:c r="I427" s="52" t="n">
        <x:v>20.586936</x:v>
      </x:c>
      <x:c r="J427" s="52" t="n">
        <x:v>-100.353219</x:v>
      </x:c>
      <x:c r="K427" s="45" t="str">
        <x:v>Drive_Thru</x:v>
      </x:c>
      <x:c r="L427" s="45" t="str">
        <x:v>Transfers</x:v>
      </x:c>
      <x:c r="M427" s="45" t="str">
        <x:v>C3</x:v>
      </x:c>
      <x:c r="N427" s="45" t="str">
        <x:v>Sí</x:v>
      </x:c>
      <x:c r="O427" s="45" t="str">
        <x:v>Gloria Montiel Piñon</x:v>
      </x:c>
      <x:c r="P427" s="45" t="str">
        <x:v>Ops y Directorio Alsea · octubre 2026</x:v>
      </x:c>
      <x:c r="Q427" s="45" t="str">
        <x:v>Puntos proporcionados</x:v>
      </x:c>
      <x:c r="R427" s="45" t="str">
        <x:v>Abierta</x:v>
      </x:c>
      <x:c r="S427" s="45" t="str"/>
      <x:c r="T427" s="45" t="n">
        <x:f>IF(AND(OR(E427="Abierta",E427="Próxima Apertura"),N427="Sí",ISNUMBER(I427),ISNUMBER(J427),ABS(I427)&lt;=90,ABS(J427)&lt;=180),1,0)</x:f>
        <x:v>1</x:v>
      </x:c>
    </x:row>
    <x:row r="428" ht="23" customHeight="1">
      <x:c r="A428" s="45" t="str">
        <x:v>Bajío</x:v>
      </x:c>
      <x:c r="B428" s="45" t="str">
        <x:v>Gloria Montiel Piñon</x:v>
      </x:c>
      <x:c r="C428" s="50" t="str">
        <x:v>38729</x:v>
      </x:c>
      <x:c r="D428" s="45" t="str">
        <x:v>Ubika Milenio</x:v>
      </x:c>
      <x:c r="E428" s="45" t="str">
        <x:v>Abierta</x:v>
      </x:c>
      <x:c r="F428" s="51" t="d">
        <x:v>2017-05-20T00:00:00.000Z</x:v>
      </x:c>
      <x:c r="G428" s="45" t="str">
        <x:v>Querétaro</x:v>
      </x:c>
      <x:c r="H428" s="45" t="str">
        <x:v>Querétaro</x:v>
      </x:c>
      <x:c r="I428" s="52" t="n">
        <x:v>20.5930041</x:v>
      </x:c>
      <x:c r="J428" s="52" t="n">
        <x:v>-100.3495717</x:v>
      </x:c>
      <x:c r="K428" s="45" t="str">
        <x:v>Cafe</x:v>
      </x:c>
      <x:c r="L428" s="45" t="str">
        <x:v>Neighborhood</x:v>
      </x:c>
      <x:c r="M428" s="45" t="str">
        <x:v>C2</x:v>
      </x:c>
      <x:c r="N428" s="45" t="str">
        <x:v>Sí</x:v>
      </x:c>
      <x:c r="O428" s="45" t="str">
        <x:v>Gloria Montiel Piñon</x:v>
      </x:c>
      <x:c r="P428" s="45" t="str">
        <x:v>Ops y Directorio Alsea · octubre 2026</x:v>
      </x:c>
      <x:c r="Q428" s="45" t="str">
        <x:v>Puntos proporcionados</x:v>
      </x:c>
      <x:c r="R428" s="45" t="str">
        <x:v>Abierta</x:v>
      </x:c>
      <x:c r="S428" s="45" t="str"/>
      <x:c r="T428" s="45" t="n">
        <x:f>IF(AND(OR(E428="Abierta",E428="Próxima Apertura"),N428="Sí",ISNUMBER(I428),ISNUMBER(J428),ABS(I428)&lt;=90,ABS(J428)&lt;=180),1,0)</x:f>
        <x:v>1</x:v>
      </x:c>
    </x:row>
    <x:row r="429" ht="23" customHeight="1">
      <x:c r="A429" s="45" t="str">
        <x:v>Bajío</x:v>
      </x:c>
      <x:c r="B429" s="45" t="str">
        <x:v>Gloria Montiel Piñon</x:v>
      </x:c>
      <x:c r="C429" s="50" t="str">
        <x:v>38809</x:v>
      </x:c>
      <x:c r="D429" s="45" t="str">
        <x:v>Estacion de Servicio la Virgen</x:v>
      </x:c>
      <x:c r="E429" s="45" t="str">
        <x:v>Abierta</x:v>
      </x:c>
      <x:c r="F429" s="51" t="d">
        <x:v>2018-06-12T00:00:00.000Z</x:v>
      </x:c>
      <x:c r="G429" s="45" t="str">
        <x:v>Pedro Escobedo</x:v>
      </x:c>
      <x:c r="H429" s="45" t="str">
        <x:v>Querétaro</x:v>
      </x:c>
      <x:c r="I429" s="52" t="n">
        <x:v>20.451497</x:v>
      </x:c>
      <x:c r="J429" s="52" t="n">
        <x:v>-100.083898</x:v>
      </x:c>
      <x:c r="K429" s="45" t="str">
        <x:v>Drive_Thru</x:v>
      </x:c>
      <x:c r="L429" s="45" t="str">
        <x:v>Transfers</x:v>
      </x:c>
      <x:c r="M429" s="45" t="str">
        <x:v>C3</x:v>
      </x:c>
      <x:c r="N429" s="45" t="str">
        <x:v>Sí</x:v>
      </x:c>
      <x:c r="O429" s="45" t="str">
        <x:v>Gloria Montiel Piñon</x:v>
      </x:c>
      <x:c r="P429" s="45" t="str">
        <x:v>Ops y Directorio Alsea · octubre 2026</x:v>
      </x:c>
      <x:c r="Q429" s="45" t="str">
        <x:v>Puntos proporcionados</x:v>
      </x:c>
      <x:c r="R429" s="45" t="str">
        <x:v>Abierta</x:v>
      </x:c>
      <x:c r="S429" s="45" t="str"/>
      <x:c r="T429" s="45" t="n">
        <x:f>IF(AND(OR(E429="Abierta",E429="Próxima Apertura"),N429="Sí",ISNUMBER(I429),ISNUMBER(J429),ABS(I429)&lt;=90,ABS(J429)&lt;=180),1,0)</x:f>
        <x:v>1</x:v>
      </x:c>
    </x:row>
    <x:row r="430" ht="23" customHeight="1">
      <x:c r="A430" s="45" t="str">
        <x:v>Bajío</x:v>
      </x:c>
      <x:c r="B430" s="45" t="str">
        <x:v>Gloria Montiel Piñon</x:v>
      </x:c>
      <x:c r="C430" s="50" t="str">
        <x:v>38812</x:v>
      </x:c>
      <x:c r="D430" s="45" t="str">
        <x:v>Star Medica Queretaro</x:v>
      </x:c>
      <x:c r="E430" s="45" t="str">
        <x:v>Abierta</x:v>
      </x:c>
      <x:c r="F430" s="51" t="d">
        <x:v>2018-06-12T00:00:00.000Z</x:v>
      </x:c>
      <x:c r="G430" s="45" t="str">
        <x:v>Querétaro</x:v>
      </x:c>
      <x:c r="H430" s="45" t="str">
        <x:v>Querétaro</x:v>
      </x:c>
      <x:c r="I430" s="52" t="n">
        <x:v>20.617598</x:v>
      </x:c>
      <x:c r="J430" s="52" t="n">
        <x:v>-100.407384</x:v>
      </x:c>
      <x:c r="K430" s="45" t="str">
        <x:v>Cafe</x:v>
      </x:c>
      <x:c r="L430" s="45" t="str">
        <x:v>Institution</x:v>
      </x:c>
      <x:c r="M430" s="45" t="str">
        <x:v>C3</x:v>
      </x:c>
      <x:c r="N430" s="45" t="str">
        <x:v>Sí</x:v>
      </x:c>
      <x:c r="O430" s="45" t="str">
        <x:v>Gloria Montiel Piñon</x:v>
      </x:c>
      <x:c r="P430" s="45" t="str">
        <x:v>Ops y Directorio Alsea · octubre 2026</x:v>
      </x:c>
      <x:c r="Q430" s="45" t="str">
        <x:v>Puntos proporcionados</x:v>
      </x:c>
      <x:c r="R430" s="45" t="str">
        <x:v>Abierta</x:v>
      </x:c>
      <x:c r="S430" s="45" t="str"/>
      <x:c r="T430" s="45" t="n">
        <x:f>IF(AND(OR(E430="Abierta",E430="Próxima Apertura"),N430="Sí",ISNUMBER(I430),ISNUMBER(J430),ABS(I430)&lt;=90,ABS(J430)&lt;=180),1,0)</x:f>
        <x:v>1</x:v>
      </x:c>
    </x:row>
    <x:row r="431" ht="23" customHeight="1">
      <x:c r="A431" s="45" t="str">
        <x:v>Bajío</x:v>
      </x:c>
      <x:c r="B431" s="45" t="str">
        <x:v>Gloria Montiel Piñon</x:v>
      </x:c>
      <x:c r="C431" s="50" t="str">
        <x:v>38832</x:v>
      </x:c>
      <x:c r="D431" s="45" t="str">
        <x:v>ITESM Queretaro</x:v>
      </x:c>
      <x:c r="E431" s="45" t="str">
        <x:v>Abierta</x:v>
      </x:c>
      <x:c r="F431" s="51" t="d">
        <x:v>2018-09-22T00:00:00.000Z</x:v>
      </x:c>
      <x:c r="G431" s="45" t="str">
        <x:v>Querétaro</x:v>
      </x:c>
      <x:c r="H431" s="45" t="str">
        <x:v>Querétaro</x:v>
      </x:c>
      <x:c r="I431" s="52" t="n">
        <x:v>20.6129995</x:v>
      </x:c>
      <x:c r="J431" s="52" t="n">
        <x:v>-100.4037386</x:v>
      </x:c>
      <x:c r="K431" s="45" t="str">
        <x:v>Cafe</x:v>
      </x:c>
      <x:c r="L431" s="45" t="str">
        <x:v>Institution</x:v>
      </x:c>
      <x:c r="M431" s="45" t="str">
        <x:v>C1</x:v>
      </x:c>
      <x:c r="N431" s="45" t="str">
        <x:v>Sí</x:v>
      </x:c>
      <x:c r="O431" s="45" t="str">
        <x:v>Gloria Montiel Piñon</x:v>
      </x:c>
      <x:c r="P431" s="45" t="str">
        <x:v>Ops y Directorio Alsea · octubre 2026</x:v>
      </x:c>
      <x:c r="Q431" s="45" t="str">
        <x:v>Puntos proporcionados</x:v>
      </x:c>
      <x:c r="R431" s="45" t="str">
        <x:v>Abierta</x:v>
      </x:c>
      <x:c r="S431" s="45" t="str"/>
      <x:c r="T431" s="45" t="n">
        <x:f>IF(AND(OR(E431="Abierta",E431="Próxima Apertura"),N431="Sí",ISNUMBER(I431),ISNUMBER(J431),ABS(I431)&lt;=90,ABS(J431)&lt;=180),1,0)</x:f>
        <x:v>1</x:v>
      </x:c>
    </x:row>
    <x:row r="432" ht="23" customHeight="1">
      <x:c r="A432" s="45" t="str">
        <x:v>Bajío</x:v>
      </x:c>
      <x:c r="B432" s="45" t="str">
        <x:v>Gloria Montiel Piñon</x:v>
      </x:c>
      <x:c r="C432" s="50" t="str">
        <x:v>38899</x:v>
      </x:c>
      <x:c r="D432" s="45" t="str">
        <x:v>Carr México Queretaro</x:v>
      </x:c>
      <x:c r="E432" s="45" t="str">
        <x:v>Abierta</x:v>
      </x:c>
      <x:c r="F432" s="51" t="d">
        <x:v>2021-12-21T00:00:00.000Z</x:v>
      </x:c>
      <x:c r="G432" s="45" t="str">
        <x:v>El Cazadero San Juan De Río Querétaro</x:v>
      </x:c>
      <x:c r="H432" s="45" t="str">
        <x:v>Querétaro</x:v>
      </x:c>
      <x:c r="I432" s="52" t="n">
        <x:v>20.2775878</x:v>
      </x:c>
      <x:c r="J432" s="52" t="n">
        <x:v>-99.8920092</x:v>
      </x:c>
      <x:c r="K432" s="45" t="str">
        <x:v>Drive_Thru</x:v>
      </x:c>
      <x:c r="L432" s="45" t="str">
        <x:v>Transfers</x:v>
      </x:c>
      <x:c r="M432" s="45" t="str">
        <x:v>C3</x:v>
      </x:c>
      <x:c r="N432" s="45" t="str">
        <x:v>Sí</x:v>
      </x:c>
      <x:c r="O432" s="45" t="str">
        <x:v>Gloria Montiel Piñon</x:v>
      </x:c>
      <x:c r="P432" s="45" t="str">
        <x:v>Ops y Directorio Alsea · octubre 2026</x:v>
      </x:c>
      <x:c r="Q432" s="45" t="str">
        <x:v>Puntos proporcionados</x:v>
      </x:c>
      <x:c r="R432" s="45" t="str">
        <x:v>Abierta</x:v>
      </x:c>
      <x:c r="S432" s="45" t="str"/>
      <x:c r="T432" s="45" t="n">
        <x:f>IF(AND(OR(E432="Abierta",E432="Próxima Apertura"),N432="Sí",ISNUMBER(I432),ISNUMBER(J432),ABS(I432)&lt;=90,ABS(J432)&lt;=180),1,0)</x:f>
        <x:v>1</x:v>
      </x:c>
    </x:row>
    <x:row r="433" ht="23" customHeight="1">
      <x:c r="A433" s="45" t="str">
        <x:v>Bajío</x:v>
      </x:c>
      <x:c r="B433" s="45" t="str">
        <x:v>Gloria Montiel Piñon</x:v>
      </x:c>
      <x:c r="C433" s="50" t="str">
        <x:v>38997</x:v>
      </x:c>
      <x:c r="D433" s="45" t="str">
        <x:v>San Juan del Rio ll</x:v>
      </x:c>
      <x:c r="E433" s="45" t="str">
        <x:v>Abierta</x:v>
      </x:c>
      <x:c r="F433" s="51" t="d">
        <x:v>2024-03-30T00:00:00.000Z</x:v>
      </x:c>
      <x:c r="G433" s="45" t="str">
        <x:v>San Juan Del Rio</x:v>
      </x:c>
      <x:c r="H433" s="45" t="str">
        <x:v>Querétaro</x:v>
      </x:c>
      <x:c r="I433" s="52" t="n">
        <x:v>20.3837314</x:v>
      </x:c>
      <x:c r="J433" s="52" t="n">
        <x:v>-100.0110867</x:v>
      </x:c>
      <x:c r="K433" s="45" t="str">
        <x:v>Drive_Thru</x:v>
      </x:c>
      <x:c r="L433" s="45" t="str">
        <x:v>Retail</x:v>
      </x:c>
      <x:c r="M433" s="45" t="str">
        <x:v>C2</x:v>
      </x:c>
      <x:c r="N433" s="45" t="str">
        <x:v>Sí</x:v>
      </x:c>
      <x:c r="O433" s="45" t="str">
        <x:v>Gloria Montiel Piñon</x:v>
      </x:c>
      <x:c r="P433" s="45" t="str">
        <x:v>Ops y Directorio Alsea · octubre 2026</x:v>
      </x:c>
      <x:c r="Q433" s="45" t="str">
        <x:v>Puntos proporcionados</x:v>
      </x:c>
      <x:c r="R433" s="45" t="str">
        <x:v>Abierta</x:v>
      </x:c>
      <x:c r="S433" s="45" t="str"/>
      <x:c r="T433" s="45" t="n">
        <x:f>IF(AND(OR(E433="Abierta",E433="Próxima Apertura"),N433="Sí",ISNUMBER(I433),ISNUMBER(J433),ABS(I433)&lt;=90,ABS(J433)&lt;=180),1,0)</x:f>
        <x:v>1</x:v>
      </x:c>
    </x:row>
    <x:row r="434" ht="23" customHeight="1">
      <x:c r="A434" s="45" t="str">
        <x:v>Bajío</x:v>
      </x:c>
      <x:c r="B434" s="45" t="str">
        <x:v>Gloria Montiel Piñon</x:v>
      </x:c>
      <x:c r="C434" s="50" t="str">
        <x:v>43209</x:v>
      </x:c>
      <x:c r="D434" s="45" t="str">
        <x:v>Centro Mirador</x:v>
      </x:c>
      <x:c r="E434" s="45" t="str">
        <x:v>Abierta</x:v>
      </x:c>
      <x:c r="F434" s="51" t="d">
        <x:v>2026-04-17T00:00:00.000Z</x:v>
      </x:c>
      <x:c r="G434" s="45" t="str">
        <x:v>El Marques</x:v>
      </x:c>
      <x:c r="H434" s="45" t="str">
        <x:v>Querétaro</x:v>
      </x:c>
      <x:c r="I434" s="52" t="n">
        <x:v>20.59047</x:v>
      </x:c>
      <x:c r="J434" s="52" t="n">
        <x:v>-100.3311562</x:v>
      </x:c>
      <x:c r="K434" s="45" t="str">
        <x:v>Cafe</x:v>
      </x:c>
      <x:c r="L434" s="45" t="str">
        <x:v>Neighborhood</x:v>
      </x:c>
      <x:c r="M434" s="45" t="str">
        <x:v>C2</x:v>
      </x:c>
      <x:c r="N434" s="45" t="str">
        <x:v>Sí</x:v>
      </x:c>
      <x:c r="O434" s="45" t="str">
        <x:v>Gloria Montiel Piñon</x:v>
      </x:c>
      <x:c r="P434" s="45" t="str">
        <x:v>Ops y Directorio Alsea · octubre 2026</x:v>
      </x:c>
      <x:c r="Q434" s="45" t="str">
        <x:v>Puntos proporcionados</x:v>
      </x:c>
      <x:c r="R434" s="45" t="str">
        <x:v>Abierta</x:v>
      </x:c>
      <x:c r="S434" s="45" t="str"/>
      <x:c r="T434" s="45" t="n">
        <x:f>IF(AND(OR(E434="Abierta",E434="Próxima Apertura"),N434="Sí",ISNUMBER(I434),ISNUMBER(J434),ABS(I434)&lt;=90,ABS(J434)&lt;=180),1,0)</x:f>
        <x:v>1</x:v>
      </x:c>
    </x:row>
    <x:row r="435" ht="23" customHeight="1">
      <x:c r="A435" s="45" t="str">
        <x:v>Bajío</x:v>
      </x:c>
      <x:c r="B435" s="45" t="str">
        <x:v>Joel Pereda Rojas</x:v>
      </x:c>
      <x:c r="C435" s="50" t="str">
        <x:v>38377</x:v>
      </x:c>
      <x:c r="D435" s="45" t="str">
        <x:v>Jurica</x:v>
      </x:c>
      <x:c r="E435" s="45" t="str">
        <x:v>Abierta</x:v>
      </x:c>
      <x:c r="F435" s="51" t="d">
        <x:v>2010-04-16T00:00:00.000Z</x:v>
      </x:c>
      <x:c r="G435" s="45" t="str">
        <x:v>Querétaro</x:v>
      </x:c>
      <x:c r="H435" s="45" t="str">
        <x:v>Querétaro</x:v>
      </x:c>
      <x:c r="I435" s="52" t="n">
        <x:v>20.649103</x:v>
      </x:c>
      <x:c r="J435" s="52" t="n">
        <x:v>-100.4325838</x:v>
      </x:c>
      <x:c r="K435" s="45" t="str">
        <x:v>Cafe</x:v>
      </x:c>
      <x:c r="L435" s="45" t="str">
        <x:v>Retail</x:v>
      </x:c>
      <x:c r="M435" s="45" t="str">
        <x:v>C2</x:v>
      </x:c>
      <x:c r="N435" s="45" t="str">
        <x:v>Sí</x:v>
      </x:c>
      <x:c r="O435" s="45" t="str">
        <x:v>Joel Pereda Rojas</x:v>
      </x:c>
      <x:c r="P435" s="45" t="str">
        <x:v>Ops y Directorio Alsea · octubre 2026</x:v>
      </x:c>
      <x:c r="Q435" s="45" t="str">
        <x:v>Puntos proporcionados</x:v>
      </x:c>
      <x:c r="R435" s="45" t="str">
        <x:v>Abierta</x:v>
      </x:c>
      <x:c r="S435" s="45" t="str"/>
      <x:c r="T435" s="45" t="n">
        <x:f>IF(AND(OR(E435="Abierta",E435="Próxima Apertura"),N435="Sí",ISNUMBER(I435),ISNUMBER(J435),ABS(I435)&lt;=90,ABS(J435)&lt;=180),1,0)</x:f>
        <x:v>1</x:v>
      </x:c>
    </x:row>
    <x:row r="436" ht="23" customHeight="1">
      <x:c r="A436" s="45" t="str">
        <x:v>Bajío</x:v>
      </x:c>
      <x:c r="B436" s="45" t="str">
        <x:v>Joel Pereda Rojas</x:v>
      </x:c>
      <x:c r="C436" s="50" t="str">
        <x:v>38480</x:v>
      </x:c>
      <x:c r="D436" s="45" t="str">
        <x:v>Urban Center Juriquilla</x:v>
      </x:c>
      <x:c r="E436" s="45" t="str">
        <x:v>Abierta</x:v>
      </x:c>
      <x:c r="F436" s="51" t="d">
        <x:v>2013-03-26T00:00:00.000Z</x:v>
      </x:c>
      <x:c r="G436" s="45" t="str">
        <x:v>Querétaro</x:v>
      </x:c>
      <x:c r="H436" s="45" t="str">
        <x:v>Querétaro</x:v>
      </x:c>
      <x:c r="I436" s="52" t="n">
        <x:v>20.7055618</x:v>
      </x:c>
      <x:c r="J436" s="52" t="n">
        <x:v>-100.4441021</x:v>
      </x:c>
      <x:c r="K436" s="45" t="str">
        <x:v>Cafe</x:v>
      </x:c>
      <x:c r="L436" s="45" t="str">
        <x:v>Retail</x:v>
      </x:c>
      <x:c r="M436" s="45" t="str">
        <x:v>C2</x:v>
      </x:c>
      <x:c r="N436" s="45" t="str">
        <x:v>Sí</x:v>
      </x:c>
      <x:c r="O436" s="45" t="str">
        <x:v>Joel Pereda Rojas</x:v>
      </x:c>
      <x:c r="P436" s="45" t="str">
        <x:v>Ops y Directorio Alsea · octubre 2026</x:v>
      </x:c>
      <x:c r="Q436" s="45" t="str">
        <x:v>Puntos proporcionados</x:v>
      </x:c>
      <x:c r="R436" s="45" t="str">
        <x:v>Abierta</x:v>
      </x:c>
      <x:c r="S436" s="45" t="str"/>
      <x:c r="T436" s="45" t="n">
        <x:f>IF(AND(OR(E436="Abierta",E436="Próxima Apertura"),N436="Sí",ISNUMBER(I436),ISNUMBER(J436),ABS(I436)&lt;=90,ABS(J436)&lt;=180),1,0)</x:f>
        <x:v>1</x:v>
      </x:c>
    </x:row>
    <x:row r="437" ht="23" customHeight="1">
      <x:c r="A437" s="45" t="str">
        <x:v>Bajío</x:v>
      </x:c>
      <x:c r="B437" s="45" t="str">
        <x:v>Joel Pereda Rojas</x:v>
      </x:c>
      <x:c r="C437" s="50" t="str">
        <x:v>38559</x:v>
      </x:c>
      <x:c r="D437" s="45" t="str">
        <x:v>Antea</x:v>
      </x:c>
      <x:c r="E437" s="45" t="str">
        <x:v>Abierta</x:v>
      </x:c>
      <x:c r="F437" s="51" t="d">
        <x:v>2014-10-27T00:00:00.000Z</x:v>
      </x:c>
      <x:c r="G437" s="45" t="str">
        <x:v>Querétaro</x:v>
      </x:c>
      <x:c r="H437" s="45" t="str">
        <x:v>Querétaro</x:v>
      </x:c>
      <x:c r="I437" s="52" t="n">
        <x:v>20.6749762</x:v>
      </x:c>
      <x:c r="J437" s="52" t="n">
        <x:v>-100.4364851</x:v>
      </x:c>
      <x:c r="K437" s="45" t="str">
        <x:v>Cafe</x:v>
      </x:c>
      <x:c r="L437" s="45" t="str">
        <x:v>Retail</x:v>
      </x:c>
      <x:c r="M437" s="45" t="str">
        <x:v>C2</x:v>
      </x:c>
      <x:c r="N437" s="45" t="str">
        <x:v>Sí</x:v>
      </x:c>
      <x:c r="O437" s="45" t="str">
        <x:v>Joel Pereda Rojas</x:v>
      </x:c>
      <x:c r="P437" s="45" t="str">
        <x:v>Ops y Directorio Alsea · octubre 2026</x:v>
      </x:c>
      <x:c r="Q437" s="45" t="str">
        <x:v>Puntos proporcionados</x:v>
      </x:c>
      <x:c r="R437" s="45" t="str">
        <x:v>Abierta</x:v>
      </x:c>
      <x:c r="S437" s="45" t="str"/>
      <x:c r="T437" s="45" t="n">
        <x:f>IF(AND(OR(E437="Abierta",E437="Próxima Apertura"),N437="Sí",ISNUMBER(I437),ISNUMBER(J437),ABS(I437)&lt;=90,ABS(J437)&lt;=180),1,0)</x:f>
        <x:v>1</x:v>
      </x:c>
    </x:row>
    <x:row r="438" ht="23" customHeight="1">
      <x:c r="A438" s="45" t="str">
        <x:v>Bajío</x:v>
      </x:c>
      <x:c r="B438" s="45" t="str">
        <x:v>Joel Pereda Rojas</x:v>
      </x:c>
      <x:c r="C438" s="50" t="str">
        <x:v>38629</x:v>
      </x:c>
      <x:c r="D438" s="45" t="str">
        <x:v>Town Center Juriquilla</x:v>
      </x:c>
      <x:c r="E438" s="45" t="str">
        <x:v>Abierta</x:v>
      </x:c>
      <x:c r="F438" s="51" t="d">
        <x:v>2015-12-18T00:00:00.000Z</x:v>
      </x:c>
      <x:c r="G438" s="45" t="str">
        <x:v>Querétaro</x:v>
      </x:c>
      <x:c r="H438" s="45" t="str">
        <x:v>Querétaro</x:v>
      </x:c>
      <x:c r="I438" s="52" t="n">
        <x:v>20.676216</x:v>
      </x:c>
      <x:c r="J438" s="52" t="n">
        <x:v>-100.4307</x:v>
      </x:c>
      <x:c r="K438" s="45" t="str">
        <x:v>Cafe</x:v>
      </x:c>
      <x:c r="L438" s="45" t="str">
        <x:v>Retail</x:v>
      </x:c>
      <x:c r="M438" s="45" t="str">
        <x:v>C1</x:v>
      </x:c>
      <x:c r="N438" s="45" t="str">
        <x:v>Sí</x:v>
      </x:c>
      <x:c r="O438" s="45" t="str">
        <x:v>Joel Pereda Rojas</x:v>
      </x:c>
      <x:c r="P438" s="45" t="str">
        <x:v>Ops y Directorio Alsea · octubre 2026</x:v>
      </x:c>
      <x:c r="Q438" s="45" t="str">
        <x:v>Puntos proporcionados</x:v>
      </x:c>
      <x:c r="R438" s="45" t="str">
        <x:v>Abierta</x:v>
      </x:c>
      <x:c r="S438" s="45" t="str"/>
      <x:c r="T438" s="45" t="n">
        <x:f>IF(AND(OR(E438="Abierta",E438="Próxima Apertura"),N438="Sí",ISNUMBER(I438),ISNUMBER(J438),ABS(I438)&lt;=90,ABS(J438)&lt;=180),1,0)</x:f>
        <x:v>1</x:v>
      </x:c>
    </x:row>
    <x:row r="439" ht="23" customHeight="1">
      <x:c r="A439" s="45" t="str">
        <x:v>Bajío</x:v>
      </x:c>
      <x:c r="B439" s="45" t="str">
        <x:v>Joel Pereda Rojas</x:v>
      </x:c>
      <x:c r="C439" s="50" t="str">
        <x:v>38750</x:v>
      </x:c>
      <x:c r="D439" s="45" t="str">
        <x:v>Antea II</x:v>
      </x:c>
      <x:c r="E439" s="45" t="str">
        <x:v>Abierta</x:v>
      </x:c>
      <x:c r="F439" s="51" t="d">
        <x:v>2015-01-12T00:00:00.000Z</x:v>
      </x:c>
      <x:c r="G439" s="45" t="str">
        <x:v>Querétaro</x:v>
      </x:c>
      <x:c r="H439" s="45" t="str">
        <x:v>Querétaro</x:v>
      </x:c>
      <x:c r="I439" s="52" t="n">
        <x:v>20.674985</x:v>
      </x:c>
      <x:c r="J439" s="52" t="n">
        <x:v>-100.436498</x:v>
      </x:c>
      <x:c r="K439" s="45" t="str">
        <x:v>Kiosko</x:v>
      </x:c>
      <x:c r="L439" s="45" t="str">
        <x:v>Retail</x:v>
      </x:c>
      <x:c r="M439" s="45" t="str">
        <x:v>C2</x:v>
      </x:c>
      <x:c r="N439" s="45" t="str">
        <x:v>Sí</x:v>
      </x:c>
      <x:c r="O439" s="45" t="str">
        <x:v>Joel Pereda Rojas</x:v>
      </x:c>
      <x:c r="P439" s="45" t="str">
        <x:v>Ops y Directorio Alsea · octubre 2026</x:v>
      </x:c>
      <x:c r="Q439" s="45" t="str">
        <x:v>Puntos proporcionados</x:v>
      </x:c>
      <x:c r="R439" s="45" t="str">
        <x:v>Abierta</x:v>
      </x:c>
      <x:c r="S439" s="45" t="str"/>
      <x:c r="T439" s="45" t="n">
        <x:f>IF(AND(OR(E439="Abierta",E439="Próxima Apertura"),N439="Sí",ISNUMBER(I439),ISNUMBER(J439),ABS(I439)&lt;=90,ABS(J439)&lt;=180),1,0)</x:f>
        <x:v>1</x:v>
      </x:c>
    </x:row>
    <x:row r="440" ht="23" customHeight="1">
      <x:c r="A440" s="45" t="str">
        <x:v>Bajío</x:v>
      </x:c>
      <x:c r="B440" s="45" t="str">
        <x:v>Joel Pereda Rojas</x:v>
      </x:c>
      <x:c r="C440" s="50" t="str">
        <x:v>38846</x:v>
      </x:c>
      <x:c r="D440" s="45" t="str">
        <x:v>Ubika Universidad</x:v>
      </x:c>
      <x:c r="E440" s="45" t="str">
        <x:v>Abierta</x:v>
      </x:c>
      <x:c r="F440" s="51" t="d">
        <x:v>2018-11-24T00:00:00.000Z</x:v>
      </x:c>
      <x:c r="G440" s="45" t="str">
        <x:v>Querétaro</x:v>
      </x:c>
      <x:c r="H440" s="45" t="str">
        <x:v>Querétaro</x:v>
      </x:c>
      <x:c r="I440" s="52" t="n">
        <x:v>20.5942277</x:v>
      </x:c>
      <x:c r="J440" s="52" t="n">
        <x:v>-100.4142997</x:v>
      </x:c>
      <x:c r="K440" s="45" t="str">
        <x:v>Cafe</x:v>
      </x:c>
      <x:c r="L440" s="45" t="str">
        <x:v>Retail</x:v>
      </x:c>
      <x:c r="M440" s="45" t="str">
        <x:v>C2</x:v>
      </x:c>
      <x:c r="N440" s="45" t="str">
        <x:v>Sí</x:v>
      </x:c>
      <x:c r="O440" s="45" t="str">
        <x:v>Joel Pereda Rojas</x:v>
      </x:c>
      <x:c r="P440" s="45" t="str">
        <x:v>Ops y Directorio Alsea · octubre 2026</x:v>
      </x:c>
      <x:c r="Q440" s="45" t="str">
        <x:v>Puntos proporcionados</x:v>
      </x:c>
      <x:c r="R440" s="45" t="str">
        <x:v>Abierta</x:v>
      </x:c>
      <x:c r="S440" s="45" t="str"/>
      <x:c r="T440" s="45" t="n">
        <x:f>IF(AND(OR(E440="Abierta",E440="Próxima Apertura"),N440="Sí",ISNUMBER(I440),ISNUMBER(J440),ABS(I440)&lt;=90,ABS(J440)&lt;=180),1,0)</x:f>
        <x:v>1</x:v>
      </x:c>
    </x:row>
    <x:row r="441" ht="23" customHeight="1">
      <x:c r="A441" s="45" t="str">
        <x:v>Bajío</x:v>
      </x:c>
      <x:c r="B441" s="45" t="str">
        <x:v>Joel Pereda Rojas</x:v>
      </x:c>
      <x:c r="C441" s="50" t="str">
        <x:v>38882</x:v>
      </x:c>
      <x:c r="D441" s="45" t="str">
        <x:v>Ubika Juriquilla</x:v>
      </x:c>
      <x:c r="E441" s="45" t="str">
        <x:v>Abierta</x:v>
      </x:c>
      <x:c r="F441" s="51" t="d">
        <x:v>2019-12-16T00:00:00.000Z</x:v>
      </x:c>
      <x:c r="G441" s="45" t="str">
        <x:v>Querétaro</x:v>
      </x:c>
      <x:c r="H441" s="45" t="str">
        <x:v>Querétaro</x:v>
      </x:c>
      <x:c r="I441" s="52" t="n">
        <x:v>20.690718</x:v>
      </x:c>
      <x:c r="J441" s="52" t="n">
        <x:v>-100.446497</x:v>
      </x:c>
      <x:c r="K441" s="45" t="str">
        <x:v>Cafe</x:v>
      </x:c>
      <x:c r="L441" s="45" t="str">
        <x:v>Neighborhood</x:v>
      </x:c>
      <x:c r="M441" s="45" t="str">
        <x:v>C2</x:v>
      </x:c>
      <x:c r="N441" s="45" t="str">
        <x:v>Sí</x:v>
      </x:c>
      <x:c r="O441" s="45" t="str">
        <x:v>Joel Pereda Rojas</x:v>
      </x:c>
      <x:c r="P441" s="45" t="str">
        <x:v>Ops y Directorio Alsea · octubre 2026</x:v>
      </x:c>
      <x:c r="Q441" s="45" t="str">
        <x:v>Puntos proporcionados</x:v>
      </x:c>
      <x:c r="R441" s="45" t="str">
        <x:v>Abierta</x:v>
      </x:c>
      <x:c r="S441" s="45" t="str"/>
      <x:c r="T441" s="45" t="n">
        <x:f>IF(AND(OR(E441="Abierta",E441="Próxima Apertura"),N441="Sí",ISNUMBER(I441),ISNUMBER(J441),ABS(I441)&lt;=90,ABS(J441)&lt;=180),1,0)</x:f>
        <x:v>1</x:v>
      </x:c>
    </x:row>
    <x:row r="442" ht="23" customHeight="1">
      <x:c r="A442" s="45" t="str">
        <x:v>Bajío</x:v>
      </x:c>
      <x:c r="B442" s="45" t="str">
        <x:v>Joel Pereda Rojas</x:v>
      </x:c>
      <x:c r="C442" s="50" t="str">
        <x:v>43055</x:v>
      </x:c>
      <x:c r="D442" s="45" t="str">
        <x:v>Paseo de la República</x:v>
      </x:c>
      <x:c r="E442" s="45" t="str">
        <x:v>Abierta</x:v>
      </x:c>
      <x:c r="F442" s="51" t="d">
        <x:v>2024-09-28T00:00:00.000Z</x:v>
      </x:c>
      <x:c r="G442" s="45" t="str">
        <x:v>Querétaro</x:v>
      </x:c>
      <x:c r="H442" s="45" t="str">
        <x:v>Querétaro</x:v>
      </x:c>
      <x:c r="I442" s="52" t="n">
        <x:v>20.663331</x:v>
      </x:c>
      <x:c r="J442" s="52" t="n">
        <x:v>-100.432547</x:v>
      </x:c>
      <x:c r="K442" s="45" t="str">
        <x:v>Drive_Thru</x:v>
      </x:c>
      <x:c r="L442" s="45" t="str">
        <x:v>Transfers</x:v>
      </x:c>
      <x:c r="M442" s="45" t="str">
        <x:v>C2</x:v>
      </x:c>
      <x:c r="N442" s="45" t="str">
        <x:v>Sí</x:v>
      </x:c>
      <x:c r="O442" s="45" t="str">
        <x:v>Joel Pereda Rojas</x:v>
      </x:c>
      <x:c r="P442" s="45" t="str">
        <x:v>Ops y Directorio Alsea · octubre 2026</x:v>
      </x:c>
      <x:c r="Q442" s="45" t="str">
        <x:v>Puntos proporcionados</x:v>
      </x:c>
      <x:c r="R442" s="45" t="str">
        <x:v>Abierta</x:v>
      </x:c>
      <x:c r="S442" s="45" t="str"/>
      <x:c r="T442" s="45" t="n">
        <x:f>IF(AND(OR(E442="Abierta",E442="Próxima Apertura"),N442="Sí",ISNUMBER(I442),ISNUMBER(J442),ABS(I442)&lt;=90,ABS(J442)&lt;=180),1,0)</x:f>
        <x:v>1</x:v>
      </x:c>
    </x:row>
    <x:row r="443" ht="23" customHeight="1">
      <x:c r="A443" s="45" t="str">
        <x:v>Bajío</x:v>
      </x:c>
      <x:c r="B443" s="45" t="str">
        <x:v>Joel Pereda Rojas</x:v>
      </x:c>
      <x:c r="C443" s="50" t="str">
        <x:v>43135</x:v>
      </x:c>
      <x:c r="D443" s="45" t="str">
        <x:v>Epic Norponiente</x:v>
      </x:c>
      <x:c r="E443" s="45" t="str">
        <x:v>Abierta</x:v>
      </x:c>
      <x:c r="F443" s="51" t="d">
        <x:v>2024-12-08T00:00:00.000Z</x:v>
      </x:c>
      <x:c r="G443" s="45" t="str">
        <x:v>Querétaro</x:v>
      </x:c>
      <x:c r="H443" s="45" t="str">
        <x:v>Querétaro</x:v>
      </x:c>
      <x:c r="I443" s="52" t="n">
        <x:v>20.611152</x:v>
      </x:c>
      <x:c r="J443" s="52" t="n">
        <x:v>-100.492095</x:v>
      </x:c>
      <x:c r="K443" s="45" t="str">
        <x:v>Cafe</x:v>
      </x:c>
      <x:c r="L443" s="45" t="str">
        <x:v>Retail</x:v>
      </x:c>
      <x:c r="M443" s="45" t="str">
        <x:v>C1</x:v>
      </x:c>
      <x:c r="N443" s="45" t="str">
        <x:v>Sí</x:v>
      </x:c>
      <x:c r="O443" s="45" t="str">
        <x:v>Joel Pereda Rojas</x:v>
      </x:c>
      <x:c r="P443" s="45" t="str">
        <x:v>Ops y Directorio Alsea · octubre 2026</x:v>
      </x:c>
      <x:c r="Q443" s="45" t="str">
        <x:v>Puntos proporcionados</x:v>
      </x:c>
      <x:c r="R443" s="45" t="str">
        <x:v>Abierta</x:v>
      </x:c>
      <x:c r="S443" s="45" t="str"/>
      <x:c r="T443" s="45" t="n">
        <x:f>IF(AND(OR(E443="Abierta",E443="Próxima Apertura"),N443="Sí",ISNUMBER(I443),ISNUMBER(J443),ABS(I443)&lt;=90,ABS(J443)&lt;=180),1,0)</x:f>
        <x:v>1</x:v>
      </x:c>
    </x:row>
    <x:row r="444" ht="23" customHeight="1">
      <x:c r="A444" s="45" t="str">
        <x:v>Bajío</x:v>
      </x:c>
      <x:c r="B444" s="45" t="str">
        <x:v>Jose Antonio Gutierrez Lopez</x:v>
      </x:c>
      <x:c r="C444" s="50" t="str">
        <x:v>38305</x:v>
      </x:c>
      <x:c r="D444" s="45" t="str">
        <x:v>Centro San Miguel de Allende</x:v>
      </x:c>
      <x:c r="E444" s="45" t="str">
        <x:v>Abierta</x:v>
      </x:c>
      <x:c r="F444" s="51" t="d">
        <x:v>2008-03-26T00:00:00.000Z</x:v>
      </x:c>
      <x:c r="G444" s="45" t="str">
        <x:v>San Miguel Allende</x:v>
      </x:c>
      <x:c r="H444" s="45" t="str">
        <x:v>Guanajuato</x:v>
      </x:c>
      <x:c r="I444" s="52" t="n">
        <x:v>20.9146208</x:v>
      </x:c>
      <x:c r="J444" s="52" t="n">
        <x:v>-100.7442649</x:v>
      </x:c>
      <x:c r="K444" s="45" t="str">
        <x:v>Cafe</x:v>
      </x:c>
      <x:c r="L444" s="45" t="str">
        <x:v>Tourism_and_Entertainment</x:v>
      </x:c>
      <x:c r="M444" s="45" t="str">
        <x:v>C4</x:v>
      </x:c>
      <x:c r="N444" s="45" t="str">
        <x:v>Sí</x:v>
      </x:c>
      <x:c r="O444" s="45" t="str">
        <x:v>Jose Antonio Gutierrez Lopez</x:v>
      </x:c>
      <x:c r="P444" s="45" t="str">
        <x:v>Ops y Directorio Alsea · octubre 2026</x:v>
      </x:c>
      <x:c r="Q444" s="45" t="str">
        <x:v>Puntos proporcionados</x:v>
      </x:c>
      <x:c r="R444" s="45" t="str">
        <x:v>Abierta</x:v>
      </x:c>
      <x:c r="S444" s="45" t="str"/>
      <x:c r="T444" s="45" t="n">
        <x:f>IF(AND(OR(E444="Abierta",E444="Próxima Apertura"),N444="Sí",ISNUMBER(I444),ISNUMBER(J444),ABS(I444)&lt;=90,ABS(J444)&lt;=180),1,0)</x:f>
        <x:v>1</x:v>
      </x:c>
    </x:row>
    <x:row r="445" ht="23" customHeight="1">
      <x:c r="A445" s="45" t="str">
        <x:v>Bajío</x:v>
      </x:c>
      <x:c r="B445" s="45" t="str">
        <x:v>Jose Antonio Gutierrez Lopez</x:v>
      </x:c>
      <x:c r="C445" s="50" t="str">
        <x:v>38860</x:v>
      </x:c>
      <x:c r="D445" s="45" t="str">
        <x:v>Paseo Queretaro</x:v>
      </x:c>
      <x:c r="E445" s="45" t="str">
        <x:v>Abierta</x:v>
      </x:c>
      <x:c r="F445" s="51" t="d">
        <x:v>2019-02-07T00:00:00.000Z</x:v>
      </x:c>
      <x:c r="G445" s="45" t="str">
        <x:v>Querétaro</x:v>
      </x:c>
      <x:c r="H445" s="45" t="str">
        <x:v>Querétaro</x:v>
      </x:c>
      <x:c r="I445" s="52" t="n">
        <x:v>20.631528</x:v>
      </x:c>
      <x:c r="J445" s="52" t="n">
        <x:v>-100.356275</x:v>
      </x:c>
      <x:c r="K445" s="45" t="str">
        <x:v>Cafe</x:v>
      </x:c>
      <x:c r="L445" s="45" t="str">
        <x:v>Retail</x:v>
      </x:c>
      <x:c r="M445" s="45" t="str">
        <x:v>C2</x:v>
      </x:c>
      <x:c r="N445" s="45" t="str">
        <x:v>Sí</x:v>
      </x:c>
      <x:c r="O445" s="45" t="str">
        <x:v>Jose Antonio Gutierrez Lopez</x:v>
      </x:c>
      <x:c r="P445" s="45" t="str">
        <x:v>Ops y Directorio Alsea · octubre 2026</x:v>
      </x:c>
      <x:c r="Q445" s="45" t="str">
        <x:v>Puntos proporcionados</x:v>
      </x:c>
      <x:c r="R445" s="45" t="str">
        <x:v>Abierta</x:v>
      </x:c>
      <x:c r="S445" s="45" t="str"/>
      <x:c r="T445" s="45" t="n">
        <x:f>IF(AND(OR(E445="Abierta",E445="Próxima Apertura"),N445="Sí",ISNUMBER(I445),ISNUMBER(J445),ABS(I445)&lt;=90,ABS(J445)&lt;=180),1,0)</x:f>
        <x:v>1</x:v>
      </x:c>
    </x:row>
    <x:row r="446" ht="23" customHeight="1">
      <x:c r="A446" s="45" t="str">
        <x:v>Bajío</x:v>
      </x:c>
      <x:c r="B446" s="45" t="str">
        <x:v>Jose Antonio Gutierrez Lopez</x:v>
      </x:c>
      <x:c r="C446" s="50" t="str">
        <x:v>38885</x:v>
      </x:c>
      <x:c r="D446" s="45" t="str">
        <x:v>AIQ</x:v>
      </x:c>
      <x:c r="E446" s="45" t="str">
        <x:v>Abierta</x:v>
      </x:c>
      <x:c r="F446" s="51" t="d">
        <x:v>2020-02-15T00:00:00.000Z</x:v>
      </x:c>
      <x:c r="G446" s="45" t="str">
        <x:v>Colon</x:v>
      </x:c>
      <x:c r="H446" s="45" t="str">
        <x:v>Querétaro</x:v>
      </x:c>
      <x:c r="I446" s="52" t="n">
        <x:v>20.622774</x:v>
      </x:c>
      <x:c r="J446" s="52" t="n">
        <x:v>-100.187602</x:v>
      </x:c>
      <x:c r="K446" s="45" t="str">
        <x:v>Cafe</x:v>
      </x:c>
      <x:c r="L446" s="45" t="str">
        <x:v>Travel_and_Channel</x:v>
      </x:c>
      <x:c r="M446" s="45" t="str">
        <x:v>C5</x:v>
      </x:c>
      <x:c r="N446" s="45" t="str">
        <x:v>Sí</x:v>
      </x:c>
      <x:c r="O446" s="45" t="str">
        <x:v>Jose Antonio Gutierrez Lopez</x:v>
      </x:c>
      <x:c r="P446" s="45" t="str">
        <x:v>Ops y Directorio Alsea · octubre 2026</x:v>
      </x:c>
      <x:c r="Q446" s="45" t="str">
        <x:v>Puntos proporcionados</x:v>
      </x:c>
      <x:c r="R446" s="45" t="str">
        <x:v>Abierta</x:v>
      </x:c>
      <x:c r="S446" s="45" t="str"/>
      <x:c r="T446" s="45" t="n">
        <x:f>IF(AND(OR(E446="Abierta",E446="Próxima Apertura"),N446="Sí",ISNUMBER(I446),ISNUMBER(J446),ABS(I446)&lt;=90,ABS(J446)&lt;=180),1,0)</x:f>
        <x:v>1</x:v>
      </x:c>
    </x:row>
    <x:row r="447" ht="23" customHeight="1">
      <x:c r="A447" s="45" t="str">
        <x:v>Bajío</x:v>
      </x:c>
      <x:c r="B447" s="45" t="str">
        <x:v>Jose Antonio Gutierrez Lopez</x:v>
      </x:c>
      <x:c r="C447" s="50" t="str">
        <x:v>38895</x:v>
      </x:c>
      <x:c r="D447" s="45" t="str">
        <x:v>Ubika El Refugio</x:v>
      </x:c>
      <x:c r="E447" s="45" t="str">
        <x:v>Abierta</x:v>
      </x:c>
      <x:c r="F447" s="51" t="d">
        <x:v>2021-06-22T00:00:00.000Z</x:v>
      </x:c>
      <x:c r="G447" s="45" t="str">
        <x:v>Santiago De Querétaro</x:v>
      </x:c>
      <x:c r="H447" s="45" t="str">
        <x:v>Querétaro</x:v>
      </x:c>
      <x:c r="I447" s="52" t="n">
        <x:v>20.6428683</x:v>
      </x:c>
      <x:c r="J447" s="52" t="n">
        <x:v>-100.3446182</x:v>
      </x:c>
      <x:c r="K447" s="45" t="str">
        <x:v>Drive_Thru</x:v>
      </x:c>
      <x:c r="L447" s="45" t="str">
        <x:v>Transfers</x:v>
      </x:c>
      <x:c r="M447" s="45" t="str">
        <x:v>C2</x:v>
      </x:c>
      <x:c r="N447" s="45" t="str">
        <x:v>Sí</x:v>
      </x:c>
      <x:c r="O447" s="45" t="str">
        <x:v>Jose Antonio Gutierrez Lopez</x:v>
      </x:c>
      <x:c r="P447" s="45" t="str">
        <x:v>Ops y Directorio Alsea · octubre 2026</x:v>
      </x:c>
      <x:c r="Q447" s="45" t="str">
        <x:v>Puntos proporcionados</x:v>
      </x:c>
      <x:c r="R447" s="45" t="str">
        <x:v>Abierta</x:v>
      </x:c>
      <x:c r="S447" s="45" t="str"/>
      <x:c r="T447" s="45" t="n">
        <x:f>IF(AND(OR(E447="Abierta",E447="Próxima Apertura"),N447="Sí",ISNUMBER(I447),ISNUMBER(J447),ABS(I447)&lt;=90,ABS(J447)&lt;=180),1,0)</x:f>
        <x:v>1</x:v>
      </x:c>
    </x:row>
    <x:row r="448" ht="23" customHeight="1">
      <x:c r="A448" s="45" t="str">
        <x:v>Bajío</x:v>
      </x:c>
      <x:c r="B448" s="45" t="str">
        <x:v>Jose Antonio Gutierrez Lopez</x:v>
      </x:c>
      <x:c r="C448" s="50" t="str">
        <x:v>38945</x:v>
      </x:c>
      <x:c r="D448" s="45" t="str">
        <x:v>Universidad Anahuac Querétaro</x:v>
      </x:c>
      <x:c r="E448" s="45" t="str">
        <x:v>Abierta</x:v>
      </x:c>
      <x:c r="F448" s="51" t="d">
        <x:v>2022-11-28T00:00:00.000Z</x:v>
      </x:c>
      <x:c r="G448" s="45" t="str">
        <x:v>El Marqués</x:v>
      </x:c>
      <x:c r="H448" s="45" t="str">
        <x:v>Querétaro</x:v>
      </x:c>
      <x:c r="I448" s="52" t="n">
        <x:v>20.6805022</x:v>
      </x:c>
      <x:c r="J448" s="52" t="n">
        <x:v>-100.3128923</x:v>
      </x:c>
      <x:c r="K448" s="45" t="str">
        <x:v>Cafe</x:v>
      </x:c>
      <x:c r="L448" s="45" t="str">
        <x:v>Institution</x:v>
      </x:c>
      <x:c r="M448" s="45" t="str">
        <x:v>C1</x:v>
      </x:c>
      <x:c r="N448" s="45" t="str">
        <x:v>Sí</x:v>
      </x:c>
      <x:c r="O448" s="45" t="str">
        <x:v>Jose Antonio Gutierrez Lopez</x:v>
      </x:c>
      <x:c r="P448" s="45" t="str">
        <x:v>Ops y Directorio Alsea · octubre 2026</x:v>
      </x:c>
      <x:c r="Q448" s="45" t="str">
        <x:v>Puntos proporcionados</x:v>
      </x:c>
      <x:c r="R448" s="45" t="str">
        <x:v>Abierta</x:v>
      </x:c>
      <x:c r="S448" s="45" t="str"/>
      <x:c r="T448" s="45" t="n">
        <x:f>IF(AND(OR(E448="Abierta",E448="Próxima Apertura"),N448="Sí",ISNUMBER(I448),ISNUMBER(J448),ABS(I448)&lt;=90,ABS(J448)&lt;=180),1,0)</x:f>
        <x:v>1</x:v>
      </x:c>
    </x:row>
    <x:row r="449" ht="23" customHeight="1">
      <x:c r="A449" s="45" t="str">
        <x:v>Bajío</x:v>
      </x:c>
      <x:c r="B449" s="45" t="str">
        <x:v>Jose Antonio Gutierrez Lopez</x:v>
      </x:c>
      <x:c r="C449" s="50" t="str">
        <x:v>43036</x:v>
      </x:c>
      <x:c r="D449" s="45" t="str">
        <x:v>Epic Center Zakia DT</x:v>
      </x:c>
      <x:c r="E449" s="45" t="str">
        <x:v>Abierta</x:v>
      </x:c>
      <x:c r="F449" s="51" t="d">
        <x:v>2024-12-23T00:00:00.000Z</x:v>
      </x:c>
      <x:c r="G449" s="45" t="str">
        <x:v>El Marqués</x:v>
      </x:c>
      <x:c r="H449" s="45" t="str">
        <x:v>Querétaro</x:v>
      </x:c>
      <x:c r="I449" s="52" t="n">
        <x:v>20.645512</x:v>
      </x:c>
      <x:c r="J449" s="52" t="n">
        <x:v>-100.309647</x:v>
      </x:c>
      <x:c r="K449" s="45" t="str">
        <x:v>Drive_Thru</x:v>
      </x:c>
      <x:c r="L449" s="45" t="str">
        <x:v>Retail</x:v>
      </x:c>
      <x:c r="M449" s="45" t="str">
        <x:v>C2</x:v>
      </x:c>
      <x:c r="N449" s="45" t="str">
        <x:v>Sí</x:v>
      </x:c>
      <x:c r="O449" s="45" t="str">
        <x:v>Jose Antonio Gutierrez Lopez</x:v>
      </x:c>
      <x:c r="P449" s="45" t="str">
        <x:v>Ops y Directorio Alsea · octubre 2026</x:v>
      </x:c>
      <x:c r="Q449" s="45" t="str">
        <x:v>Puntos proporcionados</x:v>
      </x:c>
      <x:c r="R449" s="45" t="str">
        <x:v>Abierta</x:v>
      </x:c>
      <x:c r="S449" s="45" t="str"/>
      <x:c r="T449" s="45" t="n">
        <x:f>IF(AND(OR(E449="Abierta",E449="Próxima Apertura"),N449="Sí",ISNUMBER(I449),ISNUMBER(J449),ABS(I449)&lt;=90,ABS(J449)&lt;=180),1,0)</x:f>
        <x:v>1</x:v>
      </x:c>
    </x:row>
    <x:row r="450" ht="23" customHeight="1">
      <x:c r="A450" s="45" t="str">
        <x:v>Bajío</x:v>
      </x:c>
      <x:c r="B450" s="45" t="str">
        <x:v>Jose Antonio Gutierrez Lopez</x:v>
      </x:c>
      <x:c r="C450" s="50" t="str">
        <x:v>43040</x:v>
      </x:c>
      <x:c r="D450" s="45" t="str">
        <x:v>Centro Zibatá</x:v>
      </x:c>
      <x:c r="E450" s="45" t="str">
        <x:v>Abierta</x:v>
      </x:c>
      <x:c r="F450" s="51" t="d">
        <x:v>2024-07-29T00:00:00.000Z</x:v>
      </x:c>
      <x:c r="G450" s="45" t="str">
        <x:v>El Marqués</x:v>
      </x:c>
      <x:c r="H450" s="45" t="str">
        <x:v>Querétaro</x:v>
      </x:c>
      <x:c r="I450" s="52" t="n">
        <x:v>20.6812282</x:v>
      </x:c>
      <x:c r="J450" s="52" t="n">
        <x:v>-100.340594</x:v>
      </x:c>
      <x:c r="K450" s="45" t="str">
        <x:v>Cafe</x:v>
      </x:c>
      <x:c r="L450" s="45" t="str">
        <x:v>Retail</x:v>
      </x:c>
      <x:c r="M450" s="45" t="str">
        <x:v>C2</x:v>
      </x:c>
      <x:c r="N450" s="45" t="str">
        <x:v>Sí</x:v>
      </x:c>
      <x:c r="O450" s="45" t="str">
        <x:v>Jose Antonio Gutierrez Lopez</x:v>
      </x:c>
      <x:c r="P450" s="45" t="str">
        <x:v>Ops y Directorio Alsea · octubre 2026</x:v>
      </x:c>
      <x:c r="Q450" s="45" t="str">
        <x:v>Puntos proporcionados</x:v>
      </x:c>
      <x:c r="R450" s="45" t="str">
        <x:v>Abierta</x:v>
      </x:c>
      <x:c r="S450" s="45" t="str"/>
      <x:c r="T450" s="45" t="n">
        <x:f>IF(AND(OR(E450="Abierta",E450="Próxima Apertura"),N450="Sí",ISNUMBER(I450),ISNUMBER(J450),ABS(I450)&lt;=90,ABS(J450)&lt;=180),1,0)</x:f>
        <x:v>1</x:v>
      </x:c>
    </x:row>
    <x:row r="451" ht="23" customHeight="1">
      <x:c r="A451" s="45" t="str">
        <x:v>Bajío</x:v>
      </x:c>
      <x:c r="B451" s="45" t="str">
        <x:v>Jose Antonio Gutierrez Lopez</x:v>
      </x:c>
      <x:c r="C451" s="50" t="str">
        <x:v>43125</x:v>
      </x:c>
      <x:c r="D451" s="45" t="str">
        <x:v>Portal Querétaro</x:v>
      </x:c>
      <x:c r="E451" s="45" t="str">
        <x:v>Abierta</x:v>
      </x:c>
      <x:c r="F451" s="51" t="d">
        <x:v>2025-01-31T00:00:00.000Z</x:v>
      </x:c>
      <x:c r="G451" s="45" t="str">
        <x:v>Querétaro</x:v>
      </x:c>
      <x:c r="H451" s="45" t="str">
        <x:v>Querétaro</x:v>
      </x:c>
      <x:c r="I451" s="52" t="n">
        <x:v>20.640755</x:v>
      </x:c>
      <x:c r="J451" s="52" t="n">
        <x:v>-100.416769</x:v>
      </x:c>
      <x:c r="K451" s="45" t="str">
        <x:v>Cafe</x:v>
      </x:c>
      <x:c r="L451" s="45" t="str">
        <x:v>Retail</x:v>
      </x:c>
      <x:c r="M451" s="45" t="str">
        <x:v>C2</x:v>
      </x:c>
      <x:c r="N451" s="45" t="str">
        <x:v>Sí</x:v>
      </x:c>
      <x:c r="O451" s="45" t="str">
        <x:v>Jose Antonio Gutierrez Lopez</x:v>
      </x:c>
      <x:c r="P451" s="45" t="str">
        <x:v>Ops y Directorio Alsea · octubre 2026</x:v>
      </x:c>
      <x:c r="Q451" s="45" t="str">
        <x:v>Puntos proporcionados</x:v>
      </x:c>
      <x:c r="R451" s="45" t="str">
        <x:v>Abierta</x:v>
      </x:c>
      <x:c r="S451" s="45" t="str"/>
      <x:c r="T451" s="45" t="n">
        <x:f>IF(AND(OR(E451="Abierta",E451="Próxima Apertura"),N451="Sí",ISNUMBER(I451),ISNUMBER(J451),ABS(I451)&lt;=90,ABS(J451)&lt;=180),1,0)</x:f>
        <x:v>1</x:v>
      </x:c>
    </x:row>
    <x:row r="452" ht="23" customHeight="1">
      <x:c r="A452" s="45" t="str">
        <x:v>Bajío</x:v>
      </x:c>
      <x:c r="B452" s="45" t="str">
        <x:v>Jose Antonio Gutierrez Lopez</x:v>
      </x:c>
      <x:c r="C452" s="50" t="str">
        <x:v>43149</x:v>
      </x:c>
      <x:c r="D452" s="45" t="str">
        <x:v>Ferroparque</x:v>
      </x:c>
      <x:c r="E452" s="45" t="str">
        <x:v>Abierta</x:v>
      </x:c>
      <x:c r="F452" s="51" t="d">
        <x:v>2025-06-30T00:00:00.000Z</x:v>
      </x:c>
      <x:c r="G452" s="45" t="str">
        <x:v>Colon</x:v>
      </x:c>
      <x:c r="H452" s="45" t="str">
        <x:v>Querétaro</x:v>
      </x:c>
      <x:c r="I452" s="52" t="n">
        <x:v>20.5802492</x:v>
      </x:c>
      <x:c r="J452" s="52" t="n">
        <x:v>-100.1981984</x:v>
      </x:c>
      <x:c r="K452" s="45" t="str">
        <x:v>Drive_Thru</x:v>
      </x:c>
      <x:c r="L452" s="45" t="str">
        <x:v>Retail</x:v>
      </x:c>
      <x:c r="M452" s="45" t="str">
        <x:v>C3</x:v>
      </x:c>
      <x:c r="N452" s="45" t="str">
        <x:v>Sí</x:v>
      </x:c>
      <x:c r="O452" s="45" t="str">
        <x:v>Jose Antonio Gutierrez Lopez</x:v>
      </x:c>
      <x:c r="P452" s="45" t="str">
        <x:v>Ops y Directorio Alsea · octubre 2026</x:v>
      </x:c>
      <x:c r="Q452" s="45" t="str">
        <x:v>Puntos proporcionados</x:v>
      </x:c>
      <x:c r="R452" s="45" t="str">
        <x:v>Abierta</x:v>
      </x:c>
      <x:c r="S452" s="45" t="str"/>
      <x:c r="T452" s="45" t="n">
        <x:f>IF(AND(OR(E452="Abierta",E452="Próxima Apertura"),N452="Sí",ISNUMBER(I452),ISNUMBER(J452),ABS(I452)&lt;=90,ABS(J452)&lt;=180),1,0)</x:f>
        <x:v>1</x:v>
      </x:c>
    </x:row>
    <x:row r="453" ht="23" customHeight="1">
      <x:c r="A453" s="45" t="str">
        <x:v>Bajío</x:v>
      </x:c>
      <x:c r="B453" s="45" t="str">
        <x:v>Jose Antonio Gutierrez Lopez</x:v>
      </x:c>
      <x:c r="C453" s="50" t="str">
        <x:v>43155</x:v>
      </x:c>
      <x:c r="D453" s="45" t="str">
        <x:v>Terrakia</x:v>
      </x:c>
      <x:c r="E453" s="45" t="str">
        <x:v>Abierta</x:v>
      </x:c>
      <x:c r="F453" s="51" t="d">
        <x:v>2025-07-18T00:00:00.000Z</x:v>
      </x:c>
      <x:c r="G453" s="45" t="str">
        <x:v>Colon</x:v>
      </x:c>
      <x:c r="H453" s="45" t="str">
        <x:v>Querétaro</x:v>
      </x:c>
      <x:c r="I453" s="52" t="n">
        <x:v>20.582164</x:v>
      </x:c>
      <x:c r="J453" s="52" t="n">
        <x:v>-100.1969715</x:v>
      </x:c>
      <x:c r="K453" s="45" t="str">
        <x:v>Drive_Thru</x:v>
      </x:c>
      <x:c r="L453" s="45" t="str">
        <x:v>Retail</x:v>
      </x:c>
      <x:c r="M453" s="45" t="str">
        <x:v>C3</x:v>
      </x:c>
      <x:c r="N453" s="45" t="str">
        <x:v>Sí</x:v>
      </x:c>
      <x:c r="O453" s="45" t="str">
        <x:v>Jose Antonio Gutierrez Lopez</x:v>
      </x:c>
      <x:c r="P453" s="45" t="str">
        <x:v>Ops y Directorio Alsea · octubre 2026</x:v>
      </x:c>
      <x:c r="Q453" s="45" t="str">
        <x:v>Puntos proporcionados</x:v>
      </x:c>
      <x:c r="R453" s="45" t="str">
        <x:v>Abierta</x:v>
      </x:c>
      <x:c r="S453" s="45" t="str"/>
      <x:c r="T453" s="45" t="n">
        <x:f>IF(AND(OR(E453="Abierta",E453="Próxima Apertura"),N453="Sí",ISNUMBER(I453),ISNUMBER(J453),ABS(I453)&lt;=90,ABS(J453)&lt;=180),1,0)</x:f>
        <x:v>1</x:v>
      </x:c>
    </x:row>
    <x:row r="454" ht="23" customHeight="1">
      <x:c r="A454" s="45" t="str">
        <x:v>Bajío</x:v>
      </x:c>
      <x:c r="B454" s="45" t="str">
        <x:v>Jose Antonio Gutierrez Lopez</x:v>
      </x:c>
      <x:c r="C454" s="50" t="str">
        <x:v>43200</x:v>
      </x:c>
      <x:c r="D454" s="45" t="str">
        <x:v>Lomas del Campanario Nte DT</x:v>
      </x:c>
      <x:c r="E454" s="45" t="str">
        <x:v>Próxima Apertura</x:v>
      </x:c>
      <x:c r="F454" s="51" t="d">
        <x:v>2026-10-11T00:00:00.000Z</x:v>
      </x:c>
      <x:c r="G454" s="45" t="str">
        <x:v>Querétaro</x:v>
      </x:c>
      <x:c r="H454" s="45" t="str">
        <x:v>Querétaro</x:v>
      </x:c>
      <x:c r="I454" s="52"/>
      <x:c r="J454" s="52"/>
      <x:c r="K454" s="45" t="str">
        <x:v>Drive_Thru</x:v>
      </x:c>
      <x:c r="L454" s="45" t="str">
        <x:v>Neighborhood</x:v>
      </x:c>
      <x:c r="M454" s="45" t="str">
        <x:v>C2</x:v>
      </x:c>
      <x:c r="N454" s="45" t="str">
        <x:v>Sí</x:v>
      </x:c>
      <x:c r="O454" s="45" t="str">
        <x:v>Jose Antonio Gutierrez Lopez</x:v>
      </x:c>
      <x:c r="P454" s="45" t="str">
        <x:v>Ops octubre 2026</x:v>
      </x:c>
      <x:c r="Q454" s="45" t="str">
        <x:v>Pendiente</x:v>
      </x:c>
      <x:c r="R454" s="45" t="str"/>
      <x:c r="S454" s="45" t="str">
        <x:v>Coordenadas pendientes. No se estima una ubicación.</x:v>
      </x:c>
      <x:c r="T454" s="45" t="n">
        <x:f>IF(AND(OR(E454="Abierta",E454="Próxima Apertura"),N454="Sí",ISNUMBER(I454),ISNUMBER(J454),ABS(I454)&lt;=90,ABS(J454)&lt;=180),1,0)</x:f>
        <x:v>0</x:v>
      </x:c>
    </x:row>
    <x:row r="455" ht="23" customHeight="1">
      <x:c r="A455" s="45" t="str">
        <x:v>Bajío</x:v>
      </x:c>
      <x:c r="B455" s="45" t="str">
        <x:v>Jose Antonio Gutierrez Lopez</x:v>
      </x:c>
      <x:c r="C455" s="50" t="str">
        <x:v>43213</x:v>
      </x:c>
      <x:c r="D455" s="45" t="str">
        <x:v>La Pilarica DT</x:v>
      </x:c>
      <x:c r="E455" s="45" t="str">
        <x:v>Próxima Apertura</x:v>
      </x:c>
      <x:c r="F455" s="51" t="d">
        <x:v>2026-10-11T00:00:00.000Z</x:v>
      </x:c>
      <x:c r="G455" s="45" t="str">
        <x:v>San Miguel Allende</x:v>
      </x:c>
      <x:c r="H455" s="45" t="str">
        <x:v>Guanajuato</x:v>
      </x:c>
      <x:c r="I455" s="52"/>
      <x:c r="J455" s="52"/>
      <x:c r="K455" s="45" t="str">
        <x:v>Drive_Thru</x:v>
      </x:c>
      <x:c r="L455" s="45" t="str">
        <x:v>Tourism_and_Entertainment</x:v>
      </x:c>
      <x:c r="M455" s="45" t="str">
        <x:v>C3</x:v>
      </x:c>
      <x:c r="N455" s="45" t="str">
        <x:v>Sí</x:v>
      </x:c>
      <x:c r="O455" s="45" t="str">
        <x:v>Jose Antonio Gutierrez Lopez</x:v>
      </x:c>
      <x:c r="P455" s="45" t="str">
        <x:v>Ops octubre 2026</x:v>
      </x:c>
      <x:c r="Q455" s="45" t="str">
        <x:v>Pendiente</x:v>
      </x:c>
      <x:c r="R455" s="45" t="str"/>
      <x:c r="S455" s="45" t="str">
        <x:v>Coordenadas pendientes. No se estima una ubicación.</x:v>
      </x:c>
      <x:c r="T455" s="45" t="n">
        <x:f>IF(AND(OR(E455="Abierta",E455="Próxima Apertura"),N455="Sí",ISNUMBER(I455),ISNUMBER(J455),ABS(I455)&lt;=90,ABS(J455)&lt;=180),1,0)</x:f>
        <x:v>0</x:v>
      </x:c>
    </x:row>
    <x:row r="456" ht="23" customHeight="1">
      <x:c r="A456" s="45" t="str">
        <x:v>Bajío</x:v>
      </x:c>
      <x:c r="B456" s="45" t="str">
        <x:v>Jose Antonio Gutierrez Lopez</x:v>
      </x:c>
      <x:c r="C456" s="50" t="str">
        <x:v>43220</x:v>
      </x:c>
      <x:c r="D456" s="45" t="str">
        <x:v>Circuito Universidades</x:v>
      </x:c>
      <x:c r="E456" s="45" t="str">
        <x:v>Abierta</x:v>
      </x:c>
      <x:c r="F456" s="51" t="d">
        <x:v>2026-09-26T00:00:00.000Z</x:v>
      </x:c>
      <x:c r="G456" s="45" t="str">
        <x:v>El Marqués</x:v>
      </x:c>
      <x:c r="H456" s="45" t="str">
        <x:v>Querétaro</x:v>
      </x:c>
      <x:c r="I456" s="52" t="n">
        <x:v>20.645774</x:v>
      </x:c>
      <x:c r="J456" s="52" t="n">
        <x:v>-100.340896</x:v>
      </x:c>
      <x:c r="K456" s="45" t="str">
        <x:v>Drive_Thru</x:v>
      </x:c>
      <x:c r="L456" s="45" t="str">
        <x:v>Retail</x:v>
      </x:c>
      <x:c r="M456" s="45" t="str">
        <x:v>C2</x:v>
      </x:c>
      <x:c r="N456" s="45" t="str">
        <x:v>Sí</x:v>
      </x:c>
      <x:c r="O456" s="45" t="str">
        <x:v>Jose Antonio Gutierrez Lopez</x:v>
      </x:c>
      <x:c r="P456" s="45" t="str">
        <x:v>Ops y Directorio Alsea · octubre 2026</x:v>
      </x:c>
      <x:c r="Q456" s="45" t="str">
        <x:v>Directorio Alsea octubre 2026</x:v>
      </x:c>
      <x:c r="R456" s="45" t="str">
        <x:v>Abierta</x:v>
      </x:c>
      <x:c r="S456" s="45" t="str"/>
      <x:c r="T456" s="45" t="n">
        <x:f>IF(AND(OR(E456="Abierta",E456="Próxima Apertura"),N456="Sí",ISNUMBER(I456),ISNUMBER(J456),ABS(I456)&lt;=90,ABS(J456)&lt;=180),1,0)</x:f>
        <x:v>1</x:v>
      </x:c>
    </x:row>
    <x:row r="457" ht="23" customHeight="1">
      <x:c r="A457" s="45" t="str">
        <x:v>Bajío</x:v>
      </x:c>
      <x:c r="B457" s="45" t="str">
        <x:v>Josue Joatan Gonzalez Anaya</x:v>
      </x:c>
      <x:c r="C457" s="50" t="str">
        <x:v>38245</x:v>
      </x:c>
      <x:c r="D457" s="45" t="str">
        <x:v>Plaza Zenttro</x:v>
      </x:c>
      <x:c r="E457" s="45" t="str">
        <x:v>Abierta</x:v>
      </x:c>
      <x:c r="F457" s="51" t="d">
        <x:v>2007-08-10T00:00:00.000Z</x:v>
      </x:c>
      <x:c r="G457" s="45" t="str">
        <x:v>León</x:v>
      </x:c>
      <x:c r="H457" s="45" t="str">
        <x:v>Guanajuato</x:v>
      </x:c>
      <x:c r="I457" s="52" t="n">
        <x:v>21.154499</x:v>
      </x:c>
      <x:c r="J457" s="52" t="n">
        <x:v>-101.688719</x:v>
      </x:c>
      <x:c r="K457" s="45" t="str">
        <x:v>Cafe</x:v>
      </x:c>
      <x:c r="L457" s="45" t="str">
        <x:v>Retail</x:v>
      </x:c>
      <x:c r="M457" s="45" t="str">
        <x:v>C2</x:v>
      </x:c>
      <x:c r="N457" s="45" t="str">
        <x:v>Sí</x:v>
      </x:c>
      <x:c r="O457" s="45" t="str">
        <x:v>Josue Joatan Gonzalez Anaya</x:v>
      </x:c>
      <x:c r="P457" s="45" t="str">
        <x:v>Ops y Directorio Alsea · octubre 2026</x:v>
      </x:c>
      <x:c r="Q457" s="45" t="str">
        <x:v>Puntos proporcionados</x:v>
      </x:c>
      <x:c r="R457" s="45" t="str">
        <x:v>Abierta</x:v>
      </x:c>
      <x:c r="S457" s="45" t="str"/>
      <x:c r="T457" s="45" t="n">
        <x:f>IF(AND(OR(E457="Abierta",E457="Próxima Apertura"),N457="Sí",ISNUMBER(I457),ISNUMBER(J457),ABS(I457)&lt;=90,ABS(J457)&lt;=180),1,0)</x:f>
        <x:v>1</x:v>
      </x:c>
    </x:row>
    <x:row r="458" ht="23" customHeight="1">
      <x:c r="A458" s="45" t="str">
        <x:v>Bajío</x:v>
      </x:c>
      <x:c r="B458" s="45" t="str">
        <x:v>Josue Joatan Gonzalez Anaya</x:v>
      </x:c>
      <x:c r="C458" s="50" t="str">
        <x:v>38247</x:v>
      </x:c>
      <x:c r="D458" s="45" t="str">
        <x:v>Plaza Mayor</x:v>
      </x:c>
      <x:c r="E458" s="45" t="str">
        <x:v>Abierta</x:v>
      </x:c>
      <x:c r="F458" s="51" t="d">
        <x:v>2007-08-28T00:00:00.000Z</x:v>
      </x:c>
      <x:c r="G458" s="45" t="str">
        <x:v>León</x:v>
      </x:c>
      <x:c r="H458" s="45" t="str">
        <x:v>Guanajuato</x:v>
      </x:c>
      <x:c r="I458" s="52" t="n">
        <x:v>21.1583766</x:v>
      </x:c>
      <x:c r="J458" s="52" t="n">
        <x:v>-101.6951281</x:v>
      </x:c>
      <x:c r="K458" s="45" t="str">
        <x:v>Cafe</x:v>
      </x:c>
      <x:c r="L458" s="45" t="str">
        <x:v>Retail</x:v>
      </x:c>
      <x:c r="M458" s="45" t="str">
        <x:v>C2</x:v>
      </x:c>
      <x:c r="N458" s="45" t="str">
        <x:v>Sí</x:v>
      </x:c>
      <x:c r="O458" s="45" t="str">
        <x:v>Josue Joatan Gonzalez Anaya</x:v>
      </x:c>
      <x:c r="P458" s="45" t="str">
        <x:v>Ops y Directorio Alsea · octubre 2026</x:v>
      </x:c>
      <x:c r="Q458" s="45" t="str">
        <x:v>Puntos proporcionados</x:v>
      </x:c>
      <x:c r="R458" s="45" t="str">
        <x:v>Abierta</x:v>
      </x:c>
      <x:c r="S458" s="45" t="str"/>
      <x:c r="T458" s="45" t="n">
        <x:f>IF(AND(OR(E458="Abierta",E458="Próxima Apertura"),N458="Sí",ISNUMBER(I458),ISNUMBER(J458),ABS(I458)&lt;=90,ABS(J458)&lt;=180),1,0)</x:f>
        <x:v>1</x:v>
      </x:c>
    </x:row>
    <x:row r="459" ht="23" customHeight="1">
      <x:c r="A459" s="45" t="str">
        <x:v>Bajío</x:v>
      </x:c>
      <x:c r="B459" s="45" t="str">
        <x:v>Josue Joatan Gonzalez Anaya</x:v>
      </x:c>
      <x:c r="C459" s="50" t="str">
        <x:v>38251</x:v>
      </x:c>
      <x:c r="D459" s="45" t="str">
        <x:v>Las Torres Leon</x:v>
      </x:c>
      <x:c r="E459" s="45" t="str">
        <x:v>Abierta</x:v>
      </x:c>
      <x:c r="F459" s="51" t="d">
        <x:v>2007-08-17T00:00:00.000Z</x:v>
      </x:c>
      <x:c r="G459" s="45" t="str">
        <x:v>León</x:v>
      </x:c>
      <x:c r="H459" s="45" t="str">
        <x:v>Guanajuato</x:v>
      </x:c>
      <x:c r="I459" s="52" t="n">
        <x:v>21.1541943</x:v>
      </x:c>
      <x:c r="J459" s="52" t="n">
        <x:v>-101.6980501</x:v>
      </x:c>
      <x:c r="K459" s="45" t="str">
        <x:v>Cafe</x:v>
      </x:c>
      <x:c r="L459" s="45" t="str">
        <x:v>Neighborhood</x:v>
      </x:c>
      <x:c r="M459" s="45" t="str">
        <x:v>C2</x:v>
      </x:c>
      <x:c r="N459" s="45" t="str">
        <x:v>Sí</x:v>
      </x:c>
      <x:c r="O459" s="45" t="str">
        <x:v>Josue Joatan Gonzalez Anaya</x:v>
      </x:c>
      <x:c r="P459" s="45" t="str">
        <x:v>Ops y Directorio Alsea · octubre 2026</x:v>
      </x:c>
      <x:c r="Q459" s="45" t="str">
        <x:v>Puntos proporcionados</x:v>
      </x:c>
      <x:c r="R459" s="45" t="str">
        <x:v>Abierta</x:v>
      </x:c>
      <x:c r="S459" s="45" t="str"/>
      <x:c r="T459" s="45" t="n">
        <x:f>IF(AND(OR(E459="Abierta",E459="Próxima Apertura"),N459="Sí",ISNUMBER(I459),ISNUMBER(J459),ABS(I459)&lt;=90,ABS(J459)&lt;=180),1,0)</x:f>
        <x:v>1</x:v>
      </x:c>
    </x:row>
    <x:row r="460" ht="23" customHeight="1">
      <x:c r="A460" s="45" t="str">
        <x:v>Bajío</x:v>
      </x:c>
      <x:c r="B460" s="45" t="str">
        <x:v>Josue Joatan Gonzalez Anaya</x:v>
      </x:c>
      <x:c r="C460" s="50" t="str">
        <x:v>38453</x:v>
      </x:c>
      <x:c r="D460" s="45" t="str">
        <x:v>Poliforum</x:v>
      </x:c>
      <x:c r="E460" s="45" t="str">
        <x:v>Abierta</x:v>
      </x:c>
      <x:c r="F460" s="51" t="d">
        <x:v>2012-05-09T00:00:00.000Z</x:v>
      </x:c>
      <x:c r="G460" s="45" t="str">
        <x:v>León</x:v>
      </x:c>
      <x:c r="H460" s="45" t="str">
        <x:v>Guanajuato</x:v>
      </x:c>
      <x:c r="I460" s="52" t="n">
        <x:v>21.1139408</x:v>
      </x:c>
      <x:c r="J460" s="52" t="n">
        <x:v>-101.6537613</x:v>
      </x:c>
      <x:c r="K460" s="45" t="str">
        <x:v>Cafe</x:v>
      </x:c>
      <x:c r="L460" s="45" t="str">
        <x:v>Office_Complex</x:v>
      </x:c>
      <x:c r="M460" s="45" t="str">
        <x:v>C2</x:v>
      </x:c>
      <x:c r="N460" s="45" t="str">
        <x:v>Sí</x:v>
      </x:c>
      <x:c r="O460" s="45" t="str">
        <x:v>Josue Joatan Gonzalez Anaya</x:v>
      </x:c>
      <x:c r="P460" s="45" t="str">
        <x:v>Ops y Directorio Alsea · octubre 2026</x:v>
      </x:c>
      <x:c r="Q460" s="45" t="str">
        <x:v>Puntos proporcionados</x:v>
      </x:c>
      <x:c r="R460" s="45" t="str">
        <x:v>Abierta</x:v>
      </x:c>
      <x:c r="S460" s="45" t="str"/>
      <x:c r="T460" s="45" t="n">
        <x:f>IF(AND(OR(E460="Abierta",E460="Próxima Apertura"),N460="Sí",ISNUMBER(I460),ISNUMBER(J460),ABS(I460)&lt;=90,ABS(J460)&lt;=180),1,0)</x:f>
        <x:v>1</x:v>
      </x:c>
    </x:row>
    <x:row r="461" ht="23" customHeight="1">
      <x:c r="A461" s="45" t="str">
        <x:v>Bajío</x:v>
      </x:c>
      <x:c r="B461" s="45" t="str">
        <x:v>Josue Joatan Gonzalez Anaya</x:v>
      </x:c>
      <x:c r="C461" s="50" t="str">
        <x:v>38552</x:v>
      </x:c>
      <x:c r="D461" s="45" t="str">
        <x:v>Plaza Mayor II</x:v>
      </x:c>
      <x:c r="E461" s="45" t="str">
        <x:v>Abierta</x:v>
      </x:c>
      <x:c r="F461" s="51" t="d">
        <x:v>2014-09-29T00:00:00.000Z</x:v>
      </x:c>
      <x:c r="G461" s="45" t="str">
        <x:v>León</x:v>
      </x:c>
      <x:c r="H461" s="45" t="str">
        <x:v>Guanajuato</x:v>
      </x:c>
      <x:c r="I461" s="52" t="n">
        <x:v>21.1568945</x:v>
      </x:c>
      <x:c r="J461" s="52" t="n">
        <x:v>-101.6959434</x:v>
      </x:c>
      <x:c r="K461" s="45" t="str">
        <x:v>Kiosko</x:v>
      </x:c>
      <x:c r="L461" s="45" t="str">
        <x:v>Retail</x:v>
      </x:c>
      <x:c r="M461" s="45" t="str">
        <x:v>C2</x:v>
      </x:c>
      <x:c r="N461" s="45" t="str">
        <x:v>Sí</x:v>
      </x:c>
      <x:c r="O461" s="45" t="str">
        <x:v>Josue Joatan Gonzalez Anaya</x:v>
      </x:c>
      <x:c r="P461" s="45" t="str">
        <x:v>Ops y Directorio Alsea · octubre 2026</x:v>
      </x:c>
      <x:c r="Q461" s="45" t="str">
        <x:v>Puntos proporcionados</x:v>
      </x:c>
      <x:c r="R461" s="45" t="str">
        <x:v>Abierta</x:v>
      </x:c>
      <x:c r="S461" s="45" t="str"/>
      <x:c r="T461" s="45" t="n">
        <x:f>IF(AND(OR(E461="Abierta",E461="Próxima Apertura"),N461="Sí",ISNUMBER(I461),ISNUMBER(J461),ABS(I461)&lt;=90,ABS(J461)&lt;=180),1,0)</x:f>
        <x:v>1</x:v>
      </x:c>
    </x:row>
    <x:row r="462" ht="23" customHeight="1">
      <x:c r="A462" s="45" t="str">
        <x:v>Bajío</x:v>
      </x:c>
      <x:c r="B462" s="45" t="str">
        <x:v>Josue Joatan Gonzalez Anaya</x:v>
      </x:c>
      <x:c r="C462" s="50" t="str">
        <x:v>38673</x:v>
      </x:c>
      <x:c r="D462" s="45" t="str">
        <x:v>Puerta Bajio</x:v>
      </x:c>
      <x:c r="E462" s="45" t="str">
        <x:v>Abierta</x:v>
      </x:c>
      <x:c r="F462" s="51" t="d">
        <x:v>2016-10-16T00:00:00.000Z</x:v>
      </x:c>
      <x:c r="G462" s="45" t="str">
        <x:v>León</x:v>
      </x:c>
      <x:c r="H462" s="45" t="str">
        <x:v>Guanajuato</x:v>
      </x:c>
      <x:c r="I462" s="52" t="n">
        <x:v>21.1649381</x:v>
      </x:c>
      <x:c r="J462" s="52" t="n">
        <x:v>-101.7618361</x:v>
      </x:c>
      <x:c r="K462" s="45" t="str">
        <x:v>Cafe</x:v>
      </x:c>
      <x:c r="L462" s="45" t="str">
        <x:v>Neighborhood</x:v>
      </x:c>
      <x:c r="M462" s="45" t="str">
        <x:v>C2</x:v>
      </x:c>
      <x:c r="N462" s="45" t="str">
        <x:v>Sí</x:v>
      </x:c>
      <x:c r="O462" s="45" t="str">
        <x:v>Josue Joatan Gonzalez Anaya</x:v>
      </x:c>
      <x:c r="P462" s="45" t="str">
        <x:v>Ops y Directorio Alsea · octubre 2026</x:v>
      </x:c>
      <x:c r="Q462" s="45" t="str">
        <x:v>Puntos proporcionados</x:v>
      </x:c>
      <x:c r="R462" s="45" t="str">
        <x:v>Abierta</x:v>
      </x:c>
      <x:c r="S462" s="45" t="str"/>
      <x:c r="T462" s="45" t="n">
        <x:f>IF(AND(OR(E462="Abierta",E462="Próxima Apertura"),N462="Sí",ISNUMBER(I462),ISNUMBER(J462),ABS(I462)&lt;=90,ABS(J462)&lt;=180),1,0)</x:f>
        <x:v>1</x:v>
      </x:c>
    </x:row>
    <x:row r="463" ht="23" customHeight="1">
      <x:c r="A463" s="45" t="str">
        <x:v>Bajío</x:v>
      </x:c>
      <x:c r="B463" s="45" t="str">
        <x:v>Josue Joatan Gonzalez Anaya</x:v>
      </x:c>
      <x:c r="C463" s="50" t="str">
        <x:v>38884</x:v>
      </x:c>
      <x:c r="D463" s="45" t="str">
        <x:v>Plaza Marina Leon</x:v>
      </x:c>
      <x:c r="E463" s="45" t="str">
        <x:v>Abierta</x:v>
      </x:c>
      <x:c r="F463" s="51" t="d">
        <x:v>2020-01-13T00:00:00.000Z</x:v>
      </x:c>
      <x:c r="G463" s="45" t="str">
        <x:v>León</x:v>
      </x:c>
      <x:c r="H463" s="45" t="str">
        <x:v>Guanajuato</x:v>
      </x:c>
      <x:c r="I463" s="52" t="n">
        <x:v>21.1710746</x:v>
      </x:c>
      <x:c r="J463" s="52" t="n">
        <x:v>-101.6790499</x:v>
      </x:c>
      <x:c r="K463" s="45" t="str">
        <x:v>Drive_Thru</x:v>
      </x:c>
      <x:c r="L463" s="45" t="str">
        <x:v>Retail</x:v>
      </x:c>
      <x:c r="M463" s="45" t="str">
        <x:v>C2</x:v>
      </x:c>
      <x:c r="N463" s="45" t="str">
        <x:v>Sí</x:v>
      </x:c>
      <x:c r="O463" s="45" t="str">
        <x:v>Josue Joatan Gonzalez Anaya</x:v>
      </x:c>
      <x:c r="P463" s="45" t="str">
        <x:v>Ops y Directorio Alsea · octubre 2026</x:v>
      </x:c>
      <x:c r="Q463" s="45" t="str">
        <x:v>Puntos proporcionados</x:v>
      </x:c>
      <x:c r="R463" s="45" t="str">
        <x:v>Abierta</x:v>
      </x:c>
      <x:c r="S463" s="45" t="str"/>
      <x:c r="T463" s="45" t="n">
        <x:f>IF(AND(OR(E463="Abierta",E463="Próxima Apertura"),N463="Sí",ISNUMBER(I463),ISNUMBER(J463),ABS(I463)&lt;=90,ABS(J463)&lt;=180),1,0)</x:f>
        <x:v>1</x:v>
      </x:c>
    </x:row>
    <x:row r="464" ht="23" customHeight="1">
      <x:c r="A464" s="45" t="str">
        <x:v>Bajío</x:v>
      </x:c>
      <x:c r="B464" s="45" t="str">
        <x:v>Josue Joatan Gonzalez Anaya</x:v>
      </x:c>
      <x:c r="C464" s="50" t="str">
        <x:v>38904</x:v>
      </x:c>
      <x:c r="D464" s="45" t="str">
        <x:v>Foro 4</x:v>
      </x:c>
      <x:c r="E464" s="45" t="str">
        <x:v>Abierta</x:v>
      </x:c>
      <x:c r="F464" s="51" t="d">
        <x:v>2022-03-31T00:00:00.000Z</x:v>
      </x:c>
      <x:c r="G464" s="45" t="str">
        <x:v>León</x:v>
      </x:c>
      <x:c r="H464" s="45" t="str">
        <x:v>Guanajuato</x:v>
      </x:c>
      <x:c r="I464" s="52" t="n">
        <x:v>21.164453</x:v>
      </x:c>
      <x:c r="J464" s="52" t="n">
        <x:v>-101.6927784</x:v>
      </x:c>
      <x:c r="K464" s="45" t="str">
        <x:v>Cafe</x:v>
      </x:c>
      <x:c r="L464" s="45" t="str">
        <x:v>Retail</x:v>
      </x:c>
      <x:c r="M464" s="45" t="str">
        <x:v>C2</x:v>
      </x:c>
      <x:c r="N464" s="45" t="str">
        <x:v>Sí</x:v>
      </x:c>
      <x:c r="O464" s="45" t="str">
        <x:v>Josue Joatan Gonzalez Anaya</x:v>
      </x:c>
      <x:c r="P464" s="45" t="str">
        <x:v>Ops y Directorio Alsea · octubre 2026</x:v>
      </x:c>
      <x:c r="Q464" s="45" t="str">
        <x:v>Puntos proporcionados</x:v>
      </x:c>
      <x:c r="R464" s="45" t="str">
        <x:v>Abierta</x:v>
      </x:c>
      <x:c r="S464" s="45" t="str"/>
      <x:c r="T464" s="45" t="n">
        <x:f>IF(AND(OR(E464="Abierta",E464="Próxima Apertura"),N464="Sí",ISNUMBER(I464),ISNUMBER(J464),ABS(I464)&lt;=90,ABS(J464)&lt;=180),1,0)</x:f>
        <x:v>1</x:v>
      </x:c>
    </x:row>
    <x:row r="465" ht="23" customHeight="1">
      <x:c r="A465" s="45" t="str">
        <x:v>Bajío</x:v>
      </x:c>
      <x:c r="B465" s="45" t="str">
        <x:v>Josue Joatan Gonzalez Anaya</x:v>
      </x:c>
      <x:c r="C465" s="50" t="str">
        <x:v>38940</x:v>
      </x:c>
      <x:c r="D465" s="45" t="str">
        <x:v>City Center León</x:v>
      </x:c>
      <x:c r="E465" s="45" t="str">
        <x:v>Cierre Temporal</x:v>
      </x:c>
      <x:c r="F465" s="51" t="d">
        <x:v>2024-05-20T00:00:00.000Z</x:v>
      </x:c>
      <x:c r="G465" s="45" t="str">
        <x:v>León</x:v>
      </x:c>
      <x:c r="H465" s="45" t="str">
        <x:v>Guanajuato</x:v>
      </x:c>
      <x:c r="I465" s="52" t="n">
        <x:v>21.17030573</x:v>
      </x:c>
      <x:c r="J465" s="52" t="n">
        <x:v>-101.6807574</x:v>
      </x:c>
      <x:c r="K465" s="45" t="str">
        <x:v>Cafe</x:v>
      </x:c>
      <x:c r="L465" s="45" t="str">
        <x:v>Retail</x:v>
      </x:c>
      <x:c r="M465" s="45" t="str">
        <x:v>C2</x:v>
      </x:c>
      <x:c r="N465" s="45" t="str">
        <x:v>No</x:v>
      </x:c>
      <x:c r="O465" s="45" t="str">
        <x:v>Josue Joatan Gonzalez Anaya</x:v>
      </x:c>
      <x:c r="P465" s="45" t="str">
        <x:v>Ops y Directorio Alsea · octubre 2026</x:v>
      </x:c>
      <x:c r="Q465" s="45" t="str">
        <x:v>Directorio Alsea octubre 2026</x:v>
      </x:c>
      <x:c r="R465" s="45" t="str">
        <x:v>Abierta</x:v>
      </x:c>
      <x:c r="S465" s="45" t="str">
        <x:v>Ops: Cierre Temporal. Alsea: Abierta. Se conserva el estatus operativo más específico.</x:v>
      </x:c>
      <x:c r="T465" s="45" t="n">
        <x:f>IF(AND(OR(E465="Abierta",E465="Próxima Apertura"),N465="Sí",ISNUMBER(I465),ISNUMBER(J465),ABS(I465)&lt;=90,ABS(J465)&lt;=180),1,0)</x:f>
        <x:v>0</x:v>
      </x:c>
    </x:row>
    <x:row r="466" ht="23" customHeight="1">
      <x:c r="A466" s="45" t="str">
        <x:v>Bajío</x:v>
      </x:c>
      <x:c r="B466" s="45" t="str">
        <x:v>Josue Joatan Gonzalez Anaya</x:v>
      </x:c>
      <x:c r="C466" s="50" t="str">
        <x:v>43027</x:v>
      </x:c>
      <x:c r="D466" s="45" t="str">
        <x:v>Paseo Insurgentes León DT</x:v>
      </x:c>
      <x:c r="E466" s="45" t="str">
        <x:v>Abierta</x:v>
      </x:c>
      <x:c r="F466" s="51" t="d">
        <x:v>2024-05-09T00:00:00.000Z</x:v>
      </x:c>
      <x:c r="G466" s="45" t="str">
        <x:v>León</x:v>
      </x:c>
      <x:c r="H466" s="45" t="str">
        <x:v>Guanajuato</x:v>
      </x:c>
      <x:c r="I466" s="52" t="n">
        <x:v>21.157631</x:v>
      </x:c>
      <x:c r="J466" s="52" t="n">
        <x:v>-101.722303</x:v>
      </x:c>
      <x:c r="K466" s="45" t="str">
        <x:v>Drive_Thru</x:v>
      </x:c>
      <x:c r="L466" s="45" t="str">
        <x:v>Transfers</x:v>
      </x:c>
      <x:c r="M466" s="45" t="str">
        <x:v>C2</x:v>
      </x:c>
      <x:c r="N466" s="45" t="str">
        <x:v>Sí</x:v>
      </x:c>
      <x:c r="O466" s="45" t="str">
        <x:v>Josue Joatan Gonzalez Anaya</x:v>
      </x:c>
      <x:c r="P466" s="45" t="str">
        <x:v>Ops y Directorio Alsea · octubre 2026</x:v>
      </x:c>
      <x:c r="Q466" s="45" t="str">
        <x:v>Puntos proporcionados</x:v>
      </x:c>
      <x:c r="R466" s="45" t="str">
        <x:v>Abierta</x:v>
      </x:c>
      <x:c r="S466" s="45" t="str"/>
      <x:c r="T466" s="45" t="n">
        <x:f>IF(AND(OR(E466="Abierta",E466="Próxima Apertura"),N466="Sí",ISNUMBER(I466),ISNUMBER(J466),ABS(I466)&lt;=90,ABS(J466)&lt;=180),1,0)</x:f>
        <x:v>1</x:v>
      </x:c>
    </x:row>
    <x:row r="467" ht="23" customHeight="1">
      <x:c r="A467" s="45" t="str">
        <x:v>Bajío</x:v>
      </x:c>
      <x:c r="B467" s="45" t="str">
        <x:v>Josue Joatan Gonzalez Anaya</x:v>
      </x:c>
      <x:c r="C467" s="50" t="str">
        <x:v>43032</x:v>
      </x:c>
      <x:c r="D467" s="45" t="str">
        <x:v>Paseo del Moral León</x:v>
      </x:c>
      <x:c r="E467" s="45" t="str">
        <x:v>Abierta</x:v>
      </x:c>
      <x:c r="F467" s="51" t="d">
        <x:v>2024-09-27T00:00:00.000Z</x:v>
      </x:c>
      <x:c r="G467" s="45" t="str">
        <x:v>León</x:v>
      </x:c>
      <x:c r="H467" s="45" t="str">
        <x:v>Guanajuato</x:v>
      </x:c>
      <x:c r="I467" s="52" t="n">
        <x:v>21.1466387</x:v>
      </x:c>
      <x:c r="J467" s="52" t="n">
        <x:v>-101.6904544</x:v>
      </x:c>
      <x:c r="K467" s="45" t="str">
        <x:v>Cafe</x:v>
      </x:c>
      <x:c r="L467" s="45" t="str">
        <x:v>Neighborhood</x:v>
      </x:c>
      <x:c r="M467" s="45" t="str">
        <x:v>C2</x:v>
      </x:c>
      <x:c r="N467" s="45" t="str">
        <x:v>Sí</x:v>
      </x:c>
      <x:c r="O467" s="45" t="str">
        <x:v>Josue Joatan Gonzalez Anaya</x:v>
      </x:c>
      <x:c r="P467" s="45" t="str">
        <x:v>Ops y Directorio Alsea · octubre 2026</x:v>
      </x:c>
      <x:c r="Q467" s="45" t="str">
        <x:v>Puntos proporcionados</x:v>
      </x:c>
      <x:c r="R467" s="45" t="str">
        <x:v>Abierta</x:v>
      </x:c>
      <x:c r="S467" s="45" t="str"/>
      <x:c r="T467" s="45" t="n">
        <x:f>IF(AND(OR(E467="Abierta",E467="Próxima Apertura"),N467="Sí",ISNUMBER(I467),ISNUMBER(J467),ABS(I467)&lt;=90,ABS(J467)&lt;=180),1,0)</x:f>
        <x:v>1</x:v>
      </x:c>
    </x:row>
    <x:row r="468" ht="23" customHeight="1">
      <x:c r="A468" s="45" t="str">
        <x:v>Bajío</x:v>
      </x:c>
      <x:c r="B468" s="45" t="str">
        <x:v>Josue Joatan Gonzalez Anaya</x:v>
      </x:c>
      <x:c r="C468" s="50" t="str">
        <x:v>43089</x:v>
      </x:c>
      <x:c r="D468" s="45" t="str">
        <x:v>López Mateos León DT</x:v>
      </x:c>
      <x:c r="E468" s="45" t="str">
        <x:v>Abierta</x:v>
      </x:c>
      <x:c r="F468" s="51" t="d">
        <x:v>2024-09-28T00:00:00.000Z</x:v>
      </x:c>
      <x:c r="G468" s="45" t="str">
        <x:v>León</x:v>
      </x:c>
      <x:c r="H468" s="45" t="str">
        <x:v>Guanajuato</x:v>
      </x:c>
      <x:c r="I468" s="52" t="n">
        <x:v>21.1189607</x:v>
      </x:c>
      <x:c r="J468" s="52" t="n">
        <x:v>-101.663216</x:v>
      </x:c>
      <x:c r="K468" s="45" t="str">
        <x:v>Drive_Thru</x:v>
      </x:c>
      <x:c r="L468" s="45" t="str">
        <x:v>Transfers</x:v>
      </x:c>
      <x:c r="M468" s="45" t="str">
        <x:v>C2</x:v>
      </x:c>
      <x:c r="N468" s="45" t="str">
        <x:v>Sí</x:v>
      </x:c>
      <x:c r="O468" s="45" t="str">
        <x:v>Josue Joatan Gonzalez Anaya</x:v>
      </x:c>
      <x:c r="P468" s="45" t="str">
        <x:v>Ops y Directorio Alsea · octubre 2026</x:v>
      </x:c>
      <x:c r="Q468" s="45" t="str">
        <x:v>Puntos proporcionados</x:v>
      </x:c>
      <x:c r="R468" s="45" t="str">
        <x:v>Abierta</x:v>
      </x:c>
      <x:c r="S468" s="45" t="str"/>
      <x:c r="T468" s="45" t="n">
        <x:f>IF(AND(OR(E468="Abierta",E468="Próxima Apertura"),N468="Sí",ISNUMBER(I468),ISNUMBER(J468),ABS(I468)&lt;=90,ABS(J468)&lt;=180),1,0)</x:f>
        <x:v>1</x:v>
      </x:c>
    </x:row>
    <x:row r="469" ht="23" customHeight="1">
      <x:c r="A469" s="45" t="str">
        <x:v>Bajío</x:v>
      </x:c>
      <x:c r="B469" s="45" t="str">
        <x:v>Josue Joatan Gonzalez Anaya</x:v>
      </x:c>
      <x:c r="C469" s="50" t="str">
        <x:v>43215</x:v>
      </x:c>
      <x:c r="D469" s="45" t="str">
        <x:v>Plaza Laureles León DT</x:v>
      </x:c>
      <x:c r="E469" s="45" t="str">
        <x:v>Abierta</x:v>
      </x:c>
      <x:c r="F469" s="51" t="d">
        <x:v>2026-09-27T00:00:00.000Z</x:v>
      </x:c>
      <x:c r="G469" s="45" t="str">
        <x:v>León</x:v>
      </x:c>
      <x:c r="H469" s="45" t="str">
        <x:v>Guanajuato</x:v>
      </x:c>
      <x:c r="I469" s="52" t="n">
        <x:v>21.10221204</x:v>
      </x:c>
      <x:c r="J469" s="52" t="n">
        <x:v>-101.7123985</x:v>
      </x:c>
      <x:c r="K469" s="45" t="str">
        <x:v>Drive_Thru</x:v>
      </x:c>
      <x:c r="L469" s="45" t="str">
        <x:v>Transfers</x:v>
      </x:c>
      <x:c r="M469" s="45" t="str">
        <x:v>C2</x:v>
      </x:c>
      <x:c r="N469" s="45" t="str">
        <x:v>Sí</x:v>
      </x:c>
      <x:c r="O469" s="45" t="str">
        <x:v>Josue Joatan Gonzalez Anaya</x:v>
      </x:c>
      <x:c r="P469" s="45" t="str">
        <x:v>Ops y Directorio Alsea · octubre 2026</x:v>
      </x:c>
      <x:c r="Q469" s="45" t="str">
        <x:v>Directorio Alsea octubre 2026</x:v>
      </x:c>
      <x:c r="R469" s="45" t="str">
        <x:v>Abierta</x:v>
      </x:c>
      <x:c r="S469" s="45" t="str"/>
      <x:c r="T469" s="45" t="n">
        <x:f>IF(AND(OR(E469="Abierta",E469="Próxima Apertura"),N469="Sí",ISNUMBER(I469),ISNUMBER(J469),ABS(I469)&lt;=90,ABS(J469)&lt;=180),1,0)</x:f>
        <x:v>1</x:v>
      </x:c>
    </x:row>
    <x:row r="470" ht="23" customHeight="1">
      <x:c r="A470" s="45" t="str">
        <x:v>Bajío</x:v>
      </x:c>
      <x:c r="B470" s="45" t="str">
        <x:v>Mauricio Sour Romero</x:v>
      </x:c>
      <x:c r="C470" s="50" t="str">
        <x:v>38250</x:v>
      </x:c>
      <x:c r="D470" s="45" t="str">
        <x:v>Galerias Queretaro</x:v>
      </x:c>
      <x:c r="E470" s="45" t="str">
        <x:v>Abierta</x:v>
      </x:c>
      <x:c r="F470" s="51" t="d">
        <x:v>2007-08-24T00:00:00.000Z</x:v>
      </x:c>
      <x:c r="G470" s="45" t="str">
        <x:v>Querétaro</x:v>
      </x:c>
      <x:c r="H470" s="45" t="str">
        <x:v>Querétaro</x:v>
      </x:c>
      <x:c r="I470" s="52" t="n">
        <x:v>20.577831</x:v>
      </x:c>
      <x:c r="J470" s="52" t="n">
        <x:v>-100.405285</x:v>
      </x:c>
      <x:c r="K470" s="45" t="str">
        <x:v>Cafe</x:v>
      </x:c>
      <x:c r="L470" s="45" t="str">
        <x:v>Retail</x:v>
      </x:c>
      <x:c r="M470" s="45" t="str">
        <x:v>C2</x:v>
      </x:c>
      <x:c r="N470" s="45" t="str">
        <x:v>Sí</x:v>
      </x:c>
      <x:c r="O470" s="45" t="str">
        <x:v>Mauricio Sour Romero</x:v>
      </x:c>
      <x:c r="P470" s="45" t="str">
        <x:v>Ops y Directorio Alsea · octubre 2026</x:v>
      </x:c>
      <x:c r="Q470" s="45" t="str">
        <x:v>Puntos proporcionados</x:v>
      </x:c>
      <x:c r="R470" s="45" t="str">
        <x:v>Abierta</x:v>
      </x:c>
      <x:c r="S470" s="45" t="str"/>
      <x:c r="T470" s="45" t="n">
        <x:f>IF(AND(OR(E470="Abierta",E470="Próxima Apertura"),N470="Sí",ISNUMBER(I470),ISNUMBER(J470),ABS(I470)&lt;=90,ABS(J470)&lt;=180),1,0)</x:f>
        <x:v>1</x:v>
      </x:c>
    </x:row>
    <x:row r="471" ht="23" customHeight="1">
      <x:c r="A471" s="45" t="str">
        <x:v>Bajío</x:v>
      </x:c>
      <x:c r="B471" s="45" t="str">
        <x:v>Mauricio Sour Romero</x:v>
      </x:c>
      <x:c r="C471" s="50" t="str">
        <x:v>38295</x:v>
      </x:c>
      <x:c r="D471" s="45" t="str">
        <x:v>Campestre Queretaro</x:v>
      </x:c>
      <x:c r="E471" s="45" t="str">
        <x:v>Abierta</x:v>
      </x:c>
      <x:c r="F471" s="51" t="d">
        <x:v>2007-12-15T00:00:00.000Z</x:v>
      </x:c>
      <x:c r="G471" s="45" t="str">
        <x:v>Corregidora</x:v>
      </x:c>
      <x:c r="H471" s="45" t="str">
        <x:v>Querétaro</x:v>
      </x:c>
      <x:c r="I471" s="52" t="n">
        <x:v>20.5699902</x:v>
      </x:c>
      <x:c r="J471" s="52" t="n">
        <x:v>-100.4086725</x:v>
      </x:c>
      <x:c r="K471" s="45" t="str">
        <x:v>Cafe</x:v>
      </x:c>
      <x:c r="L471" s="45" t="str">
        <x:v>Neighborhood</x:v>
      </x:c>
      <x:c r="M471" s="45" t="str">
        <x:v>C2</x:v>
      </x:c>
      <x:c r="N471" s="45" t="str">
        <x:v>Sí</x:v>
      </x:c>
      <x:c r="O471" s="45" t="str">
        <x:v>Mauricio Sour Romero</x:v>
      </x:c>
      <x:c r="P471" s="45" t="str">
        <x:v>Ops y Directorio Alsea · octubre 2026</x:v>
      </x:c>
      <x:c r="Q471" s="45" t="str">
        <x:v>Puntos proporcionados</x:v>
      </x:c>
      <x:c r="R471" s="45" t="str">
        <x:v>Abierta</x:v>
      </x:c>
      <x:c r="S471" s="45" t="str"/>
      <x:c r="T471" s="45" t="n">
        <x:f>IF(AND(OR(E471="Abierta",E471="Próxima Apertura"),N471="Sí",ISNUMBER(I471),ISNUMBER(J471),ABS(I471)&lt;=90,ABS(J471)&lt;=180),1,0)</x:f>
        <x:v>1</x:v>
      </x:c>
    </x:row>
    <x:row r="472" ht="23" customHeight="1">
      <x:c r="A472" s="45" t="str">
        <x:v>Bajío</x:v>
      </x:c>
      <x:c r="B472" s="45" t="str">
        <x:v>Mauricio Sour Romero</x:v>
      </x:c>
      <x:c r="C472" s="50" t="str">
        <x:v>38467</x:v>
      </x:c>
      <x:c r="D472" s="45" t="str">
        <x:v>Constituyentes Queretaro</x:v>
      </x:c>
      <x:c r="E472" s="45" t="str">
        <x:v>Abierta</x:v>
      </x:c>
      <x:c r="F472" s="51" t="d">
        <x:v>2012-10-11T00:00:00.000Z</x:v>
      </x:c>
      <x:c r="G472" s="45" t="str">
        <x:v>Querétaro</x:v>
      </x:c>
      <x:c r="H472" s="45" t="str">
        <x:v>Querétaro</x:v>
      </x:c>
      <x:c r="I472" s="52" t="n">
        <x:v>20.5840071</x:v>
      </x:c>
      <x:c r="J472" s="52" t="n">
        <x:v>-100.3932423</x:v>
      </x:c>
      <x:c r="K472" s="45" t="str">
        <x:v>Cafe</x:v>
      </x:c>
      <x:c r="L472" s="45" t="str">
        <x:v>Transfers</x:v>
      </x:c>
      <x:c r="M472" s="45" t="str">
        <x:v>C1</x:v>
      </x:c>
      <x:c r="N472" s="45" t="str">
        <x:v>Sí</x:v>
      </x:c>
      <x:c r="O472" s="45" t="str">
        <x:v>Mauricio Sour Romero</x:v>
      </x:c>
      <x:c r="P472" s="45" t="str">
        <x:v>Ops y Directorio Alsea · octubre 2026</x:v>
      </x:c>
      <x:c r="Q472" s="45" t="str">
        <x:v>Puntos proporcionados</x:v>
      </x:c>
      <x:c r="R472" s="45" t="str">
        <x:v>Abierta</x:v>
      </x:c>
      <x:c r="S472" s="45" t="str"/>
      <x:c r="T472" s="45" t="n">
        <x:f>IF(AND(OR(E472="Abierta",E472="Próxima Apertura"),N472="Sí",ISNUMBER(I472),ISNUMBER(J472),ABS(I472)&lt;=90,ABS(J472)&lt;=180),1,0)</x:f>
        <x:v>1</x:v>
      </x:c>
    </x:row>
    <x:row r="473" ht="23" customHeight="1">
      <x:c r="A473" s="45" t="str">
        <x:v>Bajío</x:v>
      </x:c>
      <x:c r="B473" s="45" t="str">
        <x:v>Mauricio Sour Romero</x:v>
      </x:c>
      <x:c r="C473" s="50" t="str">
        <x:v>38728</x:v>
      </x:c>
      <x:c r="D473" s="45" t="str">
        <x:v>Punto la Victoria</x:v>
      </x:c>
      <x:c r="E473" s="45" t="str">
        <x:v>Abierta</x:v>
      </x:c>
      <x:c r="F473" s="51" t="d">
        <x:v>2017-09-25T00:00:00.000Z</x:v>
      </x:c>
      <x:c r="G473" s="45" t="str">
        <x:v>Querétaro</x:v>
      </x:c>
      <x:c r="H473" s="45" t="str">
        <x:v>Querétaro</x:v>
      </x:c>
      <x:c r="I473" s="52" t="n">
        <x:v>20.585223</x:v>
      </x:c>
      <x:c r="J473" s="52" t="n">
        <x:v>-100.380347</x:v>
      </x:c>
      <x:c r="K473" s="45" t="str">
        <x:v>Cafe</x:v>
      </x:c>
      <x:c r="L473" s="45" t="str">
        <x:v>Retail</x:v>
      </x:c>
      <x:c r="M473" s="45" t="str">
        <x:v>C2</x:v>
      </x:c>
      <x:c r="N473" s="45" t="str">
        <x:v>Sí</x:v>
      </x:c>
      <x:c r="O473" s="45" t="str">
        <x:v>Mauricio Sour Romero</x:v>
      </x:c>
      <x:c r="P473" s="45" t="str">
        <x:v>Ops y Directorio Alsea · octubre 2026</x:v>
      </x:c>
      <x:c r="Q473" s="45" t="str">
        <x:v>Puntos proporcionados</x:v>
      </x:c>
      <x:c r="R473" s="45" t="str">
        <x:v>Abierta</x:v>
      </x:c>
      <x:c r="S473" s="45" t="str"/>
      <x:c r="T473" s="45" t="n">
        <x:f>IF(AND(OR(E473="Abierta",E473="Próxima Apertura"),N473="Sí",ISNUMBER(I473),ISNUMBER(J473),ABS(I473)&lt;=90,ABS(J473)&lt;=180),1,0)</x:f>
        <x:v>1</x:v>
      </x:c>
    </x:row>
    <x:row r="474" ht="23" customHeight="1">
      <x:c r="A474" s="45" t="str">
        <x:v>Bajío</x:v>
      </x:c>
      <x:c r="B474" s="45" t="str">
        <x:v>Mauricio Sour Romero</x:v>
      </x:c>
      <x:c r="C474" s="50" t="str">
        <x:v>38757</x:v>
      </x:c>
      <x:c r="D474" s="45" t="str">
        <x:v>Citadina Constituyentes</x:v>
      </x:c>
      <x:c r="E474" s="45" t="str">
        <x:v>Abierta</x:v>
      </x:c>
      <x:c r="F474" s="51" t="d">
        <x:v>2017-10-27T00:00:00.000Z</x:v>
      </x:c>
      <x:c r="G474" s="45" t="str">
        <x:v>Corregidora</x:v>
      </x:c>
      <x:c r="H474" s="45" t="str">
        <x:v>Querétaro</x:v>
      </x:c>
      <x:c r="I474" s="52" t="n">
        <x:v>20.5358982</x:v>
      </x:c>
      <x:c r="J474" s="52" t="n">
        <x:v>-100.4355745</x:v>
      </x:c>
      <x:c r="K474" s="45" t="str">
        <x:v>Drive_Thru</x:v>
      </x:c>
      <x:c r="L474" s="45" t="str">
        <x:v>Transfers</x:v>
      </x:c>
      <x:c r="M474" s="45" t="str">
        <x:v>C2</x:v>
      </x:c>
      <x:c r="N474" s="45" t="str">
        <x:v>Sí</x:v>
      </x:c>
      <x:c r="O474" s="45" t="str">
        <x:v>Mauricio Sour Romero</x:v>
      </x:c>
      <x:c r="P474" s="45" t="str">
        <x:v>Ops y Directorio Alsea · octubre 2026</x:v>
      </x:c>
      <x:c r="Q474" s="45" t="str">
        <x:v>Puntos proporcionados</x:v>
      </x:c>
      <x:c r="R474" s="45" t="str">
        <x:v>Abierta</x:v>
      </x:c>
      <x:c r="S474" s="45" t="str"/>
      <x:c r="T474" s="45" t="n">
        <x:f>IF(AND(OR(E474="Abierta",E474="Próxima Apertura"),N474="Sí",ISNUMBER(I474),ISNUMBER(J474),ABS(I474)&lt;=90,ABS(J474)&lt;=180),1,0)</x:f>
        <x:v>1</x:v>
      </x:c>
    </x:row>
    <x:row r="475" ht="23" customHeight="1">
      <x:c r="A475" s="45" t="str">
        <x:v>Bajío</x:v>
      </x:c>
      <x:c r="B475" s="45" t="str">
        <x:v>Mauricio Sour Romero</x:v>
      </x:c>
      <x:c r="C475" s="50" t="str">
        <x:v>38864</x:v>
      </x:c>
      <x:c r="D475" s="45" t="str">
        <x:v>Carretera Queretaro Celaya</x:v>
      </x:c>
      <x:c r="E475" s="45" t="str">
        <x:v>Abierta</x:v>
      </x:c>
      <x:c r="F475" s="51" t="d">
        <x:v>2019-04-30T00:00:00.000Z</x:v>
      </x:c>
      <x:c r="G475" s="45" t="str">
        <x:v>Corregidora</x:v>
      </x:c>
      <x:c r="H475" s="45" t="str">
        <x:v>Querétaro</x:v>
      </x:c>
      <x:c r="I475" s="52" t="n">
        <x:v>20.576082</x:v>
      </x:c>
      <x:c r="J475" s="52" t="n">
        <x:v>-100.444523</x:v>
      </x:c>
      <x:c r="K475" s="45" t="str">
        <x:v>Drive_Thru</x:v>
      </x:c>
      <x:c r="L475" s="45" t="str">
        <x:v>Transfers</x:v>
      </x:c>
      <x:c r="M475" s="45" t="str">
        <x:v>C3</x:v>
      </x:c>
      <x:c r="N475" s="45" t="str">
        <x:v>Sí</x:v>
      </x:c>
      <x:c r="O475" s="45" t="str">
        <x:v>Mauricio Sour Romero</x:v>
      </x:c>
      <x:c r="P475" s="45" t="str">
        <x:v>Ops y Directorio Alsea · octubre 2026</x:v>
      </x:c>
      <x:c r="Q475" s="45" t="str">
        <x:v>Puntos proporcionados</x:v>
      </x:c>
      <x:c r="R475" s="45" t="str">
        <x:v>Abierta</x:v>
      </x:c>
      <x:c r="S475" s="45" t="str"/>
      <x:c r="T475" s="45" t="n">
        <x:f>IF(AND(OR(E475="Abierta",E475="Próxima Apertura"),N475="Sí",ISNUMBER(I475),ISNUMBER(J475),ABS(I475)&lt;=90,ABS(J475)&lt;=180),1,0)</x:f>
        <x:v>1</x:v>
      </x:c>
    </x:row>
    <x:row r="476" ht="23" customHeight="1">
      <x:c r="A476" s="45" t="str">
        <x:v>Bajío</x:v>
      </x:c>
      <x:c r="B476" s="45" t="str">
        <x:v>Mauricio Sour Romero</x:v>
      </x:c>
      <x:c r="C476" s="50" t="str">
        <x:v>38871</x:v>
      </x:c>
      <x:c r="D476" s="45" t="str">
        <x:v>Estacion las Brujas II</x:v>
      </x:c>
      <x:c r="E476" s="45" t="str">
        <x:v>Abierta</x:v>
      </x:c>
      <x:c r="F476" s="51" t="d">
        <x:v>2019-07-29T00:00:00.000Z</x:v>
      </x:c>
      <x:c r="G476" s="45" t="str">
        <x:v>Celaya</x:v>
      </x:c>
      <x:c r="H476" s="45" t="str">
        <x:v>Guanajuato</x:v>
      </x:c>
      <x:c r="I476" s="52" t="n">
        <x:v>20.5319345</x:v>
      </x:c>
      <x:c r="J476" s="52" t="n">
        <x:v>-100.6511834</x:v>
      </x:c>
      <x:c r="K476" s="45" t="str">
        <x:v>Drive_Thru</x:v>
      </x:c>
      <x:c r="L476" s="45" t="str">
        <x:v>Transfers</x:v>
      </x:c>
      <x:c r="M476" s="45" t="str">
        <x:v>C3</x:v>
      </x:c>
      <x:c r="N476" s="45" t="str">
        <x:v>Sí</x:v>
      </x:c>
      <x:c r="O476" s="45" t="str">
        <x:v>Mauricio Sour Romero</x:v>
      </x:c>
      <x:c r="P476" s="45" t="str">
        <x:v>Ops y Directorio Alsea · octubre 2026</x:v>
      </x:c>
      <x:c r="Q476" s="45" t="str">
        <x:v>Puntos proporcionados</x:v>
      </x:c>
      <x:c r="R476" s="45" t="str">
        <x:v>Abierta</x:v>
      </x:c>
      <x:c r="S476" s="45" t="str"/>
      <x:c r="T476" s="45" t="n">
        <x:f>IF(AND(OR(E476="Abierta",E476="Próxima Apertura"),N476="Sí",ISNUMBER(I476),ISNUMBER(J476),ABS(I476)&lt;=90,ABS(J476)&lt;=180),1,0)</x:f>
        <x:v>1</x:v>
      </x:c>
    </x:row>
    <x:row r="477" ht="23" customHeight="1">
      <x:c r="A477" s="45" t="str">
        <x:v>Bajío</x:v>
      </x:c>
      <x:c r="B477" s="45" t="str">
        <x:v>Mauricio Sour Romero</x:v>
      </x:c>
      <x:c r="C477" s="50" t="str">
        <x:v>38886</x:v>
      </x:c>
      <x:c r="D477" s="45" t="str">
        <x:v>Estacion las Brujas I</x:v>
      </x:c>
      <x:c r="E477" s="45" t="str">
        <x:v>Abierta</x:v>
      </x:c>
      <x:c r="F477" s="51" t="d">
        <x:v>2020-06-15T00:00:00.000Z</x:v>
      </x:c>
      <x:c r="G477" s="45" t="str">
        <x:v>Celaya</x:v>
      </x:c>
      <x:c r="H477" s="45" t="str">
        <x:v>Guanajuato</x:v>
      </x:c>
      <x:c r="I477" s="52" t="n">
        <x:v>20.532574</x:v>
      </x:c>
      <x:c r="J477" s="52" t="n">
        <x:v>-100.647396</x:v>
      </x:c>
      <x:c r="K477" s="45" t="str">
        <x:v>Drive_Thru</x:v>
      </x:c>
      <x:c r="L477" s="45" t="str">
        <x:v>Transfers</x:v>
      </x:c>
      <x:c r="M477" s="45" t="str">
        <x:v>C3</x:v>
      </x:c>
      <x:c r="N477" s="45" t="str">
        <x:v>Sí</x:v>
      </x:c>
      <x:c r="O477" s="45" t="str">
        <x:v>Mauricio Sour Romero</x:v>
      </x:c>
      <x:c r="P477" s="45" t="str">
        <x:v>Ops y Directorio Alsea · octubre 2026</x:v>
      </x:c>
      <x:c r="Q477" s="45" t="str">
        <x:v>Puntos proporcionados</x:v>
      </x:c>
      <x:c r="R477" s="45" t="str">
        <x:v>Abierta</x:v>
      </x:c>
      <x:c r="S477" s="45" t="str"/>
      <x:c r="T477" s="45" t="n">
        <x:f>IF(AND(OR(E477="Abierta",E477="Próxima Apertura"),N477="Sí",ISNUMBER(I477),ISNUMBER(J477),ABS(I477)&lt;=90,ABS(J477)&lt;=180),1,0)</x:f>
        <x:v>1</x:v>
      </x:c>
    </x:row>
    <x:row r="478" ht="23" customHeight="1">
      <x:c r="A478" s="45" t="str">
        <x:v>Bajío</x:v>
      </x:c>
      <x:c r="B478" s="45" t="str">
        <x:v>Mauricio Sour Romero</x:v>
      </x:c>
      <x:c r="C478" s="50" t="str">
        <x:v>38916</x:v>
      </x:c>
      <x:c r="D478" s="45" t="str">
        <x:v>Chedraui Centro Sur</x:v>
      </x:c>
      <x:c r="E478" s="45" t="str">
        <x:v>Abierta</x:v>
      </x:c>
      <x:c r="F478" s="51" t="d">
        <x:v>2022-10-04T00:00:00.000Z</x:v>
      </x:c>
      <x:c r="G478" s="45" t="str">
        <x:v>Querétaro</x:v>
      </x:c>
      <x:c r="H478" s="45" t="str">
        <x:v>Querétaro</x:v>
      </x:c>
      <x:c r="I478" s="52" t="n">
        <x:v>20.570817</x:v>
      </x:c>
      <x:c r="J478" s="52" t="n">
        <x:v>-100.359825</x:v>
      </x:c>
      <x:c r="K478" s="45" t="str">
        <x:v>Cafe</x:v>
      </x:c>
      <x:c r="L478" s="45" t="str">
        <x:v>Retail</x:v>
      </x:c>
      <x:c r="M478" s="45" t="str">
        <x:v>C2</x:v>
      </x:c>
      <x:c r="N478" s="45" t="str">
        <x:v>Sí</x:v>
      </x:c>
      <x:c r="O478" s="45" t="str">
        <x:v>Mauricio Sour Romero</x:v>
      </x:c>
      <x:c r="P478" s="45" t="str">
        <x:v>Ops y Directorio Alsea · octubre 2026</x:v>
      </x:c>
      <x:c r="Q478" s="45" t="str">
        <x:v>Puntos proporcionados</x:v>
      </x:c>
      <x:c r="R478" s="45" t="str">
        <x:v>Abierta</x:v>
      </x:c>
      <x:c r="S478" s="45" t="str"/>
      <x:c r="T478" s="45" t="n">
        <x:f>IF(AND(OR(E478="Abierta",E478="Próxima Apertura"),N478="Sí",ISNUMBER(I478),ISNUMBER(J478),ABS(I478)&lt;=90,ABS(J478)&lt;=180),1,0)</x:f>
        <x:v>1</x:v>
      </x:c>
    </x:row>
    <x:row r="479" ht="23" customHeight="1">
      <x:c r="A479" s="45" t="str">
        <x:v>Bajío</x:v>
      </x:c>
      <x:c r="B479" s="45" t="str">
        <x:v>Mauricio Sour Romero</x:v>
      </x:c>
      <x:c r="C479" s="50" t="str">
        <x:v>38944</x:v>
      </x:c>
      <x:c r="D479" s="45" t="str">
        <x:v>Centro SurQro</x:v>
      </x:c>
      <x:c r="E479" s="45" t="str">
        <x:v>Abierta</x:v>
      </x:c>
      <x:c r="F479" s="51" t="d">
        <x:v>2023-08-25T00:00:00.000Z</x:v>
      </x:c>
      <x:c r="G479" s="45" t="str">
        <x:v>Querétaro</x:v>
      </x:c>
      <x:c r="H479" s="45" t="str">
        <x:v>Querétaro</x:v>
      </x:c>
      <x:c r="I479" s="52" t="n">
        <x:v>20.5632325</x:v>
      </x:c>
      <x:c r="J479" s="52" t="n">
        <x:v>-100.3561595</x:v>
      </x:c>
      <x:c r="K479" s="45" t="str">
        <x:v>Drive_Thru</x:v>
      </x:c>
      <x:c r="L479" s="45" t="str">
        <x:v>Transfers</x:v>
      </x:c>
      <x:c r="M479" s="45" t="str">
        <x:v>C2</x:v>
      </x:c>
      <x:c r="N479" s="45" t="str">
        <x:v>Sí</x:v>
      </x:c>
      <x:c r="O479" s="45" t="str">
        <x:v>Mauricio Sour Romero</x:v>
      </x:c>
      <x:c r="P479" s="45" t="str">
        <x:v>Ops y Directorio Alsea · octubre 2026</x:v>
      </x:c>
      <x:c r="Q479" s="45" t="str">
        <x:v>Puntos proporcionados</x:v>
      </x:c>
      <x:c r="R479" s="45" t="str">
        <x:v>Abierta</x:v>
      </x:c>
      <x:c r="S479" s="45" t="str"/>
      <x:c r="T479" s="45" t="n">
        <x:f>IF(AND(OR(E479="Abierta",E479="Próxima Apertura"),N479="Sí",ISNUMBER(I479),ISNUMBER(J479),ABS(I479)&lt;=90,ABS(J479)&lt;=180),1,0)</x:f>
        <x:v>1</x:v>
      </x:c>
    </x:row>
    <x:row r="480" ht="23" customHeight="1">
      <x:c r="A480" s="45" t="str">
        <x:v>Bajío</x:v>
      </x:c>
      <x:c r="B480" s="45" t="str">
        <x:v>Mauricio Sour Romero</x:v>
      </x:c>
      <x:c r="C480" s="50" t="str">
        <x:v>38976</x:v>
      </x:c>
      <x:c r="D480" s="45" t="str">
        <x:v>Hospital Angeles Centro Sur Qro</x:v>
      </x:c>
      <x:c r="E480" s="45" t="str">
        <x:v>Abierta</x:v>
      </x:c>
      <x:c r="F480" s="51" t="d">
        <x:v>2024-04-24T00:00:00.000Z</x:v>
      </x:c>
      <x:c r="G480" s="45" t="str">
        <x:v>Querétaro</x:v>
      </x:c>
      <x:c r="H480" s="45" t="str">
        <x:v>Querétaro</x:v>
      </x:c>
      <x:c r="I480" s="52" t="n">
        <x:v>20.563834</x:v>
      </x:c>
      <x:c r="J480" s="52" t="n">
        <x:v>-100.358792</x:v>
      </x:c>
      <x:c r="K480" s="45" t="str">
        <x:v>Cafe</x:v>
      </x:c>
      <x:c r="L480" s="45" t="str">
        <x:v>Institution</x:v>
      </x:c>
      <x:c r="M480" s="45" t="str">
        <x:v>C3</x:v>
      </x:c>
      <x:c r="N480" s="45" t="str">
        <x:v>Sí</x:v>
      </x:c>
      <x:c r="O480" s="45" t="str">
        <x:v>Mauricio Sour Romero</x:v>
      </x:c>
      <x:c r="P480" s="45" t="str">
        <x:v>Ops y Directorio Alsea · octubre 2026</x:v>
      </x:c>
      <x:c r="Q480" s="45" t="str">
        <x:v>Puntos proporcionados</x:v>
      </x:c>
      <x:c r="R480" s="45" t="str">
        <x:v>Abierta</x:v>
      </x:c>
      <x:c r="S480" s="45" t="str"/>
      <x:c r="T480" s="45" t="n">
        <x:f>IF(AND(OR(E480="Abierta",E480="Próxima Apertura"),N480="Sí",ISNUMBER(I480),ISNUMBER(J480),ABS(I480)&lt;=90,ABS(J480)&lt;=180),1,0)</x:f>
        <x:v>1</x:v>
      </x:c>
    </x:row>
    <x:row r="481" ht="23" customHeight="1">
      <x:c r="A481" s="45" t="str">
        <x:v>Bajío</x:v>
      </x:c>
      <x:c r="B481" s="45" t="str">
        <x:v>Mauricio Sour Romero</x:v>
      </x:c>
      <x:c r="C481" s="50" t="str">
        <x:v>43033</x:v>
      </x:c>
      <x:c r="D481" s="45" t="str">
        <x:v>Plaza Constituyentes</x:v>
      </x:c>
      <x:c r="E481" s="45" t="str">
        <x:v>Abierta</x:v>
      </x:c>
      <x:c r="F481" s="51" t="d">
        <x:v>2024-07-12T00:00:00.000Z</x:v>
      </x:c>
      <x:c r="G481" s="45" t="str">
        <x:v>Querétaro</x:v>
      </x:c>
      <x:c r="H481" s="45" t="str">
        <x:v>Querétaro</x:v>
      </x:c>
      <x:c r="I481" s="52" t="n">
        <x:v>20.550279</x:v>
      </x:c>
      <x:c r="J481" s="52" t="n">
        <x:v>-100.423154</x:v>
      </x:c>
      <x:c r="K481" s="45" t="str">
        <x:v>Cafe</x:v>
      </x:c>
      <x:c r="L481" s="45" t="str">
        <x:v>Retail</x:v>
      </x:c>
      <x:c r="M481" s="45" t="str">
        <x:v>C1</x:v>
      </x:c>
      <x:c r="N481" s="45" t="str">
        <x:v>Sí</x:v>
      </x:c>
      <x:c r="O481" s="45" t="str">
        <x:v>Mauricio Sour Romero</x:v>
      </x:c>
      <x:c r="P481" s="45" t="str">
        <x:v>Ops y Directorio Alsea · octubre 2026</x:v>
      </x:c>
      <x:c r="Q481" s="45" t="str">
        <x:v>Puntos proporcionados</x:v>
      </x:c>
      <x:c r="R481" s="45" t="str">
        <x:v>Abierta</x:v>
      </x:c>
      <x:c r="S481" s="45" t="str"/>
      <x:c r="T481" s="45" t="n">
        <x:f>IF(AND(OR(E481="Abierta",E481="Próxima Apertura"),N481="Sí",ISNUMBER(I481),ISNUMBER(J481),ABS(I481)&lt;=90,ABS(J481)&lt;=180),1,0)</x:f>
        <x:v>1</x:v>
      </x:c>
    </x:row>
    <x:row r="482" ht="23" customHeight="1">
      <x:c r="A482" s="45" t="str">
        <x:v>Bajío</x:v>
      </x:c>
      <x:c r="B482" s="45" t="str">
        <x:v>Mauricio Sour Romero</x:v>
      </x:c>
      <x:c r="C482" s="50" t="str">
        <x:v>43180</x:v>
      </x:c>
      <x:c r="D482" s="45" t="str">
        <x:v>Prolongación Zaragoza DT</x:v>
      </x:c>
      <x:c r="E482" s="45" t="str">
        <x:v>Abierta</x:v>
      </x:c>
      <x:c r="F482" s="51" t="d">
        <x:v>2026-03-08T00:00:00.000Z</x:v>
      </x:c>
      <x:c r="G482" s="45" t="str">
        <x:v>Querétaro</x:v>
      </x:c>
      <x:c r="H482" s="45" t="str">
        <x:v>Querétaro</x:v>
      </x:c>
      <x:c r="I482" s="52" t="n">
        <x:v>20.579456</x:v>
      </x:c>
      <x:c r="J482" s="52" t="n">
        <x:v>-100.413891</x:v>
      </x:c>
      <x:c r="K482" s="45" t="str">
        <x:v>Drive_Thru</x:v>
      </x:c>
      <x:c r="L482" s="45" t="str">
        <x:v>Transfers</x:v>
      </x:c>
      <x:c r="M482" s="45" t="str">
        <x:v>C2</x:v>
      </x:c>
      <x:c r="N482" s="45" t="str">
        <x:v>Sí</x:v>
      </x:c>
      <x:c r="O482" s="45" t="str">
        <x:v>Mauricio Sour Romero</x:v>
      </x:c>
      <x:c r="P482" s="45" t="str">
        <x:v>Ops y Directorio Alsea · octubre 2026</x:v>
      </x:c>
      <x:c r="Q482" s="45" t="str">
        <x:v>Puntos proporcionados</x:v>
      </x:c>
      <x:c r="R482" s="45" t="str">
        <x:v>Abierta</x:v>
      </x:c>
      <x:c r="S482" s="45" t="str"/>
      <x:c r="T482" s="45" t="n">
        <x:f>IF(AND(OR(E482="Abierta",E482="Próxima Apertura"),N482="Sí",ISNUMBER(I482),ISNUMBER(J482),ABS(I482)&lt;=90,ABS(J482)&lt;=180),1,0)</x:f>
        <x:v>1</x:v>
      </x:c>
    </x:row>
    <x:row r="483" ht="23" customHeight="1">
      <x:c r="A483" s="45" t="str">
        <x:v>Bajío</x:v>
      </x:c>
      <x:c r="B483" s="45" t="str">
        <x:v>Mauricio Sour Romero</x:v>
      </x:c>
      <x:c r="C483" s="50" t="str">
        <x:v>43199</x:v>
      </x:c>
      <x:c r="D483" s="45" t="str">
        <x:v>El Condado Qro</x:v>
      </x:c>
      <x:c r="E483" s="45" t="str">
        <x:v>Abierta</x:v>
      </x:c>
      <x:c r="F483" s="51" t="d">
        <x:v>2026-09-20T00:00:00.000Z</x:v>
      </x:c>
      <x:c r="G483" s="45" t="str">
        <x:v>El pueblito Qro</x:v>
      </x:c>
      <x:c r="H483" s="45" t="str">
        <x:v>Querétaro</x:v>
      </x:c>
      <x:c r="I483" s="52" t="n">
        <x:v>20.507651</x:v>
      </x:c>
      <x:c r="J483" s="52" t="n">
        <x:v>-100.40367</x:v>
      </x:c>
      <x:c r="K483" s="45" t="str">
        <x:v>Drive Thue</x:v>
      </x:c>
      <x:c r="L483" s="45" t="str">
        <x:v>Transfers</x:v>
      </x:c>
      <x:c r="M483" s="45" t="str">
        <x:v>C2</x:v>
      </x:c>
      <x:c r="N483" s="45" t="str">
        <x:v>Sí</x:v>
      </x:c>
      <x:c r="O483" s="45" t="str">
        <x:v>Mauricio Sour Romero</x:v>
      </x:c>
      <x:c r="P483" s="45" t="str">
        <x:v>Ops y Directorio Alsea · octubre 2026</x:v>
      </x:c>
      <x:c r="Q483" s="45" t="str">
        <x:v>Directorio Alsea octubre 2026</x:v>
      </x:c>
      <x:c r="R483" s="45" t="str">
        <x:v>Abierta</x:v>
      </x:c>
      <x:c r="S483" s="45" t="str"/>
      <x:c r="T483" s="45" t="n">
        <x:f>IF(AND(OR(E483="Abierta",E483="Próxima Apertura"),N483="Sí",ISNUMBER(I483),ISNUMBER(J483),ABS(I483)&lt;=90,ABS(J483)&lt;=180),1,0)</x:f>
        <x:v>1</x:v>
      </x:c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</x:row>
  </x:sheetData>
  <x:conditionalFormatting sqref="A2:A483">
    <x:cfRule type="expression" dxfId="30" priority="1">
      <x:formula>$A2="Centro Norte"</x:formula>
    </x:cfRule>
    <x:cfRule type="expression" dxfId="31" priority="2">
      <x:formula>$A2="Centro Sur"</x:formula>
    </x:cfRule>
    <x:cfRule type="expression" dxfId="32" priority="3">
      <x:formula>$A2="Centro Poniente"</x:formula>
    </x:cfRule>
    <x:cfRule type="expression" dxfId="33" priority="4">
      <x:formula>$A2="Centro Centro"</x:formula>
    </x:cfRule>
    <x:cfRule type="expression" dxfId="34" priority="5">
      <x:formula>$A2="Bajío"</x:formula>
    </x:cfRule>
  </x:conditionalFormatting>
  <x:dataValidations count="6">
    <x:dataValidation type="list" sqref="A2:A483">
      <x:formula1>'Catalogos'!$F$2:$F$6</x:formula1>
    </x:dataValidation>
    <x:dataValidation type="list" sqref="B2:B483">
      <x:formula1>OFFSET('Catalogos'!$B$2,MATCH($A2,'Catalogos'!$A$2:$A$41,0)-1,0,COUNTIFS('Catalogos'!$A$2:$A$41,$A2),1)</x:formula1>
    </x:dataValidation>
    <x:dataValidation type="list" sqref="E2:E483">
      <x:formula1>"Abierta,Próxima Apertura,Cierre Temporal,Cierre Definitivo,Por validar"</x:formula1>
    </x:dataValidation>
    <x:dataValidation type="list" sqref="N2:N483">
      <x:formula1>"Sí,No"</x:formula1>
    </x:dataValidation>
    <x:dataValidation type="decimal" operator="between" sqref="I2:I483">
      <x:formula1>-90</x:formula1>
      <x:formula2>90</x:formula2>
    </x:dataValidation>
    <x:dataValidation type="decimal" operator="between" sqref="J2:J483">
      <x:formula1>-180</x:formula1>
      <x:formula2>180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e5d848d9e274f6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10" defaultColWidth="8.6640625" defaultRowHeight="14"/>
  <x:cols>
    <x:col min="1" max="1" width="13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1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5" width="5.9140625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14" max="14" width="13" hidden="0" customWidth="1"/>
    <x:col min="15" max="15" width="13" hidden="0" customWidth="1"/>
    <x:col min="21" max="21" width="16" hidden="0" customWidth="1"/>
    <x:col min="22" max="22" width="16" hidden="0" customWidth="1"/>
    <x:col min="23" max="23" width="13" hidden="0" customWidth="1"/>
    <x:col min="24" max="24" width="13" hidden="0" customWidth="1"/>
    <x:col min="25" max="25" width="32" hidden="0" customWidth="1"/>
    <x:col min="26" max="26" width="45" hidden="0" customWidth="1"/>
    <x:col min="27" max="27" width="68" hidden="0" customWidth="1"/>
  </x:cols>
  <x:sheetData>
    <x:row r="1" ht="35" customHeight="1">
      <x:c r="A1" s="107" t="str">
        <x:v>CC</x:v>
      </x:c>
      <x:c r="B1" s="107" t="str">
        <x:v>Corte YTD</x:v>
      </x:c>
      <x:c r="C1" s="107" t="str">
        <x:v>Rolling</x:v>
      </x:c>
      <x:c r="D1" s="107" t="str">
        <x:v>TPLH</x:v>
      </x:c>
      <x:c r="E1" s="107" t="str">
        <x:v>IPLH</x:v>
      </x:c>
      <x:c r="F1" s="107" t="str">
        <x:v>Labor</x:v>
      </x:c>
      <x:c r="G1" s="107" t="str">
        <x:v>Dif Labor</x:v>
      </x:c>
      <x:c r="H1" s="107" t="str">
        <x:v>Ventas MXN</x:v>
      </x:c>
      <x:c r="I1" s="107" t="str">
        <x:v>Dif Ppto</x:v>
      </x:c>
      <x:c r="J1" s="107" t="str">
        <x:v>OMT</x:v>
      </x:c>
      <x:c r="K1" s="107" t="str">
        <x:v>NPS</x:v>
      </x:c>
      <x:c r="L1" s="107" t="str">
        <x:v>Conexión</x:v>
      </x:c>
      <x:c r="M1" s="107" t="str">
        <x:v>Bebida</x:v>
      </x:c>
      <x:c r="N1" s="107" t="str">
        <x:v>CTC</x:v>
      </x:c>
      <x:c r="O1" s="107" t="str">
        <x:v>Costo</x:v>
      </x:c>
      <x:c r="P1" s="107" t="str">
        <x:v>Dif Costo</x:v>
      </x:c>
      <x:c r="Q1" s="107" t="str">
        <x:v>EBITDA</x:v>
      </x:c>
      <x:c r="R1" s="107" t="str">
        <x:v>Dif EBITDA</x:v>
      </x:c>
      <x:c r="S1" s="107" t="str">
        <x:v>DT Time</x:v>
      </x:c>
      <x:c r="T1" s="107" t="str">
        <x:v>Tiempo DT AA</x:v>
      </x:c>
      <x:c r="U1" s="107" t="str">
        <x:v>Corte Perfil</x:v>
      </x:c>
      <x:c r="V1" s="107" t="str">
        <x:v>Corte Negocio</x:v>
      </x:c>
      <x:c r="W1" s="107" t="str">
        <x:v>Meses Perfil</x:v>
      </x:c>
      <x:c r="X1" s="107" t="str">
        <x:v>Meses Negocio</x:v>
      </x:c>
      <x:c r="Y1" s="107" t="str">
        <x:v>Fuente Indicadores</x:v>
      </x:c>
      <x:c r="Z1" s="107" t="str">
        <x:v>Fuente Commit</x:v>
      </x:c>
      <x:c r="AA1" s="107" t="str">
        <x:v>Fuente SHA256</x:v>
      </x:c>
    </x:row>
    <x:row r="2" ht="23" customHeight="1">
      <x:c r="A2" s="50" t="str">
        <x:v>38333</x:v>
      </x:c>
      <x:c r="B2" s="108" t="d">
        <x:v>2026-09-30T00:00:00.000Z</x:v>
      </x:c>
      <x:c r="C2" s="99" t="n">
        <x:v>0.226415</x:v>
      </x:c>
      <x:c r="D2" s="100" t="n">
        <x:v>6.397137555555556</x:v>
      </x:c>
      <x:c r="E2" s="100" t="n">
        <x:v>16.304401111111112</x:v>
      </x:c>
      <x:c r="F2" s="99" t="n">
        <x:v>0.13600033333333333</x:v>
      </x:c>
      <x:c r="G2" s="99" t="n">
        <x:v>0.0019495555555555594</x:v>
      </x:c>
      <x:c r="H2" s="101" t="n">
        <x:v>21360902</x:v>
      </x:c>
      <x:c r="I2" s="99" t="n">
        <x:v>-0.10287279755295575</x:v>
      </x:c>
      <x:c r="J2" s="100" t="n">
        <x:v>-24.555555555555557</x:v>
      </x:c>
      <x:c r="K2" s="100"/>
      <x:c r="L2" s="99" t="n">
        <x:v>0.5292222222222223</x:v>
      </x:c>
      <x:c r="M2" s="99" t="n">
        <x:v>0.6422222222222222</x:v>
      </x:c>
      <x:c r="N2" s="99"/>
      <x:c r="O2" s="99" t="n">
        <x:v>0.352982</x:v>
      </x:c>
      <x:c r="P2" s="99" t="n">
        <x:v>-0.00222122222222222</x:v>
      </x:c>
      <x:c r="Q2" s="99" t="n">
        <x:v>0.2511112222222222</x:v>
      </x:c>
      <x:c r="R2" s="99" t="n">
        <x:v>-0.011490333333333332</x:v>
      </x:c>
      <x:c r="S2" s="45"/>
      <x:c r="T2" s="45"/>
      <x:c r="U2" s="51" t="d">
        <x:v>2026-09-30T00:00:00.000Z</x:v>
      </x:c>
      <x:c r="V2" s="51" t="d">
        <x:v>2026-09-30T00:00:00.000Z</x:v>
      </x:c>
      <x:c r="W2" s="109" t="n">
        <x:v>9</x:v>
      </x:c>
      <x:c r="X2" s="109" t="n">
        <x:v>9</x:v>
      </x:c>
      <x:c r="Y2" s="45" t="str">
        <x:v>sbx-mex/Perfil_Tienda_DM</x:v>
      </x:c>
      <x:c r="Z2" s="45" t="str">
        <x:v>2a6b0d21379739482f0b4c7be9b0f9a022e15f5b</x:v>
      </x:c>
      <x:c r="AA2" s="45" t="str">
        <x:v>8456a41c5e02d454e70a2531577ffb2e29f73e57e44a7762de681d568aa4227a</x:v>
      </x:c>
    </x:row>
    <x:row r="3" ht="23" customHeight="1">
      <x:c r="A3" s="50" t="str">
        <x:v>38339</x:v>
      </x:c>
      <x:c r="B3" s="108" t="d">
        <x:v>2026-09-30T00:00:00.000Z</x:v>
      </x:c>
      <x:c r="C3" s="99" t="n">
        <x:v>0.268156</x:v>
      </x:c>
      <x:c r="D3" s="100" t="n">
        <x:v>5.994949888888889</x:v>
      </x:c>
      <x:c r="E3" s="100" t="n">
        <x:v>15.470023555555555</x:v>
      </x:c>
      <x:c r="F3" s="99" t="n">
        <x:v>0.1374737777777778</x:v>
      </x:c>
      <x:c r="G3" s="99" t="n">
        <x:v>0.011493000000000003</x:v>
      </x:c>
      <x:c r="H3" s="101" t="n">
        <x:v>19165562</x:v>
      </x:c>
      <x:c r="I3" s="99" t="n">
        <x:v>-0.08545321658066429</x:v>
      </x:c>
      <x:c r="J3" s="100" t="n">
        <x:v>-11.555555555555555</x:v>
      </x:c>
      <x:c r="K3" s="100"/>
      <x:c r="L3" s="99" t="n">
        <x:v>0.5671111111111111</x:v>
      </x:c>
      <x:c r="M3" s="99" t="n">
        <x:v>0.6933333333333334</x:v>
      </x:c>
      <x:c r="N3" s="99"/>
      <x:c r="O3" s="99" t="n">
        <x:v>0.3480904444444444</x:v>
      </x:c>
      <x:c r="P3" s="99" t="n">
        <x:v>0.0011295555555555564</x:v>
      </x:c>
      <x:c r="Q3" s="99" t="n">
        <x:v>0.2566785555555555</x:v>
      </x:c>
      <x:c r="R3" s="99" t="n">
        <x:v>-0.011973555555555552</x:v>
      </x:c>
      <x:c r="S3" s="45"/>
      <x:c r="T3" s="45"/>
      <x:c r="U3" s="51" t="d">
        <x:v>2026-09-30T00:00:00.000Z</x:v>
      </x:c>
      <x:c r="V3" s="51" t="d">
        <x:v>2026-09-30T00:00:00.000Z</x:v>
      </x:c>
      <x:c r="W3" s="109" t="n">
        <x:v>9</x:v>
      </x:c>
      <x:c r="X3" s="109" t="n">
        <x:v>9</x:v>
      </x:c>
      <x:c r="Y3" s="45" t="str">
        <x:v>sbx-mex/Perfil_Tienda_DM</x:v>
      </x:c>
      <x:c r="Z3" s="45" t="str">
        <x:v>2a6b0d21379739482f0b4c7be9b0f9a022e15f5b</x:v>
      </x:c>
      <x:c r="AA3" s="45" t="str">
        <x:v>8456a41c5e02d454e70a2531577ffb2e29f73e57e44a7762de681d568aa4227a</x:v>
      </x:c>
    </x:row>
    <x:row r="4" ht="23" customHeight="1">
      <x:c r="A4" s="50" t="str">
        <x:v>38368</x:v>
      </x:c>
      <x:c r="B4" s="108" t="d">
        <x:v>2026-09-30T00:00:00.000Z</x:v>
      </x:c>
      <x:c r="C4" s="99" t="n">
        <x:v>0.375</x:v>
      </x:c>
      <x:c r="D4" s="100" t="n">
        <x:v>6.632871555555556</x:v>
      </x:c>
      <x:c r="E4" s="100" t="n">
        <x:v>15.414569333333333</x:v>
      </x:c>
      <x:c r="F4" s="99" t="n">
        <x:v>0.15014311111111112</x:v>
      </x:c>
      <x:c r="G4" s="99" t="n">
        <x:v>0.021760111111111112</x:v>
      </x:c>
      <x:c r="H4" s="101" t="n">
        <x:v>18552363</x:v>
      </x:c>
      <x:c r="I4" s="99" t="n">
        <x:v>-0.11654712024813252</x:v>
      </x:c>
      <x:c r="J4" s="100" t="n">
        <x:v>-4.555555555555555</x:v>
      </x:c>
      <x:c r="K4" s="100"/>
      <x:c r="L4" s="99" t="n">
        <x:v>0.4991111111111111</x:v>
      </x:c>
      <x:c r="M4" s="99" t="n">
        <x:v>0.6577777777777778</x:v>
      </x:c>
      <x:c r="N4" s="99"/>
      <x:c r="O4" s="99" t="n">
        <x:v>0.342357</x:v>
      </x:c>
      <x:c r="P4" s="99" t="n">
        <x:v>-0.008449666666666664</x:v>
      </x:c>
      <x:c r="Q4" s="99" t="n">
        <x:v>0.2690032222222222</x:v>
      </x:c>
      <x:c r="R4" s="99" t="n">
        <x:v>-0.02754922222222222</x:v>
      </x:c>
      <x:c r="S4" s="45"/>
      <x:c r="T4" s="45"/>
      <x:c r="U4" s="51" t="d">
        <x:v>2026-09-30T00:00:00.000Z</x:v>
      </x:c>
      <x:c r="V4" s="51" t="d">
        <x:v>2026-09-30T00:00:00.000Z</x:v>
      </x:c>
      <x:c r="W4" s="109" t="n">
        <x:v>9</x:v>
      </x:c>
      <x:c r="X4" s="109" t="n">
        <x:v>9</x:v>
      </x:c>
      <x:c r="Y4" s="45" t="str">
        <x:v>sbx-mex/Perfil_Tienda_DM</x:v>
      </x:c>
      <x:c r="Z4" s="45" t="str">
        <x:v>2a6b0d21379739482f0b4c7be9b0f9a022e15f5b</x:v>
      </x:c>
      <x:c r="AA4" s="45" t="str">
        <x:v>8456a41c5e02d454e70a2531577ffb2e29f73e57e44a7762de681d568aa4227a</x:v>
      </x:c>
    </x:row>
    <x:row r="5" ht="23" customHeight="1">
      <x:c r="A5" s="50" t="str">
        <x:v>38401</x:v>
      </x:c>
      <x:c r="B5" s="108" t="d">
        <x:v>2026-09-30T00:00:00.000Z</x:v>
      </x:c>
      <x:c r="C5" s="99" t="n">
        <x:v>0.111111</x:v>
      </x:c>
      <x:c r="D5" s="100" t="n">
        <x:v>5.603226444444444</x:v>
      </x:c>
      <x:c r="E5" s="100" t="n">
        <x:v>14.318069444444445</x:v>
      </x:c>
      <x:c r="F5" s="99" t="n">
        <x:v>0.16337433333333334</x:v>
      </x:c>
      <x:c r="G5" s="99" t="n">
        <x:v>0.003435111111111108</x:v>
      </x:c>
      <x:c r="H5" s="101" t="n">
        <x:v>9893940</x:v>
      </x:c>
      <x:c r="I5" s="99" t="n">
        <x:v>-0.07088657692710676</x:v>
      </x:c>
      <x:c r="J5" s="100" t="n">
        <x:v>-16.333333333333332</x:v>
      </x:c>
      <x:c r="K5" s="100"/>
      <x:c r="L5" s="99" t="n">
        <x:v>0.6128888888888889</x:v>
      </x:c>
      <x:c r="M5" s="99" t="n">
        <x:v>0.6922222222222223</x:v>
      </x:c>
      <x:c r="N5" s="99"/>
      <x:c r="O5" s="99" t="n">
        <x:v>0.3634528888888889</x:v>
      </x:c>
      <x:c r="P5" s="99" t="n">
        <x:v>-0.011912333333333346</x:v>
      </x:c>
      <x:c r="Q5" s="99" t="n">
        <x:v>0.16367622222222222</x:v>
      </x:c>
      <x:c r="R5" s="99" t="n">
        <x:v>-0.011856666666666663</x:v>
      </x:c>
      <x:c r="S5" s="45"/>
      <x:c r="T5" s="45"/>
      <x:c r="U5" s="51" t="d">
        <x:v>2026-09-30T00:00:00.000Z</x:v>
      </x:c>
      <x:c r="V5" s="51" t="d">
        <x:v>2026-09-30T00:00:00.000Z</x:v>
      </x:c>
      <x:c r="W5" s="109" t="n">
        <x:v>9</x:v>
      </x:c>
      <x:c r="X5" s="109" t="n">
        <x:v>9</x:v>
      </x:c>
      <x:c r="Y5" s="45" t="str">
        <x:v>sbx-mex/Perfil_Tienda_DM</x:v>
      </x:c>
      <x:c r="Z5" s="45" t="str">
        <x:v>2a6b0d21379739482f0b4c7be9b0f9a022e15f5b</x:v>
      </x:c>
      <x:c r="AA5" s="45" t="str">
        <x:v>8456a41c5e02d454e70a2531577ffb2e29f73e57e44a7762de681d568aa4227a</x:v>
      </x:c>
    </x:row>
    <x:row r="6" ht="23" customHeight="1">
      <x:c r="A6" s="50" t="str">
        <x:v>38456</x:v>
      </x:c>
      <x:c r="B6" s="108" t="d">
        <x:v>2026-09-30T00:00:00.000Z</x:v>
      </x:c>
      <x:c r="C6" s="99" t="n">
        <x:v>0.335664</x:v>
      </x:c>
      <x:c r="D6" s="100" t="n">
        <x:v>5.764989888888889</x:v>
      </x:c>
      <x:c r="E6" s="100" t="n">
        <x:v>14.917169999999999</x:v>
      </x:c>
      <x:c r="F6" s="99" t="n">
        <x:v>0.14583155555555555</x:v>
      </x:c>
      <x:c r="G6" s="99" t="n">
        <x:v>-0.009844333333333328</x:v>
      </x:c>
      <x:c r="H6" s="101" t="n">
        <x:v>14269595</x:v>
      </x:c>
      <x:c r="I6" s="99" t="n">
        <x:v>-0.005563293279431281</x:v>
      </x:c>
      <x:c r="J6" s="100" t="n">
        <x:v>-11.222222222222221</x:v>
      </x:c>
      <x:c r="K6" s="100"/>
      <x:c r="L6" s="99" t="n">
        <x:v>0.6183333333333334</x:v>
      </x:c>
      <x:c r="M6" s="99" t="n">
        <x:v>0.7211111111111111</x:v>
      </x:c>
      <x:c r="N6" s="99"/>
      <x:c r="O6" s="99" t="n">
        <x:v>0.3489024444444444</x:v>
      </x:c>
      <x:c r="P6" s="99" t="n">
        <x:v>-0.003794111111111103</x:v>
      </x:c>
      <x:c r="Q6" s="99" t="n">
        <x:v>0.25005866666666665</x:v>
      </x:c>
      <x:c r="R6" s="99" t="n">
        <x:v>0.007948111111111109</x:v>
      </x:c>
      <x:c r="S6" s="45"/>
      <x:c r="T6" s="45"/>
      <x:c r="U6" s="51" t="d">
        <x:v>2026-09-30T00:00:00.000Z</x:v>
      </x:c>
      <x:c r="V6" s="51" t="d">
        <x:v>2026-09-30T00:00:00.000Z</x:v>
      </x:c>
      <x:c r="W6" s="109" t="n">
        <x:v>9</x:v>
      </x:c>
      <x:c r="X6" s="109" t="n">
        <x:v>9</x:v>
      </x:c>
      <x:c r="Y6" s="45" t="str">
        <x:v>sbx-mex/Perfil_Tienda_DM</x:v>
      </x:c>
      <x:c r="Z6" s="45" t="str">
        <x:v>2a6b0d21379739482f0b4c7be9b0f9a022e15f5b</x:v>
      </x:c>
      <x:c r="AA6" s="45" t="str">
        <x:v>8456a41c5e02d454e70a2531577ffb2e29f73e57e44a7762de681d568aa4227a</x:v>
      </x:c>
    </x:row>
    <x:row r="7" ht="23" customHeight="1">
      <x:c r="A7" s="50" t="str">
        <x:v>38515</x:v>
      </x:c>
      <x:c r="B7" s="108" t="d">
        <x:v>2026-09-30T00:00:00.000Z</x:v>
      </x:c>
      <x:c r="C7" s="99" t="n">
        <x:v>0.201117</x:v>
      </x:c>
      <x:c r="D7" s="100" t="n">
        <x:v>5.7763349999999996</x:v>
      </x:c>
      <x:c r="E7" s="100" t="n">
        <x:v>15.27698688888889</x:v>
      </x:c>
      <x:c r="F7" s="99" t="n">
        <x:v>0.15165277777777778</x:v>
      </x:c>
      <x:c r="G7" s="99" t="n">
        <x:v>-0.012940666666666665</x:v>
      </x:c>
      <x:c r="H7" s="101" t="n">
        <x:v>16306109</x:v>
      </x:c>
      <x:c r="I7" s="99" t="n">
        <x:v>0.017630732754939205</x:v>
      </x:c>
      <x:c r="J7" s="100" t="n">
        <x:v>14.11111111111111</x:v>
      </x:c>
      <x:c r="K7" s="100"/>
      <x:c r="L7" s="99" t="n">
        <x:v>0.5775555555555556</x:v>
      </x:c>
      <x:c r="M7" s="99" t="n">
        <x:v>0.6822222222222223</x:v>
      </x:c>
      <x:c r="N7" s="99"/>
      <x:c r="O7" s="99" t="n">
        <x:v>0.37086855555555553</x:v>
      </x:c>
      <x:c r="P7" s="99" t="n">
        <x:v>-0.010391555555555555</x:v>
      </x:c>
      <x:c r="Q7" s="99" t="n">
        <x:v>0.20535822222222222</x:v>
      </x:c>
      <x:c r="R7" s="99" t="n">
        <x:v>0.014630666666666665</x:v>
      </x:c>
      <x:c r="S7" s="45"/>
      <x:c r="T7" s="45"/>
      <x:c r="U7" s="51" t="d">
        <x:v>2026-09-30T00:00:00.000Z</x:v>
      </x:c>
      <x:c r="V7" s="51" t="d">
        <x:v>2026-09-30T00:00:00.000Z</x:v>
      </x:c>
      <x:c r="W7" s="109" t="n">
        <x:v>9</x:v>
      </x:c>
      <x:c r="X7" s="109" t="n">
        <x:v>9</x:v>
      </x:c>
      <x:c r="Y7" s="45" t="str">
        <x:v>sbx-mex/Perfil_Tienda_DM</x:v>
      </x:c>
      <x:c r="Z7" s="45" t="str">
        <x:v>2a6b0d21379739482f0b4c7be9b0f9a022e15f5b</x:v>
      </x:c>
      <x:c r="AA7" s="45" t="str">
        <x:v>8456a41c5e02d454e70a2531577ffb2e29f73e57e44a7762de681d568aa4227a</x:v>
      </x:c>
    </x:row>
    <x:row r="8" ht="23" customHeight="1">
      <x:c r="A8" s="50" t="str">
        <x:v>38604</x:v>
      </x:c>
      <x:c r="B8" s="108" t="d">
        <x:v>2026-09-30T00:00:00.000Z</x:v>
      </x:c>
      <x:c r="C8" s="99" t="n">
        <x:v>0.120603</x:v>
      </x:c>
      <x:c r="D8" s="100" t="n">
        <x:v>5.766666444444444</x:v>
      </x:c>
      <x:c r="E8" s="100" t="n">
        <x:v>14.60877611111111</x:v>
      </x:c>
      <x:c r="F8" s="99" t="n">
        <x:v>0.142988</x:v>
      </x:c>
      <x:c r="G8" s="99" t="n">
        <x:v>0.015060333333333342</x:v>
      </x:c>
      <x:c r="H8" s="101" t="n">
        <x:v>18844645</x:v>
      </x:c>
      <x:c r="I8" s="99" t="n">
        <x:v>-0.1534409984218431</x:v>
      </x:c>
      <x:c r="J8" s="100" t="n">
        <x:v>-53.888888888888886</x:v>
      </x:c>
      <x:c r="K8" s="100"/>
      <x:c r="L8" s="99" t="n">
        <x:v>0.6023333333333333</x:v>
      </x:c>
      <x:c r="M8" s="99" t="n">
        <x:v>0.6755555555555556</x:v>
      </x:c>
      <x:c r="N8" s="99"/>
      <x:c r="O8" s="99" t="n">
        <x:v>0.3598143333333333</x:v>
      </x:c>
      <x:c r="P8" s="99" t="n">
        <x:v>-0.002749666666666675</x:v>
      </x:c>
      <x:c r="Q8" s="99" t="n">
        <x:v>0.22715866666666665</x:v>
      </x:c>
      <x:c r="R8" s="99" t="n">
        <x:v>-0.046035</x:v>
      </x:c>
      <x:c r="S8" s="45"/>
      <x:c r="T8" s="45"/>
      <x:c r="U8" s="51" t="d">
        <x:v>2026-09-30T00:00:00.000Z</x:v>
      </x:c>
      <x:c r="V8" s="51" t="d">
        <x:v>2026-09-30T00:00:00.000Z</x:v>
      </x:c>
      <x:c r="W8" s="109" t="n">
        <x:v>9</x:v>
      </x:c>
      <x:c r="X8" s="109" t="n">
        <x:v>9</x:v>
      </x:c>
      <x:c r="Y8" s="45" t="str">
        <x:v>sbx-mex/Perfil_Tienda_DM</x:v>
      </x:c>
      <x:c r="Z8" s="45" t="str">
        <x:v>2a6b0d21379739482f0b4c7be9b0f9a022e15f5b</x:v>
      </x:c>
      <x:c r="AA8" s="45" t="str">
        <x:v>8456a41c5e02d454e70a2531577ffb2e29f73e57e44a7762de681d568aa4227a</x:v>
      </x:c>
    </x:row>
    <x:row r="9" ht="23" customHeight="1">
      <x:c r="A9" s="50" t="str">
        <x:v>38862</x:v>
      </x:c>
      <x:c r="B9" s="108" t="d">
        <x:v>2026-09-30T00:00:00.000Z</x:v>
      </x:c>
      <x:c r="C9" s="99" t="n">
        <x:v>0.258065</x:v>
      </x:c>
      <x:c r="D9" s="100" t="n">
        <x:v>7.040295777777778</x:v>
      </x:c>
      <x:c r="E9" s="100" t="n">
        <x:v>17.516899666666667</x:v>
      </x:c>
      <x:c r="F9" s="99" t="n">
        <x:v>0.13639522222222222</x:v>
      </x:c>
      <x:c r="G9" s="99" t="n">
        <x:v>0.0072623333333333324</x:v>
      </x:c>
      <x:c r="H9" s="101" t="n">
        <x:v>20029054</x:v>
      </x:c>
      <x:c r="I9" s="99" t="n">
        <x:v>-0.02355400622598791</x:v>
      </x:c>
      <x:c r="J9" s="100" t="n">
        <x:v>5.111111111111111</x:v>
      </x:c>
      <x:c r="K9" s="100"/>
      <x:c r="L9" s="99" t="n">
        <x:v>0.5467777777777778</x:v>
      </x:c>
      <x:c r="M9" s="99" t="n">
        <x:v>0.6744444444444445</x:v>
      </x:c>
      <x:c r="N9" s="99"/>
      <x:c r="O9" s="99" t="n">
        <x:v>0.35225388888888887</x:v>
      </x:c>
      <x:c r="P9" s="99" t="n">
        <x:v>-0.006903888888888888</x:v>
      </x:c>
      <x:c r="Q9" s="99" t="n">
        <x:v>0.2607767777777778</x:v>
      </x:c>
      <x:c r="R9" s="99" t="n">
        <x:v>-0.014241777777777777</x:v>
      </x:c>
      <x:c r="S9" s="45"/>
      <x:c r="T9" s="45"/>
      <x:c r="U9" s="51" t="d">
        <x:v>2026-09-30T00:00:00.000Z</x:v>
      </x:c>
      <x:c r="V9" s="51" t="d">
        <x:v>2026-09-30T00:00:00.000Z</x:v>
      </x:c>
      <x:c r="W9" s="109" t="n">
        <x:v>9</x:v>
      </x:c>
      <x:c r="X9" s="109" t="n">
        <x:v>9</x:v>
      </x:c>
      <x:c r="Y9" s="45" t="str">
        <x:v>sbx-mex/Perfil_Tienda_DM</x:v>
      </x:c>
      <x:c r="Z9" s="45" t="str">
        <x:v>2a6b0d21379739482f0b4c7be9b0f9a022e15f5b</x:v>
      </x:c>
      <x:c r="AA9" s="45" t="str">
        <x:v>8456a41c5e02d454e70a2531577ffb2e29f73e57e44a7762de681d568aa4227a</x:v>
      </x:c>
    </x:row>
    <x:row r="10" ht="23" customHeight="1">
      <x:c r="A10" s="50" t="str">
        <x:v>38894</x:v>
      </x:c>
      <x:c r="B10" s="108" t="d">
        <x:v>2026-09-30T00:00:00.000Z</x:v>
      </x:c>
      <x:c r="C10" s="99" t="n">
        <x:v>0.202247</x:v>
      </x:c>
      <x:c r="D10" s="100" t="n">
        <x:v>6.509030444444445</x:v>
      </x:c>
      <x:c r="E10" s="100" t="n">
        <x:v>16.742216</x:v>
      </x:c>
      <x:c r="F10" s="99" t="n">
        <x:v>0.14579577777777777</x:v>
      </x:c>
      <x:c r="G10" s="99" t="n">
        <x:v>0.006610666666666663</x:v>
      </x:c>
      <x:c r="H10" s="101" t="n">
        <x:v>17000556</x:v>
      </x:c>
      <x:c r="I10" s="99" t="n">
        <x:v>-0.048007433483796214</x:v>
      </x:c>
      <x:c r="J10" s="100" t="n">
        <x:v>8.88888888888889</x:v>
      </x:c>
      <x:c r="K10" s="100"/>
      <x:c r="L10" s="99" t="n">
        <x:v>0.5265555555555556</x:v>
      </x:c>
      <x:c r="M10" s="99" t="n">
        <x:v>0.6266666666666666</x:v>
      </x:c>
      <x:c r="N10" s="99"/>
      <x:c r="O10" s="99" t="n">
        <x:v>0.36259122222222223</x:v>
      </x:c>
      <x:c r="P10" s="99" t="n">
        <x:v>-0.0007057777777777744</x:v>
      </x:c>
      <x:c r="Q10" s="99" t="n">
        <x:v>0.21594411111111111</x:v>
      </x:c>
      <x:c r="R10" s="99" t="n">
        <x:v>-0.012012000000000002</x:v>
      </x:c>
      <x:c r="S10" s="45"/>
      <x:c r="T10" s="45"/>
      <x:c r="U10" s="51" t="d">
        <x:v>2026-09-30T00:00:00.000Z</x:v>
      </x:c>
      <x:c r="V10" s="51" t="d">
        <x:v>2026-09-30T00:00:00.000Z</x:v>
      </x:c>
      <x:c r="W10" s="109" t="n">
        <x:v>9</x:v>
      </x:c>
      <x:c r="X10" s="109" t="n">
        <x:v>9</x:v>
      </x:c>
      <x:c r="Y10" s="45" t="str">
        <x:v>sbx-mex/Perfil_Tienda_DM</x:v>
      </x:c>
      <x:c r="Z10" s="45" t="str">
        <x:v>2a6b0d21379739482f0b4c7be9b0f9a022e15f5b</x:v>
      </x:c>
      <x:c r="AA10" s="45" t="str">
        <x:v>8456a41c5e02d454e70a2531577ffb2e29f73e57e44a7762de681d568aa4227a</x:v>
      </x:c>
    </x:row>
    <x:row r="11" ht="23" customHeight="1">
      <x:c r="A11" s="50" t="str">
        <x:v>43193</x:v>
      </x:c>
      <x:c r="B11" s="108" t="d">
        <x:v>2026-09-30T00:00:00.000Z</x:v>
      </x:c>
      <x:c r="C11" s="99" t="n">
        <x:v>0.130435</x:v>
      </x:c>
      <x:c r="D11" s="100" t="n">
        <x:v>6.110524333333334</x:v>
      </x:c>
      <x:c r="E11" s="100" t="n">
        <x:v>13.679646666666667</x:v>
      </x:c>
      <x:c r="F11" s="99" t="n">
        <x:v>0.17095233333333332</x:v>
      </x:c>
      <x:c r="G11" s="99" t="n">
        <x:v>-0.04854733333333334</x:v>
      </x:c>
      <x:c r="H11" s="101" t="n">
        <x:v>8495083</x:v>
      </x:c>
      <x:c r="I11" s="99" t="n">
        <x:v>0.08095575175993819</x:v>
      </x:c>
      <x:c r="J11" s="100"/>
      <x:c r="K11" s="100"/>
      <x:c r="L11" s="99" t="n">
        <x:v>0.7178888888888889</x:v>
      </x:c>
      <x:c r="M11" s="99" t="n">
        <x:v>0.7788888888888889</x:v>
      </x:c>
      <x:c r="N11" s="99"/>
      <x:c r="O11" s="99" t="n">
        <x:v>0.37303055555555553</x:v>
      </x:c>
      <x:c r="P11" s="99" t="n">
        <x:v>0.04378033333333333</x:v>
      </x:c>
      <x:c r="Q11" s="99" t="n">
        <x:v>0.17033122222222222</x:v>
      </x:c>
      <x:c r="R11" s="99" t="n">
        <x:v>-0.10851988888888889</x:v>
      </x:c>
      <x:c r="S11" s="45"/>
      <x:c r="T11" s="45"/>
      <x:c r="U11" s="51" t="d">
        <x:v>2026-09-30T00:00:00.000Z</x:v>
      </x:c>
      <x:c r="V11" s="51" t="d">
        <x:v>2026-09-30T00:00:00.000Z</x:v>
      </x:c>
      <x:c r="W11" s="109" t="n">
        <x:v>9</x:v>
      </x:c>
      <x:c r="X11" s="109" t="n">
        <x:v>9</x:v>
      </x:c>
      <x:c r="Y11" s="45" t="str">
        <x:v>sbx-mex/Perfil_Tienda_DM</x:v>
      </x:c>
      <x:c r="Z11" s="45" t="str">
        <x:v>2a6b0d21379739482f0b4c7be9b0f9a022e15f5b</x:v>
      </x:c>
      <x:c r="AA11" s="45" t="str">
        <x:v>8456a41c5e02d454e70a2531577ffb2e29f73e57e44a7762de681d568aa4227a</x:v>
      </x:c>
    </x:row>
    <x:row r="12" ht="23" customHeight="1">
      <x:c r="A12" s="50" t="str">
        <x:v>43300</x:v>
      </x:c>
      <x:c r="B12" s="108"/>
      <x:c r="C12" s="99"/>
      <x:c r="D12" s="100"/>
      <x:c r="E12" s="100"/>
      <x:c r="F12" s="99"/>
      <x:c r="G12" s="99"/>
      <x:c r="H12" s="101"/>
      <x:c r="I12" s="99"/>
      <x:c r="J12" s="100"/>
      <x:c r="K12" s="100"/>
      <x:c r="L12" s="99"/>
      <x:c r="M12" s="99"/>
      <x:c r="N12" s="99"/>
      <x:c r="O12" s="99"/>
      <x:c r="P12" s="99"/>
      <x:c r="Q12" s="99"/>
      <x:c r="R12" s="99"/>
      <x:c r="S12" s="45"/>
      <x:c r="T12" s="45"/>
      <x:c r="U12" s="51"/>
      <x:c r="V12" s="51"/>
      <x:c r="W12" s="109" t="n">
        <x:v>0</x:v>
      </x:c>
      <x:c r="X12" s="109" t="n">
        <x:v>0</x:v>
      </x:c>
      <x:c r="Y12" s="45"/>
      <x:c r="Z12" s="45"/>
      <x:c r="AA12" s="45"/>
    </x:row>
    <x:row r="13" ht="23" customHeight="1">
      <x:c r="A13" s="50" t="str">
        <x:v>43301</x:v>
      </x:c>
      <x:c r="B13" s="108"/>
      <x:c r="C13" s="99"/>
      <x:c r="D13" s="100"/>
      <x:c r="E13" s="100"/>
      <x:c r="F13" s="99"/>
      <x:c r="G13" s="99"/>
      <x:c r="H13" s="101"/>
      <x:c r="I13" s="99"/>
      <x:c r="J13" s="100"/>
      <x:c r="K13" s="100"/>
      <x:c r="L13" s="99"/>
      <x:c r="M13" s="99"/>
      <x:c r="N13" s="99"/>
      <x:c r="O13" s="99"/>
      <x:c r="P13" s="99"/>
      <x:c r="Q13" s="99"/>
      <x:c r="R13" s="99"/>
      <x:c r="S13" s="45"/>
      <x:c r="T13" s="45"/>
      <x:c r="U13" s="51"/>
      <x:c r="V13" s="51"/>
      <x:c r="W13" s="109" t="n">
        <x:v>0</x:v>
      </x:c>
      <x:c r="X13" s="109" t="n">
        <x:v>0</x:v>
      </x:c>
      <x:c r="Y13" s="45"/>
      <x:c r="Z13" s="45"/>
      <x:c r="AA13" s="45"/>
    </x:row>
    <x:row r="14" ht="23" customHeight="1">
      <x:c r="A14" s="50" t="str">
        <x:v>38136</x:v>
      </x:c>
      <x:c r="B14" s="108" t="d">
        <x:v>2026-09-30T00:00:00.000Z</x:v>
      </x:c>
      <x:c r="C14" s="99" t="n">
        <x:v>0.258993</x:v>
      </x:c>
      <x:c r="D14" s="100" t="n">
        <x:v>5.290715111111111</x:v>
      </x:c>
      <x:c r="E14" s="100" t="n">
        <x:v>14.634539444444442</x:v>
      </x:c>
      <x:c r="F14" s="99" t="n">
        <x:v>0.15388177777777778</x:v>
      </x:c>
      <x:c r="G14" s="99" t="n">
        <x:v>-0.023559888888888894</x:v>
      </x:c>
      <x:c r="H14" s="101" t="n">
        <x:v>13433815</x:v>
      </x:c>
      <x:c r="I14" s="99" t="n">
        <x:v>0.05312759209781914</x:v>
      </x:c>
      <x:c r="J14" s="100" t="n">
        <x:v>1</x:v>
      </x:c>
      <x:c r="K14" s="100"/>
      <x:c r="L14" s="99" t="n">
        <x:v>0.5630000000000001</x:v>
      </x:c>
      <x:c r="M14" s="99" t="n">
        <x:v>0.6655555555555556</x:v>
      </x:c>
      <x:c r="N14" s="99"/>
      <x:c r="O14" s="99" t="n">
        <x:v>0.3562208888888889</x:v>
      </x:c>
      <x:c r="P14" s="99" t="n">
        <x:v>-0.008559444444444434</x:v>
      </x:c>
      <x:c r="Q14" s="99" t="n">
        <x:v>0.19945733333333332</x:v>
      </x:c>
      <x:c r="R14" s="99" t="n">
        <x:v>0.162445</x:v>
      </x:c>
      <x:c r="S14" s="45"/>
      <x:c r="T14" s="45"/>
      <x:c r="U14" s="51" t="d">
        <x:v>2026-09-30T00:00:00.000Z</x:v>
      </x:c>
      <x:c r="V14" s="51" t="d">
        <x:v>2026-09-30T00:00:00.000Z</x:v>
      </x:c>
      <x:c r="W14" s="109" t="n">
        <x:v>9</x:v>
      </x:c>
      <x:c r="X14" s="109" t="n">
        <x:v>9</x:v>
      </x:c>
      <x:c r="Y14" s="45" t="str">
        <x:v>sbx-mex/Perfil_Tienda_DM</x:v>
      </x:c>
      <x:c r="Z14" s="45" t="str">
        <x:v>2a6b0d21379739482f0b4c7be9b0f9a022e15f5b</x:v>
      </x:c>
      <x:c r="AA14" s="45" t="str">
        <x:v>8456a41c5e02d454e70a2531577ffb2e29f73e57e44a7762de681d568aa4227a</x:v>
      </x:c>
    </x:row>
    <x:row r="15" ht="23" customHeight="1">
      <x:c r="A15" s="50" t="str">
        <x:v>38186</x:v>
      </x:c>
      <x:c r="B15" s="108" t="d">
        <x:v>2026-09-30T00:00:00.000Z</x:v>
      </x:c>
      <x:c r="C15" s="99" t="n">
        <x:v>0.711111</x:v>
      </x:c>
      <x:c r="D15" s="100" t="n">
        <x:v>5.696879333333333</x:v>
      </x:c>
      <x:c r="E15" s="100" t="n">
        <x:v>13.841430222222222</x:v>
      </x:c>
      <x:c r="F15" s="99" t="n">
        <x:v>0.16722333333333333</x:v>
      </x:c>
      <x:c r="G15" s="99" t="n">
        <x:v>-0.0013039999999999966</x:v>
      </x:c>
      <x:c r="H15" s="101" t="n">
        <x:v>12042508</x:v>
      </x:c>
      <x:c r="I15" s="99" t="n">
        <x:v>-0.09872434700083321</x:v>
      </x:c>
      <x:c r="J15" s="100" t="n">
        <x:v>-8.444444444444445</x:v>
      </x:c>
      <x:c r="K15" s="100"/>
      <x:c r="L15" s="99" t="n">
        <x:v>0.5864444444444444</x:v>
      </x:c>
      <x:c r="M15" s="99" t="n">
        <x:v>0.7255555555555556</x:v>
      </x:c>
      <x:c r="N15" s="99"/>
      <x:c r="O15" s="99" t="n">
        <x:v>0.38183733333333336</x:v>
      </x:c>
      <x:c r="P15" s="99" t="n">
        <x:v>0.019629777777777777</x:v>
      </x:c>
      <x:c r="Q15" s="99" t="n">
        <x:v>0.12979333333333332</x:v>
      </x:c>
      <x:c r="R15" s="99" t="n">
        <x:v>-0.021675888888888887</x:v>
      </x:c>
      <x:c r="S15" s="45"/>
      <x:c r="T15" s="45"/>
      <x:c r="U15" s="51" t="d">
        <x:v>2026-09-30T00:00:00.000Z</x:v>
      </x:c>
      <x:c r="V15" s="51" t="d">
        <x:v>2026-09-30T00:00:00.000Z</x:v>
      </x:c>
      <x:c r="W15" s="109" t="n">
        <x:v>9</x:v>
      </x:c>
      <x:c r="X15" s="109" t="n">
        <x:v>9</x:v>
      </x:c>
      <x:c r="Y15" s="45" t="str">
        <x:v>sbx-mex/Perfil_Tienda_DM</x:v>
      </x:c>
      <x:c r="Z15" s="45" t="str">
        <x:v>2a6b0d21379739482f0b4c7be9b0f9a022e15f5b</x:v>
      </x:c>
      <x:c r="AA15" s="45" t="str">
        <x:v>8456a41c5e02d454e70a2531577ffb2e29f73e57e44a7762de681d568aa4227a</x:v>
      </x:c>
    </x:row>
    <x:row r="16" ht="23" customHeight="1">
      <x:c r="A16" s="50" t="str">
        <x:v>38230</x:v>
      </x:c>
      <x:c r="B16" s="108" t="d">
        <x:v>2026-09-30T00:00:00.000Z</x:v>
      </x:c>
      <x:c r="C16" s="99" t="n">
        <x:v>0.186047</x:v>
      </x:c>
      <x:c r="D16" s="100" t="n">
        <x:v>7.446171333333333</x:v>
      </x:c>
      <x:c r="E16" s="100" t="n">
        <x:v>14.130941111111111</x:v>
      </x:c>
      <x:c r="F16" s="99" t="n">
        <x:v>0.21649466666666667</x:v>
      </x:c>
      <x:c r="G16" s="99" t="n">
        <x:v>0.011856555555555552</x:v>
      </x:c>
      <x:c r="H16" s="101" t="n">
        <x:v>10035260</x:v>
      </x:c>
      <x:c r="I16" s="99" t="n">
        <x:v>0.02943110462017895</x:v>
      </x:c>
      <x:c r="J16" s="100" t="n">
        <x:v>15.11111111111111</x:v>
      </x:c>
      <x:c r="K16" s="100"/>
      <x:c r="L16" s="99" t="n">
        <x:v>0.6113333333333333</x:v>
      </x:c>
      <x:c r="M16" s="99" t="n">
        <x:v>0.6588888888888889</x:v>
      </x:c>
      <x:c r="N16" s="99"/>
      <x:c r="O16" s="99" t="n">
        <x:v>0.37878755555555554</x:v>
      </x:c>
      <x:c r="P16" s="99" t="n">
        <x:v>-0.011735888888888895</x:v>
      </x:c>
      <x:c r="Q16" s="99" t="n">
        <x:v>0.1303928888888889</x:v>
      </x:c>
      <x:c r="R16" s="99" t="n">
        <x:v>-0.018418000000000007</x:v>
      </x:c>
      <x:c r="S16" s="45"/>
      <x:c r="T16" s="45"/>
      <x:c r="U16" s="51" t="d">
        <x:v>2026-09-30T00:00:00.000Z</x:v>
      </x:c>
      <x:c r="V16" s="51" t="d">
        <x:v>2026-09-30T00:00:00.000Z</x:v>
      </x:c>
      <x:c r="W16" s="109" t="n">
        <x:v>9</x:v>
      </x:c>
      <x:c r="X16" s="109" t="n">
        <x:v>9</x:v>
      </x:c>
      <x:c r="Y16" s="45" t="str">
        <x:v>sbx-mex/Perfil_Tienda_DM</x:v>
      </x:c>
      <x:c r="Z16" s="45" t="str">
        <x:v>2a6b0d21379739482f0b4c7be9b0f9a022e15f5b</x:v>
      </x:c>
      <x:c r="AA16" s="45" t="str">
        <x:v>8456a41c5e02d454e70a2531577ffb2e29f73e57e44a7762de681d568aa4227a</x:v>
      </x:c>
    </x:row>
    <x:row r="17" ht="23" customHeight="1">
      <x:c r="A17" s="50" t="str">
        <x:v>38374</x:v>
      </x:c>
      <x:c r="B17" s="108" t="d">
        <x:v>2026-09-30T00:00:00.000Z</x:v>
      </x:c>
      <x:c r="C17" s="99" t="n">
        <x:v>0.201681</x:v>
      </x:c>
      <x:c r="D17" s="100" t="n">
        <x:v>5.594252111111111</x:v>
      </x:c>
      <x:c r="E17" s="100" t="n">
        <x:v>13.18436788888889</x:v>
      </x:c>
      <x:c r="F17" s="99" t="n">
        <x:v>0.17769177777777778</x:v>
      </x:c>
      <x:c r="G17" s="99" t="n">
        <x:v>0.012976555555555559</x:v>
      </x:c>
      <x:c r="H17" s="101" t="n">
        <x:v>9612000</x:v>
      </x:c>
      <x:c r="I17" s="99" t="n">
        <x:v>-0.08893224570054714</x:v>
      </x:c>
      <x:c r="J17" s="100" t="n">
        <x:v>-5.222222222222222</x:v>
      </x:c>
      <x:c r="K17" s="100"/>
      <x:c r="L17" s="99" t="n">
        <x:v>0.586</x:v>
      </x:c>
      <x:c r="M17" s="99" t="n">
        <x:v>0.6977777777777778</x:v>
      </x:c>
      <x:c r="N17" s="99"/>
      <x:c r="O17" s="99" t="n">
        <x:v>0.3729661111111111</x:v>
      </x:c>
      <x:c r="P17" s="99" t="n">
        <x:v>-0.007781333333333313</x:v>
      </x:c>
      <x:c r="Q17" s="99" t="n">
        <x:v>0.167145</x:v>
      </x:c>
      <x:c r="R17" s="99" t="n">
        <x:v>-0.011167444444444445</x:v>
      </x:c>
      <x:c r="S17" s="45"/>
      <x:c r="T17" s="45"/>
      <x:c r="U17" s="51" t="d">
        <x:v>2026-09-30T00:00:00.000Z</x:v>
      </x:c>
      <x:c r="V17" s="51" t="d">
        <x:v>2026-09-30T00:00:00.000Z</x:v>
      </x:c>
      <x:c r="W17" s="109" t="n">
        <x:v>9</x:v>
      </x:c>
      <x:c r="X17" s="109" t="n">
        <x:v>9</x:v>
      </x:c>
      <x:c r="Y17" s="45" t="str">
        <x:v>sbx-mex/Perfil_Tienda_DM</x:v>
      </x:c>
      <x:c r="Z17" s="45" t="str">
        <x:v>2a6b0d21379739482f0b4c7be9b0f9a022e15f5b</x:v>
      </x:c>
      <x:c r="AA17" s="45" t="str">
        <x:v>8456a41c5e02d454e70a2531577ffb2e29f73e57e44a7762de681d568aa4227a</x:v>
      </x:c>
    </x:row>
    <x:row r="18" ht="23" customHeight="1">
      <x:c r="A18" s="50" t="str">
        <x:v>38442</x:v>
      </x:c>
      <x:c r="B18" s="108" t="d">
        <x:v>2026-09-30T00:00:00.000Z</x:v>
      </x:c>
      <x:c r="C18" s="99" t="n">
        <x:v>0.063158</x:v>
      </x:c>
      <x:c r="D18" s="100" t="n">
        <x:v>5.681564111111111</x:v>
      </x:c>
      <x:c r="E18" s="100" t="n">
        <x:v>14.496736333333335</x:v>
      </x:c>
      <x:c r="F18" s="99" t="n">
        <x:v>0.14331511111111112</x:v>
      </x:c>
      <x:c r="G18" s="99" t="n">
        <x:v>0.007015333333333336</x:v>
      </x:c>
      <x:c r="H18" s="101" t="n">
        <x:v>19483074</x:v>
      </x:c>
      <x:c r="I18" s="99" t="n">
        <x:v>-0.01841237124605466</x:v>
      </x:c>
      <x:c r="J18" s="100" t="n">
        <x:v>-10.666666666666666</x:v>
      </x:c>
      <x:c r="K18" s="100"/>
      <x:c r="L18" s="99" t="n">
        <x:v>0.6391111111111111</x:v>
      </x:c>
      <x:c r="M18" s="99" t="n">
        <x:v>0.7522222222222221</x:v>
      </x:c>
      <x:c r="N18" s="99"/>
      <x:c r="O18" s="99" t="n">
        <x:v>0.34754344444444446</x:v>
      </x:c>
      <x:c r="P18" s="99" t="n">
        <x:v>-0.022378555555555554</x:v>
      </x:c>
      <x:c r="Q18" s="99" t="n">
        <x:v>0.2491982222222222</x:v>
      </x:c>
      <x:c r="R18" s="99" t="n">
        <x:v>0.010761111111111114</x:v>
      </x:c>
      <x:c r="S18" s="45"/>
      <x:c r="T18" s="45"/>
      <x:c r="U18" s="51" t="d">
        <x:v>2026-09-30T00:00:00.000Z</x:v>
      </x:c>
      <x:c r="V18" s="51" t="d">
        <x:v>2026-09-30T00:00:00.000Z</x:v>
      </x:c>
      <x:c r="W18" s="109" t="n">
        <x:v>9</x:v>
      </x:c>
      <x:c r="X18" s="109" t="n">
        <x:v>9</x:v>
      </x:c>
      <x:c r="Y18" s="45" t="str">
        <x:v>sbx-mex/Perfil_Tienda_DM</x:v>
      </x:c>
      <x:c r="Z18" s="45" t="str">
        <x:v>2a6b0d21379739482f0b4c7be9b0f9a022e15f5b</x:v>
      </x:c>
      <x:c r="AA18" s="45" t="str">
        <x:v>8456a41c5e02d454e70a2531577ffb2e29f73e57e44a7762de681d568aa4227a</x:v>
      </x:c>
    </x:row>
    <x:row r="19" ht="23" customHeight="1">
      <x:c r="A19" s="50" t="str">
        <x:v>38460</x:v>
      </x:c>
      <x:c r="B19" s="108" t="d">
        <x:v>2026-09-30T00:00:00.000Z</x:v>
      </x:c>
      <x:c r="C19" s="99" t="n">
        <x:v>0.251748</x:v>
      </x:c>
      <x:c r="D19" s="100" t="n">
        <x:v>5.259680777777778</x:v>
      </x:c>
      <x:c r="E19" s="100" t="n">
        <x:v>13.22995211111111</x:v>
      </x:c>
      <x:c r="F19" s="99" t="n">
        <x:v>0.1606718888888889</x:v>
      </x:c>
      <x:c r="G19" s="99" t="n">
        <x:v>-0.00909677777777778</x:v>
      </x:c>
      <x:c r="H19" s="101" t="n">
        <x:v>12682343</x:v>
      </x:c>
      <x:c r="I19" s="99" t="n">
        <x:v>0.004713141748470262</x:v>
      </x:c>
      <x:c r="J19" s="100" t="n">
        <x:v>-1.2222222222222223</x:v>
      </x:c>
      <x:c r="K19" s="100"/>
      <x:c r="L19" s="99" t="n">
        <x:v>0.63</x:v>
      </x:c>
      <x:c r="M19" s="99" t="n">
        <x:v>0.7266666666666667</x:v>
      </x:c>
      <x:c r="N19" s="99"/>
      <x:c r="O19" s="99" t="n">
        <x:v>0.3690328888888889</x:v>
      </x:c>
      <x:c r="P19" s="99" t="n">
        <x:v>0.00446955555555556</x:v>
      </x:c>
      <x:c r="Q19" s="99" t="n">
        <x:v>0.15599533333333335</x:v>
      </x:c>
      <x:c r="R19" s="99" t="n">
        <x:v>0.022690333333333337</x:v>
      </x:c>
      <x:c r="S19" s="45"/>
      <x:c r="T19" s="45"/>
      <x:c r="U19" s="51" t="d">
        <x:v>2026-09-30T00:00:00.000Z</x:v>
      </x:c>
      <x:c r="V19" s="51" t="d">
        <x:v>2026-09-30T00:00:00.000Z</x:v>
      </x:c>
      <x:c r="W19" s="109" t="n">
        <x:v>9</x:v>
      </x:c>
      <x:c r="X19" s="109" t="n">
        <x:v>9</x:v>
      </x:c>
      <x:c r="Y19" s="45" t="str">
        <x:v>sbx-mex/Perfil_Tienda_DM</x:v>
      </x:c>
      <x:c r="Z19" s="45" t="str">
        <x:v>2a6b0d21379739482f0b4c7be9b0f9a022e15f5b</x:v>
      </x:c>
      <x:c r="AA19" s="45" t="str">
        <x:v>8456a41c5e02d454e70a2531577ffb2e29f73e57e44a7762de681d568aa4227a</x:v>
      </x:c>
    </x:row>
    <x:row r="20" ht="23" customHeight="1">
      <x:c r="A20" s="50" t="str">
        <x:v>38606</x:v>
      </x:c>
      <x:c r="B20" s="108" t="d">
        <x:v>2026-09-30T00:00:00.000Z</x:v>
      </x:c>
      <x:c r="C20" s="99" t="n">
        <x:v>0.28169</x:v>
      </x:c>
      <x:c r="D20" s="100" t="n">
        <x:v>7.258484888888889</x:v>
      </x:c>
      <x:c r="E20" s="100" t="n">
        <x:v>17.112831222222223</x:v>
      </x:c>
      <x:c r="F20" s="99" t="n">
        <x:v>0.13703644444444443</x:v>
      </x:c>
      <x:c r="G20" s="99" t="n">
        <x:v>-0.009150888888888889</x:v>
      </x:c>
      <x:c r="H20" s="101" t="n">
        <x:v>21581059</x:v>
      </x:c>
      <x:c r="I20" s="99" t="n">
        <x:v>0.0208450246302041</x:v>
      </x:c>
      <x:c r="J20" s="100" t="n">
        <x:v>43.44444444444444</x:v>
      </x:c>
      <x:c r="K20" s="100"/>
      <x:c r="L20" s="99" t="n">
        <x:v>0.5215555555555556</x:v>
      </x:c>
      <x:c r="M20" s="99" t="n">
        <x:v>0.6755555555555556</x:v>
      </x:c>
      <x:c r="N20" s="99"/>
      <x:c r="O20" s="99" t="n">
        <x:v>0.370634</x:v>
      </x:c>
      <x:c r="P20" s="99" t="n">
        <x:v>-0.0003296666666666602</x:v>
      </x:c>
      <x:c r="Q20" s="99" t="n">
        <x:v>0.24802144444444446</x:v>
      </x:c>
      <x:c r="R20" s="99" t="n">
        <x:v>0.002290888888888879</x:v>
      </x:c>
      <x:c r="S20" s="45"/>
      <x:c r="T20" s="45"/>
      <x:c r="U20" s="51" t="d">
        <x:v>2026-09-30T00:00:00.000Z</x:v>
      </x:c>
      <x:c r="V20" s="51" t="d">
        <x:v>2026-09-30T00:00:00.000Z</x:v>
      </x:c>
      <x:c r="W20" s="109" t="n">
        <x:v>9</x:v>
      </x:c>
      <x:c r="X20" s="109" t="n">
        <x:v>9</x:v>
      </x:c>
      <x:c r="Y20" s="45" t="str">
        <x:v>sbx-mex/Perfil_Tienda_DM</x:v>
      </x:c>
      <x:c r="Z20" s="45" t="str">
        <x:v>2a6b0d21379739482f0b4c7be9b0f9a022e15f5b</x:v>
      </x:c>
      <x:c r="AA20" s="45" t="str">
        <x:v>8456a41c5e02d454e70a2531577ffb2e29f73e57e44a7762de681d568aa4227a</x:v>
      </x:c>
    </x:row>
    <x:row r="21" ht="23" customHeight="1">
      <x:c r="A21" s="50" t="str">
        <x:v>38661</x:v>
      </x:c>
      <x:c r="B21" s="108" t="d">
        <x:v>2026-09-30T00:00:00.000Z</x:v>
      </x:c>
      <x:c r="C21" s="99" t="n">
        <x:v>0.315789</x:v>
      </x:c>
      <x:c r="D21" s="100" t="n">
        <x:v>5.826294555555555</x:v>
      </x:c>
      <x:c r="E21" s="100" t="n">
        <x:v>14.656993555555553</x:v>
      </x:c>
      <x:c r="F21" s="99" t="n">
        <x:v>0.16346244444444447</x:v>
      </x:c>
      <x:c r="G21" s="99" t="n">
        <x:v>0.0005118888888888858</x:v>
      </x:c>
      <x:c r="H21" s="101" t="n">
        <x:v>13465875</x:v>
      </x:c>
      <x:c r="I21" s="99" t="n">
        <x:v>-0.04367281080820429</x:v>
      </x:c>
      <x:c r="J21" s="100" t="n">
        <x:v>-13.666666666666666</x:v>
      </x:c>
      <x:c r="K21" s="100"/>
      <x:c r="L21" s="99" t="n">
        <x:v>0.5852222222222223</x:v>
      </x:c>
      <x:c r="M21" s="99" t="n">
        <x:v>0.711111111111111</x:v>
      </x:c>
      <x:c r="N21" s="99"/>
      <x:c r="O21" s="99" t="n">
        <x:v>0.36416344444444443</x:v>
      </x:c>
      <x:c r="P21" s="99" t="n">
        <x:v>0.005340222222222215</x:v>
      </x:c>
      <x:c r="Q21" s="99" t="n">
        <x:v>0.15780088888888888</x:v>
      </x:c>
      <x:c r="R21" s="99" t="n">
        <x:v>-0.02016344444444445</x:v>
      </x:c>
      <x:c r="S21" s="45"/>
      <x:c r="T21" s="45"/>
      <x:c r="U21" s="51" t="d">
        <x:v>2026-09-30T00:00:00.000Z</x:v>
      </x:c>
      <x:c r="V21" s="51" t="d">
        <x:v>2026-09-30T00:00:00.000Z</x:v>
      </x:c>
      <x:c r="W21" s="109" t="n">
        <x:v>9</x:v>
      </x:c>
      <x:c r="X21" s="109" t="n">
        <x:v>9</x:v>
      </x:c>
      <x:c r="Y21" s="45" t="str">
        <x:v>sbx-mex/Perfil_Tienda_DM</x:v>
      </x:c>
      <x:c r="Z21" s="45" t="str">
        <x:v>2a6b0d21379739482f0b4c7be9b0f9a022e15f5b</x:v>
      </x:c>
      <x:c r="AA21" s="45" t="str">
        <x:v>8456a41c5e02d454e70a2531577ffb2e29f73e57e44a7762de681d568aa4227a</x:v>
      </x:c>
    </x:row>
    <x:row r="22" ht="23" customHeight="1">
      <x:c r="A22" s="50" t="str">
        <x:v>38674</x:v>
      </x:c>
      <x:c r="B22" s="108" t="d">
        <x:v>2026-09-30T00:00:00.000Z</x:v>
      </x:c>
      <x:c r="C22" s="99" t="n">
        <x:v>0.434783</x:v>
      </x:c>
      <x:c r="D22" s="100" t="n">
        <x:v>5.918837</x:v>
      </x:c>
      <x:c r="E22" s="100" t="n">
        <x:v>14.12173888888889</x:v>
      </x:c>
      <x:c r="F22" s="99" t="n">
        <x:v>0.17330177777777778</x:v>
      </x:c>
      <x:c r="G22" s="99" t="n">
        <x:v>0.012018999999999998</x:v>
      </x:c>
      <x:c r="H22" s="101" t="n">
        <x:v>11569693</x:v>
      </x:c>
      <x:c r="I22" s="99" t="n">
        <x:v>-0.13853585661580703</x:v>
      </x:c>
      <x:c r="J22" s="100" t="n">
        <x:v>-20.77777777777778</x:v>
      </x:c>
      <x:c r="K22" s="100"/>
      <x:c r="L22" s="99" t="n">
        <x:v>0.5513333333333333</x:v>
      </x:c>
      <x:c r="M22" s="99" t="n">
        <x:v>0.64</x:v>
      </x:c>
      <x:c r="N22" s="99"/>
      <x:c r="O22" s="99" t="n">
        <x:v>0.36478722222222226</x:v>
      </x:c>
      <x:c r="P22" s="99" t="n">
        <x:v>0.006728000000000006</x:v>
      </x:c>
      <x:c r="Q22" s="99" t="n">
        <x:v>0.19681833333333335</x:v>
      </x:c>
      <x:c r="R22" s="99" t="n">
        <x:v>-0.026511000000000007</x:v>
      </x:c>
      <x:c r="S22" s="45"/>
      <x:c r="T22" s="45"/>
      <x:c r="U22" s="51" t="d">
        <x:v>2026-09-30T00:00:00.000Z</x:v>
      </x:c>
      <x:c r="V22" s="51" t="d">
        <x:v>2026-09-30T00:00:00.000Z</x:v>
      </x:c>
      <x:c r="W22" s="109" t="n">
        <x:v>9</x:v>
      </x:c>
      <x:c r="X22" s="109" t="n">
        <x:v>9</x:v>
      </x:c>
      <x:c r="Y22" s="45" t="str">
        <x:v>sbx-mex/Perfil_Tienda_DM</x:v>
      </x:c>
      <x:c r="Z22" s="45" t="str">
        <x:v>2a6b0d21379739482f0b4c7be9b0f9a022e15f5b</x:v>
      </x:c>
      <x:c r="AA22" s="45" t="str">
        <x:v>8456a41c5e02d454e70a2531577ffb2e29f73e57e44a7762de681d568aa4227a</x:v>
      </x:c>
    </x:row>
    <x:row r="23" ht="23" customHeight="1">
      <x:c r="A23" s="50" t="str">
        <x:v>38694</x:v>
      </x:c>
      <x:c r="B23" s="108" t="d">
        <x:v>2026-09-30T00:00:00.000Z</x:v>
      </x:c>
      <x:c r="C23" s="99" t="n">
        <x:v>0.206897</x:v>
      </x:c>
      <x:c r="D23" s="100" t="n">
        <x:v>5.918189666666667</x:v>
      </x:c>
      <x:c r="E23" s="100" t="n">
        <x:v>14.649164777777779</x:v>
      </x:c>
      <x:c r="F23" s="99" t="n">
        <x:v>0.14092811111111112</x:v>
      </x:c>
      <x:c r="G23" s="99" t="n">
        <x:v>0.0024331111111111203</x:v>
      </x:c>
      <x:c r="H23" s="101" t="n">
        <x:v>17545457</x:v>
      </x:c>
      <x:c r="I23" s="99" t="n">
        <x:v>-0.0041964102126522684</x:v>
      </x:c>
      <x:c r="J23" s="100" t="n">
        <x:v>0.6666666666666666</x:v>
      </x:c>
      <x:c r="K23" s="100"/>
      <x:c r="L23" s="99" t="n">
        <x:v>0.5545555555555555</x:v>
      </x:c>
      <x:c r="M23" s="99" t="n">
        <x:v>0.6955555555555555</x:v>
      </x:c>
      <x:c r="N23" s="99"/>
      <x:c r="O23" s="99" t="n">
        <x:v>0.3628148888888889</x:v>
      </x:c>
      <x:c r="P23" s="99" t="n">
        <x:v>0.0030362222222222366</x:v>
      </x:c>
      <x:c r="Q23" s="99" t="n">
        <x:v>0.1955381111111111</x:v>
      </x:c>
      <x:c r="R23" s="99" t="n">
        <x:v>0.0021114444444444466</x:v>
      </x:c>
      <x:c r="S23" s="45"/>
      <x:c r="T23" s="45"/>
      <x:c r="U23" s="51" t="d">
        <x:v>2026-09-30T00:00:00.000Z</x:v>
      </x:c>
      <x:c r="V23" s="51" t="d">
        <x:v>2026-09-30T00:00:00.000Z</x:v>
      </x:c>
      <x:c r="W23" s="109" t="n">
        <x:v>9</x:v>
      </x:c>
      <x:c r="X23" s="109" t="n">
        <x:v>9</x:v>
      </x:c>
      <x:c r="Y23" s="45" t="str">
        <x:v>sbx-mex/Perfil_Tienda_DM</x:v>
      </x:c>
      <x:c r="Z23" s="45" t="str">
        <x:v>2a6b0d21379739482f0b4c7be9b0f9a022e15f5b</x:v>
      </x:c>
      <x:c r="AA23" s="45" t="str">
        <x:v>8456a41c5e02d454e70a2531577ffb2e29f73e57e44a7762de681d568aa4227a</x:v>
      </x:c>
    </x:row>
    <x:row r="24" ht="23" customHeight="1">
      <x:c r="A24" s="50" t="str">
        <x:v>38792</x:v>
      </x:c>
      <x:c r="B24" s="108" t="d">
        <x:v>2026-09-30T00:00:00.000Z</x:v>
      </x:c>
      <x:c r="C24" s="99" t="n">
        <x:v>0.175182</x:v>
      </x:c>
      <x:c r="D24" s="100" t="n">
        <x:v>5.654449555555555</x:v>
      </x:c>
      <x:c r="E24" s="100" t="n">
        <x:v>13.008780333333334</x:v>
      </x:c>
      <x:c r="F24" s="99" t="n">
        <x:v>0.1778218888888889</x:v>
      </x:c>
      <x:c r="G24" s="99" t="n">
        <x:v>-0.012005555555555556</x:v>
      </x:c>
      <x:c r="H24" s="101" t="n">
        <x:v>11143831</x:v>
      </x:c>
      <x:c r="I24" s="99" t="n">
        <x:v>-0.0510842241149172</x:v>
      </x:c>
      <x:c r="J24" s="100" t="n">
        <x:v>-11.666666666666666</x:v>
      </x:c>
      <x:c r="K24" s="100"/>
      <x:c r="L24" s="99" t="n">
        <x:v>0.5726666666666667</x:v>
      </x:c>
      <x:c r="M24" s="99" t="n">
        <x:v>0.7022222222222223</x:v>
      </x:c>
      <x:c r="N24" s="99"/>
      <x:c r="O24" s="99" t="n">
        <x:v>0.39945111111111115</x:v>
      </x:c>
      <x:c r="P24" s="99" t="n">
        <x:v>0.005418666666666671</x:v>
      </x:c>
      <x:c r="Q24" s="99" t="n">
        <x:v>0.13957044444444444</x:v>
      </x:c>
      <x:c r="R24" s="99" t="n">
        <x:v>0.01659722222222222</x:v>
      </x:c>
      <x:c r="S24" s="45"/>
      <x:c r="T24" s="45"/>
      <x:c r="U24" s="51" t="d">
        <x:v>2026-09-30T00:00:00.000Z</x:v>
      </x:c>
      <x:c r="V24" s="51" t="d">
        <x:v>2026-09-30T00:00:00.000Z</x:v>
      </x:c>
      <x:c r="W24" s="109" t="n">
        <x:v>9</x:v>
      </x:c>
      <x:c r="X24" s="109" t="n">
        <x:v>9</x:v>
      </x:c>
      <x:c r="Y24" s="45" t="str">
        <x:v>sbx-mex/Perfil_Tienda_DM</x:v>
      </x:c>
      <x:c r="Z24" s="45" t="str">
        <x:v>2a6b0d21379739482f0b4c7be9b0f9a022e15f5b</x:v>
      </x:c>
      <x:c r="AA24" s="45" t="str">
        <x:v>8456a41c5e02d454e70a2531577ffb2e29f73e57e44a7762de681d568aa4227a</x:v>
      </x:c>
    </x:row>
    <x:row r="25" ht="23" customHeight="1">
      <x:c r="A25" s="50" t="str">
        <x:v>38845</x:v>
      </x:c>
      <x:c r="B25" s="108" t="d">
        <x:v>2026-09-30T00:00:00.000Z</x:v>
      </x:c>
      <x:c r="C25" s="99" t="n">
        <x:v>0.576</x:v>
      </x:c>
      <x:c r="D25" s="100" t="n">
        <x:v>6.076830222222223</x:v>
      </x:c>
      <x:c r="E25" s="100" t="n">
        <x:v>13.247170222222222</x:v>
      </x:c>
      <x:c r="F25" s="99" t="n">
        <x:v>0.1742827777777778</x:v>
      </x:c>
      <x:c r="G25" s="99" t="n">
        <x:v>-0.0003047777777777742</x:v>
      </x:c>
      <x:c r="H25" s="101" t="n">
        <x:v>10460982</x:v>
      </x:c>
      <x:c r="I25" s="99" t="n">
        <x:v>-0.10536177316038342</x:v>
      </x:c>
      <x:c r="J25" s="100" t="n">
        <x:v>5.375</x:v>
      </x:c>
      <x:c r="K25" s="100"/>
      <x:c r="L25" s="99" t="n">
        <x:v>0.5042222222222222</x:v>
      </x:c>
      <x:c r="M25" s="99" t="n">
        <x:v>0.6344444444444445</x:v>
      </x:c>
      <x:c r="N25" s="99"/>
      <x:c r="O25" s="99" t="n">
        <x:v>0.37664355555555556</x:v>
      </x:c>
      <x:c r="P25" s="99" t="n">
        <x:v>0.009803666666666691</x:v>
      </x:c>
      <x:c r="Q25" s="99" t="n">
        <x:v>0.195072</x:v>
      </x:c>
      <x:c r="R25" s="99" t="n">
        <x:v>-0.02207788888888889</x:v>
      </x:c>
      <x:c r="S25" s="45"/>
      <x:c r="T25" s="45"/>
      <x:c r="U25" s="51" t="d">
        <x:v>2026-09-30T00:00:00.000Z</x:v>
      </x:c>
      <x:c r="V25" s="51" t="d">
        <x:v>2026-09-30T00:00:00.000Z</x:v>
      </x:c>
      <x:c r="W25" s="109" t="n">
        <x:v>9</x:v>
      </x:c>
      <x:c r="X25" s="109" t="n">
        <x:v>9</x:v>
      </x:c>
      <x:c r="Y25" s="45" t="str">
        <x:v>sbx-mex/Perfil_Tienda_DM</x:v>
      </x:c>
      <x:c r="Z25" s="45" t="str">
        <x:v>2a6b0d21379739482f0b4c7be9b0f9a022e15f5b</x:v>
      </x:c>
      <x:c r="AA25" s="45" t="str">
        <x:v>8456a41c5e02d454e70a2531577ffb2e29f73e57e44a7762de681d568aa4227a</x:v>
      </x:c>
    </x:row>
    <x:row r="26" ht="23" customHeight="1">
      <x:c r="A26" s="50" t="str">
        <x:v>43261</x:v>
      </x:c>
      <x:c r="B26" s="108" t="d">
        <x:v>2026-09-30T00:00:00.000Z</x:v>
      </x:c>
      <x:c r="C26" s="99" t="n">
        <x:v>0</x:v>
      </x:c>
      <x:c r="D26" s="100"/>
      <x:c r="E26" s="100"/>
      <x:c r="F26" s="99" t="n">
        <x:v>0.1</x:v>
      </x:c>
      <x:c r="G26" s="99"/>
      <x:c r="H26" s="101" t="n">
        <x:v>88463</x:v>
      </x:c>
      <x:c r="I26" s="99"/>
      <x:c r="J26" s="100"/>
      <x:c r="K26" s="100"/>
      <x:c r="L26" s="99" t="n">
        <x:v>0.444</x:v>
      </x:c>
      <x:c r="M26" s="99" t="n">
        <x:v>0.78</x:v>
      </x:c>
      <x:c r="N26" s="99"/>
      <x:c r="O26" s="99" t="n">
        <x:v>0.336</x:v>
      </x:c>
      <x:c r="P26" s="99"/>
      <x:c r="Q26" s="99" t="n">
        <x:v>-0.181144</x:v>
      </x:c>
      <x:c r="R26" s="99"/>
      <x:c r="S26" s="45"/>
      <x:c r="T26" s="45"/>
      <x:c r="U26" s="51" t="d">
        <x:v>2026-09-30T00:00:00.000Z</x:v>
      </x:c>
      <x:c r="V26" s="51" t="d">
        <x:v>2026-09-30T00:00:00.000Z</x:v>
      </x:c>
      <x:c r="W26" s="109" t="n">
        <x:v>1</x:v>
      </x:c>
      <x:c r="X26" s="109" t="n">
        <x:v>1</x:v>
      </x:c>
      <x:c r="Y26" s="45" t="str">
        <x:v>sbx-mex/Perfil_Tienda_DM</x:v>
      </x:c>
      <x:c r="Z26" s="45" t="str">
        <x:v>2a6b0d21379739482f0b4c7be9b0f9a022e15f5b</x:v>
      </x:c>
      <x:c r="AA26" s="45" t="str">
        <x:v>8456a41c5e02d454e70a2531577ffb2e29f73e57e44a7762de681d568aa4227a</x:v>
      </x:c>
    </x:row>
    <x:row r="27" ht="23" customHeight="1">
      <x:c r="A27" s="50" t="str">
        <x:v>38205</x:v>
      </x:c>
      <x:c r="B27" s="108" t="d">
        <x:v>2026-09-30T00:00:00.000Z</x:v>
      </x:c>
      <x:c r="C27" s="99" t="n">
        <x:v>0.669767</x:v>
      </x:c>
      <x:c r="D27" s="100" t="n">
        <x:v>7.135783666666667</x:v>
      </x:c>
      <x:c r="E27" s="100" t="n">
        <x:v>16.638953</x:v>
      </x:c>
      <x:c r="F27" s="99" t="n">
        <x:v>0.14267466666666667</x:v>
      </x:c>
      <x:c r="G27" s="99" t="n">
        <x:v>0.012594000000000004</x:v>
      </x:c>
      <x:c r="H27" s="101" t="n">
        <x:v>20645835</x:v>
      </x:c>
      <x:c r="I27" s="99" t="n">
        <x:v>-0.09256190998378311</x:v>
      </x:c>
      <x:c r="J27" s="100" t="n">
        <x:v>-36.666666666666664</x:v>
      </x:c>
      <x:c r="K27" s="100"/>
      <x:c r="L27" s="99" t="n">
        <x:v>0.4523333333333333</x:v>
      </x:c>
      <x:c r="M27" s="99" t="n">
        <x:v>0.5455555555555556</x:v>
      </x:c>
      <x:c r="N27" s="99"/>
      <x:c r="O27" s="99" t="n">
        <x:v>0.3717368888888889</x:v>
      </x:c>
      <x:c r="P27" s="99" t="n">
        <x:v>0.03521300000000001</x:v>
      </x:c>
      <x:c r="Q27" s="99" t="n">
        <x:v>0.2363828888888889</x:v>
      </x:c>
      <x:c r="R27" s="99" t="n">
        <x:v>-0.05433999999999999</x:v>
      </x:c>
      <x:c r="S27" s="45"/>
      <x:c r="T27" s="45"/>
      <x:c r="U27" s="51" t="d">
        <x:v>2026-09-30T00:00:00.000Z</x:v>
      </x:c>
      <x:c r="V27" s="51" t="d">
        <x:v>2026-09-30T00:00:00.000Z</x:v>
      </x:c>
      <x:c r="W27" s="109" t="n">
        <x:v>9</x:v>
      </x:c>
      <x:c r="X27" s="109" t="n">
        <x:v>9</x:v>
      </x:c>
      <x:c r="Y27" s="45" t="str">
        <x:v>sbx-mex/Perfil_Tienda_DM</x:v>
      </x:c>
      <x:c r="Z27" s="45" t="str">
        <x:v>2a6b0d21379739482f0b4c7be9b0f9a022e15f5b</x:v>
      </x:c>
      <x:c r="AA27" s="45" t="str">
        <x:v>8456a41c5e02d454e70a2531577ffb2e29f73e57e44a7762de681d568aa4227a</x:v>
      </x:c>
    </x:row>
    <x:row r="28" ht="23" customHeight="1">
      <x:c r="A28" s="50" t="str">
        <x:v>38207</x:v>
      </x:c>
      <x:c r="B28" s="108" t="d">
        <x:v>2026-09-30T00:00:00.000Z</x:v>
      </x:c>
      <x:c r="C28" s="99" t="n">
        <x:v>0.734694</x:v>
      </x:c>
      <x:c r="D28" s="100" t="n">
        <x:v>8.050422888888889</x:v>
      </x:c>
      <x:c r="E28" s="100" t="n">
        <x:v>16.596065</x:v>
      </x:c>
      <x:c r="F28" s="99" t="n">
        <x:v>0.17352488888888887</x:v>
      </x:c>
      <x:c r="G28" s="99" t="n">
        <x:v>-0.02133155555555556</x:v>
      </x:c>
      <x:c r="H28" s="101" t="n">
        <x:v>8961624</x:v>
      </x:c>
      <x:c r="I28" s="99" t="n">
        <x:v>0.07022260758115673</x:v>
      </x:c>
      <x:c r="J28" s="100" t="n">
        <x:v>6.666666666666667</x:v>
      </x:c>
      <x:c r="K28" s="100"/>
      <x:c r="L28" s="99" t="n">
        <x:v>0.5503333333333333</x:v>
      </x:c>
      <x:c r="M28" s="99" t="n">
        <x:v>0.6711111111111111</x:v>
      </x:c>
      <x:c r="N28" s="99"/>
      <x:c r="O28" s="99" t="n">
        <x:v>0.39510033333333333</x:v>
      </x:c>
      <x:c r="P28" s="99" t="n">
        <x:v>0.05173444444444444</x:v>
      </x:c>
      <x:c r="Q28" s="99" t="n">
        <x:v>0.16936677777777778</x:v>
      </x:c>
      <x:c r="R28" s="99" t="n">
        <x:v>0.014380222222222232</x:v>
      </x:c>
      <x:c r="S28" s="45"/>
      <x:c r="T28" s="45"/>
      <x:c r="U28" s="51" t="d">
        <x:v>2026-09-30T00:00:00.000Z</x:v>
      </x:c>
      <x:c r="V28" s="51" t="d">
        <x:v>2026-09-30T00:00:00.000Z</x:v>
      </x:c>
      <x:c r="W28" s="109" t="n">
        <x:v>9</x:v>
      </x:c>
      <x:c r="X28" s="109" t="n">
        <x:v>9</x:v>
      </x:c>
      <x:c r="Y28" s="45" t="str">
        <x:v>sbx-mex/Perfil_Tienda_DM</x:v>
      </x:c>
      <x:c r="Z28" s="45" t="str">
        <x:v>2a6b0d21379739482f0b4c7be9b0f9a022e15f5b</x:v>
      </x:c>
      <x:c r="AA28" s="45" t="str">
        <x:v>8456a41c5e02d454e70a2531577ffb2e29f73e57e44a7762de681d568aa4227a</x:v>
      </x:c>
    </x:row>
    <x:row r="29" ht="23" customHeight="1">
      <x:c r="A29" s="50" t="str">
        <x:v>38371</x:v>
      </x:c>
      <x:c r="B29" s="108" t="d">
        <x:v>2026-09-30T00:00:00.000Z</x:v>
      </x:c>
      <x:c r="C29" s="99" t="n">
        <x:v>0.377953</x:v>
      </x:c>
      <x:c r="D29" s="100" t="n">
        <x:v>6.934087</x:v>
      </x:c>
      <x:c r="E29" s="100" t="n">
        <x:v>17.781097666666668</x:v>
      </x:c>
      <x:c r="F29" s="99" t="n">
        <x:v>0.12657622222222223</x:v>
      </x:c>
      <x:c r="G29" s="99" t="n">
        <x:v>-0.009669111111111116</x:v>
      </x:c>
      <x:c r="H29" s="101" t="n">
        <x:v>37835703</x:v>
      </x:c>
      <x:c r="I29" s="99" t="n">
        <x:v>0.026279089219579665</x:v>
      </x:c>
      <x:c r="J29" s="100" t="n">
        <x:v>-17.11111111111111</x:v>
      </x:c>
      <x:c r="K29" s="100"/>
      <x:c r="L29" s="99" t="n">
        <x:v>0.4643333333333334</x:v>
      </x:c>
      <x:c r="M29" s="99" t="n">
        <x:v>0.5933333333333333</x:v>
      </x:c>
      <x:c r="N29" s="99"/>
      <x:c r="O29" s="99" t="n">
        <x:v>0.3765027777777778</x:v>
      </x:c>
      <x:c r="P29" s="99" t="n">
        <x:v>0.034195888888888894</x:v>
      </x:c>
      <x:c r="Q29" s="99" t="n">
        <x:v>0.25498711111111105</x:v>
      </x:c>
      <x:c r="R29" s="99" t="n">
        <x:v>-0.010767777777777796</x:v>
      </x:c>
      <x:c r="S29" s="45" t="str">
        <x:v>01:33</x:v>
      </x:c>
      <x:c r="T29" s="45" t="str">
        <x:v>01:39</x:v>
      </x:c>
      <x:c r="U29" s="51" t="d">
        <x:v>2026-09-30T00:00:00.000Z</x:v>
      </x:c>
      <x:c r="V29" s="51" t="d">
        <x:v>2026-09-30T00:00:00.000Z</x:v>
      </x:c>
      <x:c r="W29" s="109" t="n">
        <x:v>9</x:v>
      </x:c>
      <x:c r="X29" s="109" t="n">
        <x:v>9</x:v>
      </x:c>
      <x:c r="Y29" s="45" t="str">
        <x:v>sbx-mex/Perfil_Tienda_DM</x:v>
      </x:c>
      <x:c r="Z29" s="45" t="str">
        <x:v>2a6b0d21379739482f0b4c7be9b0f9a022e15f5b</x:v>
      </x:c>
      <x:c r="AA29" s="45" t="str">
        <x:v>8456a41c5e02d454e70a2531577ffb2e29f73e57e44a7762de681d568aa4227a</x:v>
      </x:c>
    </x:row>
    <x:row r="30" ht="23" customHeight="1">
      <x:c r="A30" s="50" t="str">
        <x:v>38411</x:v>
      </x:c>
      <x:c r="B30" s="108" t="d">
        <x:v>2026-09-30T00:00:00.000Z</x:v>
      </x:c>
      <x:c r="C30" s="99" t="n">
        <x:v>0.169811</x:v>
      </x:c>
      <x:c r="D30" s="100" t="n">
        <x:v>6.204049</x:v>
      </x:c>
      <x:c r="E30" s="100" t="n">
        <x:v>15.798048555555555</x:v>
      </x:c>
      <x:c r="F30" s="99" t="n">
        <x:v>0.14985877777777779</x:v>
      </x:c>
      <x:c r="G30" s="99" t="n">
        <x:v>0.021190125000000004</x:v>
      </x:c>
      <x:c r="H30" s="101" t="n">
        <x:v>18018616</x:v>
      </x:c>
      <x:c r="I30" s="99" t="n">
        <x:v>-0.1819124206513928</x:v>
      </x:c>
      <x:c r="J30" s="100" t="n">
        <x:v>-47.22222222222222</x:v>
      </x:c>
      <x:c r="K30" s="100"/>
      <x:c r="L30" s="99" t="n">
        <x:v>0.596</x:v>
      </x:c>
      <x:c r="M30" s="99" t="n">
        <x:v>0.6688888888888889</x:v>
      </x:c>
      <x:c r="N30" s="99"/>
      <x:c r="O30" s="99" t="n">
        <x:v>0.3717127777777778</x:v>
      </x:c>
      <x:c r="P30" s="99" t="n">
        <x:v>0.031249124999999996</x:v>
      </x:c>
      <x:c r="Q30" s="99" t="n">
        <x:v>0.21560233333333334</x:v>
      </x:c>
      <x:c r="R30" s="99" t="n">
        <x:v>-0.072434375</x:v>
      </x:c>
      <x:c r="S30" s="45"/>
      <x:c r="T30" s="45"/>
      <x:c r="U30" s="51" t="d">
        <x:v>2026-09-30T00:00:00.000Z</x:v>
      </x:c>
      <x:c r="V30" s="51" t="d">
        <x:v>2026-09-30T00:00:00.000Z</x:v>
      </x:c>
      <x:c r="W30" s="109" t="n">
        <x:v>9</x:v>
      </x:c>
      <x:c r="X30" s="109" t="n">
        <x:v>9</x:v>
      </x:c>
      <x:c r="Y30" s="45" t="str">
        <x:v>sbx-mex/Perfil_Tienda_DM</x:v>
      </x:c>
      <x:c r="Z30" s="45" t="str">
        <x:v>2a6b0d21379739482f0b4c7be9b0f9a022e15f5b</x:v>
      </x:c>
      <x:c r="AA30" s="45" t="str">
        <x:v>8456a41c5e02d454e70a2531577ffb2e29f73e57e44a7762de681d568aa4227a</x:v>
      </x:c>
    </x:row>
    <x:row r="31" ht="23" customHeight="1">
      <x:c r="A31" s="50" t="str">
        <x:v>38527</x:v>
      </x:c>
      <x:c r="B31" s="108" t="d">
        <x:v>2026-09-30T00:00:00.000Z</x:v>
      </x:c>
      <x:c r="C31" s="99" t="n">
        <x:v>0.413793</x:v>
      </x:c>
      <x:c r="D31" s="100" t="n">
        <x:v>6.878808888888888</x:v>
      </x:c>
      <x:c r="E31" s="100" t="n">
        <x:v>16.785638555555558</x:v>
      </x:c>
      <x:c r="F31" s="99" t="n">
        <x:v>0.1260201111111111</x:v>
      </x:c>
      <x:c r="G31" s="99" t="n">
        <x:v>-0.022380749999999998</x:v>
      </x:c>
      <x:c r="H31" s="101" t="n">
        <x:v>28842648</x:v>
      </x:c>
      <x:c r="I31" s="99" t="n">
        <x:v>0.06487499659794849</x:v>
      </x:c>
      <x:c r="J31" s="100" t="n">
        <x:v>6.333333333333333</x:v>
      </x:c>
      <x:c r="K31" s="100"/>
      <x:c r="L31" s="99" t="n">
        <x:v>0.40877777777777774</x:v>
      </x:c>
      <x:c r="M31" s="99" t="n">
        <x:v>0.5188888888888888</x:v>
      </x:c>
      <x:c r="N31" s="99"/>
      <x:c r="O31" s="99" t="n">
        <x:v>0.36160255555555554</x:v>
      </x:c>
      <x:c r="P31" s="99" t="n">
        <x:v>0.02758862499999999</x:v>
      </x:c>
      <x:c r="Q31" s="99" t="n">
        <x:v>0.28774911111111107</x:v>
      </x:c>
      <x:c r="R31" s="99" t="n">
        <x:v>-0.007404000000000004</x:v>
      </x:c>
      <x:c r="S31" s="45" t="str">
        <x:v>01:28</x:v>
      </x:c>
      <x:c r="T31" s="45" t="str">
        <x:v>01:21</x:v>
      </x:c>
      <x:c r="U31" s="51" t="d">
        <x:v>2026-09-30T00:00:00.000Z</x:v>
      </x:c>
      <x:c r="V31" s="51" t="d">
        <x:v>2026-09-30T00:00:00.000Z</x:v>
      </x:c>
      <x:c r="W31" s="109" t="n">
        <x:v>9</x:v>
      </x:c>
      <x:c r="X31" s="109" t="n">
        <x:v>9</x:v>
      </x:c>
      <x:c r="Y31" s="45" t="str">
        <x:v>sbx-mex/Perfil_Tienda_DM</x:v>
      </x:c>
      <x:c r="Z31" s="45" t="str">
        <x:v>2a6b0d21379739482f0b4c7be9b0f9a022e15f5b</x:v>
      </x:c>
      <x:c r="AA31" s="45" t="str">
        <x:v>8456a41c5e02d454e70a2531577ffb2e29f73e57e44a7762de681d568aa4227a</x:v>
      </x:c>
    </x:row>
    <x:row r="32" ht="23" customHeight="1">
      <x:c r="A32" s="50" t="str">
        <x:v>38546</x:v>
      </x:c>
      <x:c r="B32" s="108" t="d">
        <x:v>2026-09-30T00:00:00.000Z</x:v>
      </x:c>
      <x:c r="C32" s="99" t="n">
        <x:v>0.346154</x:v>
      </x:c>
      <x:c r="D32" s="100" t="n">
        <x:v>6.688779111111112</x:v>
      </x:c>
      <x:c r="E32" s="100" t="n">
        <x:v>15.781380222222221</x:v>
      </x:c>
      <x:c r="F32" s="99" t="n">
        <x:v>0.1456268888888889</x:v>
      </x:c>
      <x:c r="G32" s="99" t="n">
        <x:v>0.0025702222222222268</x:v>
      </x:c>
      <x:c r="H32" s="101" t="n">
        <x:v>19056716</x:v>
      </x:c>
      <x:c r="I32" s="99" t="n">
        <x:v>-0.05652880122773507</x:v>
      </x:c>
      <x:c r="J32" s="100" t="n">
        <x:v>-26.555555555555557</x:v>
      </x:c>
      <x:c r="K32" s="100"/>
      <x:c r="L32" s="99" t="n">
        <x:v>0.5145555555555555</x:v>
      </x:c>
      <x:c r="M32" s="99" t="n">
        <x:v>0.5766666666666667</x:v>
      </x:c>
      <x:c r="N32" s="99"/>
      <x:c r="O32" s="99" t="n">
        <x:v>0.36324222222222224</x:v>
      </x:c>
      <x:c r="P32" s="99" t="n">
        <x:v>-0.013876999999999997</x:v>
      </x:c>
      <x:c r="Q32" s="99" t="n">
        <x:v>0.2313896666666667</x:v>
      </x:c>
      <x:c r="R32" s="99" t="n">
        <x:v>0.08962200000000001</x:v>
      </x:c>
      <x:c r="S32" s="45"/>
      <x:c r="T32" s="45"/>
      <x:c r="U32" s="51" t="d">
        <x:v>2026-09-30T00:00:00.000Z</x:v>
      </x:c>
      <x:c r="V32" s="51" t="d">
        <x:v>2026-09-30T00:00:00.000Z</x:v>
      </x:c>
      <x:c r="W32" s="109" t="n">
        <x:v>9</x:v>
      </x:c>
      <x:c r="X32" s="109" t="n">
        <x:v>9</x:v>
      </x:c>
      <x:c r="Y32" s="45" t="str">
        <x:v>sbx-mex/Perfil_Tienda_DM</x:v>
      </x:c>
      <x:c r="Z32" s="45" t="str">
        <x:v>2a6b0d21379739482f0b4c7be9b0f9a022e15f5b</x:v>
      </x:c>
      <x:c r="AA32" s="45" t="str">
        <x:v>8456a41c5e02d454e70a2531577ffb2e29f73e57e44a7762de681d568aa4227a</x:v>
      </x:c>
    </x:row>
    <x:row r="33" ht="23" customHeight="1">
      <x:c r="A33" s="50" t="str">
        <x:v>38651</x:v>
      </x:c>
      <x:c r="B33" s="108" t="d">
        <x:v>2026-09-30T00:00:00.000Z</x:v>
      </x:c>
      <x:c r="C33" s="99" t="n">
        <x:v>0.251046</x:v>
      </x:c>
      <x:c r="D33" s="100" t="n">
        <x:v>6.578289444444445</x:v>
      </x:c>
      <x:c r="E33" s="100" t="n">
        <x:v>15.534635999999999</x:v>
      </x:c>
      <x:c r="F33" s="99" t="n">
        <x:v>0.14120977777777777</x:v>
      </x:c>
      <x:c r="G33" s="99" t="n">
        <x:v>-0.004150333333333339</x:v>
      </x:c>
      <x:c r="H33" s="101" t="n">
        <x:v>20970993</x:v>
      </x:c>
      <x:c r="I33" s="99" t="n">
        <x:v>-0.060443782312141425</x:v>
      </x:c>
      <x:c r="J33" s="100" t="n">
        <x:v>-13.88888888888889</x:v>
      </x:c>
      <x:c r="K33" s="100"/>
      <x:c r="L33" s="99" t="n">
        <x:v>0.4855555555555556</x:v>
      </x:c>
      <x:c r="M33" s="99" t="n">
        <x:v>0.6122222222222222</x:v>
      </x:c>
      <x:c r="N33" s="99"/>
      <x:c r="O33" s="99" t="n">
        <x:v>0.38034199999999996</x:v>
      </x:c>
      <x:c r="P33" s="99" t="n">
        <x:v>0.04329533333333333</x:v>
      </x:c>
      <x:c r="Q33" s="99" t="n">
        <x:v>0.23356166666666667</x:v>
      </x:c>
      <x:c r="R33" s="99" t="n">
        <x:v>-0.042952</x:v>
      </x:c>
      <x:c r="S33" s="45"/>
      <x:c r="T33" s="45"/>
      <x:c r="U33" s="51" t="d">
        <x:v>2026-09-30T00:00:00.000Z</x:v>
      </x:c>
      <x:c r="V33" s="51" t="d">
        <x:v>2026-09-30T00:00:00.000Z</x:v>
      </x:c>
      <x:c r="W33" s="109" t="n">
        <x:v>9</x:v>
      </x:c>
      <x:c r="X33" s="109" t="n">
        <x:v>9</x:v>
      </x:c>
      <x:c r="Y33" s="45" t="str">
        <x:v>sbx-mex/Perfil_Tienda_DM</x:v>
      </x:c>
      <x:c r="Z33" s="45" t="str">
        <x:v>2a6b0d21379739482f0b4c7be9b0f9a022e15f5b</x:v>
      </x:c>
      <x:c r="AA33" s="45" t="str">
        <x:v>8456a41c5e02d454e70a2531577ffb2e29f73e57e44a7762de681d568aa4227a</x:v>
      </x:c>
    </x:row>
    <x:row r="34" ht="23" customHeight="1">
      <x:c r="A34" s="50" t="str">
        <x:v>38677</x:v>
      </x:c>
      <x:c r="B34" s="108" t="d">
        <x:v>2026-09-30T00:00:00.000Z</x:v>
      </x:c>
      <x:c r="C34" s="99" t="n">
        <x:v>0.137143</x:v>
      </x:c>
      <x:c r="D34" s="100" t="n">
        <x:v>7.166788333333333</x:v>
      </x:c>
      <x:c r="E34" s="100" t="n">
        <x:v>16.978568777777777</x:v>
      </x:c>
      <x:c r="F34" s="99" t="n">
        <x:v>0.15710688888888888</x:v>
      </x:c>
      <x:c r="G34" s="99" t="n">
        <x:v>0.023771111111111114</x:v>
      </x:c>
      <x:c r="H34" s="101" t="n">
        <x:v>15690668</x:v>
      </x:c>
      <x:c r="I34" s="99" t="n">
        <x:v>-0.15680332414325882</x:v>
      </x:c>
      <x:c r="J34" s="100" t="n">
        <x:v>-26.77777777777778</x:v>
      </x:c>
      <x:c r="K34" s="100"/>
      <x:c r="L34" s="99" t="n">
        <x:v>0.6296666666666666</x:v>
      </x:c>
      <x:c r="M34" s="99" t="n">
        <x:v>0.67</x:v>
      </x:c>
      <x:c r="N34" s="99"/>
      <x:c r="O34" s="99" t="n">
        <x:v>0.40433222222222226</x:v>
      </x:c>
      <x:c r="P34" s="99" t="n">
        <x:v>0.02563344444444445</x:v>
      </x:c>
      <x:c r="Q34" s="99" t="n">
        <x:v>0.16967744444444444</x:v>
      </x:c>
      <x:c r="R34" s="99" t="n">
        <x:v>-0.052943555555555556</x:v>
      </x:c>
      <x:c r="S34" s="45"/>
      <x:c r="T34" s="45"/>
      <x:c r="U34" s="51" t="d">
        <x:v>2026-09-30T00:00:00.000Z</x:v>
      </x:c>
      <x:c r="V34" s="51" t="d">
        <x:v>2026-09-30T00:00:00.000Z</x:v>
      </x:c>
      <x:c r="W34" s="109" t="n">
        <x:v>9</x:v>
      </x:c>
      <x:c r="X34" s="109" t="n">
        <x:v>9</x:v>
      </x:c>
      <x:c r="Y34" s="45" t="str">
        <x:v>sbx-mex/Perfil_Tienda_DM</x:v>
      </x:c>
      <x:c r="Z34" s="45" t="str">
        <x:v>2a6b0d21379739482f0b4c7be9b0f9a022e15f5b</x:v>
      </x:c>
      <x:c r="AA34" s="45" t="str">
        <x:v>8456a41c5e02d454e70a2531577ffb2e29f73e57e44a7762de681d568aa4227a</x:v>
      </x:c>
    </x:row>
    <x:row r="35" ht="23" customHeight="1">
      <x:c r="A35" s="50" t="str">
        <x:v>38837</x:v>
      </x:c>
      <x:c r="B35" s="108" t="d">
        <x:v>2026-09-30T00:00:00.000Z</x:v>
      </x:c>
      <x:c r="C35" s="99" t="n">
        <x:v>0.266667</x:v>
      </x:c>
      <x:c r="D35" s="100" t="n">
        <x:v>7.434342555555555</x:v>
      </x:c>
      <x:c r="E35" s="100" t="n">
        <x:v>17.36853211111111</x:v>
      </x:c>
      <x:c r="F35" s="99" t="n">
        <x:v>0.14532622222222222</x:v>
      </x:c>
      <x:c r="G35" s="99" t="n">
        <x:v>0.010879222222222222</x:v>
      </x:c>
      <x:c r="H35" s="101" t="n">
        <x:v>14012838</x:v>
      </x:c>
      <x:c r="I35" s="99" t="n">
        <x:v>-0.0998275580364899</x:v>
      </x:c>
      <x:c r="J35" s="100" t="n">
        <x:v>-9</x:v>
      </x:c>
      <x:c r="K35" s="100"/>
      <x:c r="L35" s="99" t="n">
        <x:v>0.5351111111111111</x:v>
      </x:c>
      <x:c r="M35" s="99" t="n">
        <x:v>0.6477777777777778</x:v>
      </x:c>
      <x:c r="N35" s="99"/>
      <x:c r="O35" s="99" t="n">
        <x:v>0.3614097777777778</x:v>
      </x:c>
      <x:c r="P35" s="99" t="n">
        <x:v>0.021378888888888885</x:v>
      </x:c>
      <x:c r="Q35" s="99" t="n">
        <x:v>0.1954882222222222</x:v>
      </x:c>
      <x:c r="R35" s="99" t="n">
        <x:v>-0.03433944444444444</x:v>
      </x:c>
      <x:c r="S35" s="45"/>
      <x:c r="T35" s="45"/>
      <x:c r="U35" s="51" t="d">
        <x:v>2026-09-30T00:00:00.000Z</x:v>
      </x:c>
      <x:c r="V35" s="51" t="d">
        <x:v>2026-09-30T00:00:00.000Z</x:v>
      </x:c>
      <x:c r="W35" s="109" t="n">
        <x:v>9</x:v>
      </x:c>
      <x:c r="X35" s="109" t="n">
        <x:v>9</x:v>
      </x:c>
      <x:c r="Y35" s="45" t="str">
        <x:v>sbx-mex/Perfil_Tienda_DM</x:v>
      </x:c>
      <x:c r="Z35" s="45" t="str">
        <x:v>2a6b0d21379739482f0b4c7be9b0f9a022e15f5b</x:v>
      </x:c>
      <x:c r="AA35" s="45" t="str">
        <x:v>8456a41c5e02d454e70a2531577ffb2e29f73e57e44a7762de681d568aa4227a</x:v>
      </x:c>
    </x:row>
    <x:row r="36" ht="23" customHeight="1">
      <x:c r="A36" s="50" t="str">
        <x:v>43111</x:v>
      </x:c>
      <x:c r="B36" s="108" t="d">
        <x:v>2026-09-30T00:00:00.000Z</x:v>
      </x:c>
      <x:c r="C36" s="99" t="n">
        <x:v>0.1875</x:v>
      </x:c>
      <x:c r="D36" s="100" t="n">
        <x:v>6.4489366666666665</x:v>
      </x:c>
      <x:c r="E36" s="100" t="n">
        <x:v>15.956641555555555</x:v>
      </x:c>
      <x:c r="F36" s="99" t="n">
        <x:v>0.17923622222222224</x:v>
      </x:c>
      <x:c r="G36" s="99" t="n">
        <x:v>-0.005119555555555553</x:v>
      </x:c>
      <x:c r="H36" s="101" t="n">
        <x:v>10182030</x:v>
      </x:c>
      <x:c r="I36" s="99" t="n">
        <x:v>-0.07909390596122134</x:v>
      </x:c>
      <x:c r="J36" s="100" t="n">
        <x:v>47.833333333333336</x:v>
      </x:c>
      <x:c r="K36" s="100"/>
      <x:c r="L36" s="99" t="n">
        <x:v>0.544</x:v>
      </x:c>
      <x:c r="M36" s="99" t="n">
        <x:v>0.6844444444444444</x:v>
      </x:c>
      <x:c r="N36" s="99"/>
      <x:c r="O36" s="99" t="n">
        <x:v>0.3897598888888889</x:v>
      </x:c>
      <x:c r="P36" s="99" t="n">
        <x:v>0.03628244444444444</x:v>
      </x:c>
      <x:c r="Q36" s="99" t="n">
        <x:v>0.13642066666666666</x:v>
      </x:c>
      <x:c r="R36" s="99" t="n">
        <x:v>-0.09717722222222222</x:v>
      </x:c>
      <x:c r="S36" s="45"/>
      <x:c r="T36" s="45"/>
      <x:c r="U36" s="51" t="d">
        <x:v>2026-09-30T00:00:00.000Z</x:v>
      </x:c>
      <x:c r="V36" s="51" t="d">
        <x:v>2026-09-30T00:00:00.000Z</x:v>
      </x:c>
      <x:c r="W36" s="109" t="n">
        <x:v>9</x:v>
      </x:c>
      <x:c r="X36" s="109" t="n">
        <x:v>9</x:v>
      </x:c>
      <x:c r="Y36" s="45" t="str">
        <x:v>sbx-mex/Perfil_Tienda_DM</x:v>
      </x:c>
      <x:c r="Z36" s="45" t="str">
        <x:v>2a6b0d21379739482f0b4c7be9b0f9a022e15f5b</x:v>
      </x:c>
      <x:c r="AA36" s="45" t="str">
        <x:v>8456a41c5e02d454e70a2531577ffb2e29f73e57e44a7762de681d568aa4227a</x:v>
      </x:c>
    </x:row>
    <x:row r="37" ht="23" customHeight="1">
      <x:c r="A37" s="50" t="str">
        <x:v>43132</x:v>
      </x:c>
      <x:c r="B37" s="108" t="d">
        <x:v>2026-09-30T00:00:00.000Z</x:v>
      </x:c>
      <x:c r="C37" s="99" t="n">
        <x:v>0.274809</x:v>
      </x:c>
      <x:c r="D37" s="100" t="n">
        <x:v>5.123768</x:v>
      </x:c>
      <x:c r="E37" s="100" t="n">
        <x:v>12.808942</x:v>
      </x:c>
      <x:c r="F37" s="99" t="n">
        <x:v>0.1721701111111111</x:v>
      </x:c>
      <x:c r="G37" s="99" t="n">
        <x:v>-0.010886555555555557</x:v>
      </x:c>
      <x:c r="H37" s="101" t="n">
        <x:v>10912987</x:v>
      </x:c>
      <x:c r="I37" s="99" t="n">
        <x:v>-0.08903182780002139</x:v>
      </x:c>
      <x:c r="J37" s="100" t="n">
        <x:v>-20.333333333333332</x:v>
      </x:c>
      <x:c r="K37" s="100"/>
      <x:c r="L37" s="99" t="n">
        <x:v>0.6232222222222222</x:v>
      </x:c>
      <x:c r="M37" s="99" t="n">
        <x:v>0.7355555555555555</x:v>
      </x:c>
      <x:c r="N37" s="99"/>
      <x:c r="O37" s="99" t="n">
        <x:v>0.3593593333333333</x:v>
      </x:c>
      <x:c r="P37" s="99" t="n">
        <x:v>0.020096000000000003</x:v>
      </x:c>
      <x:c r="Q37" s="99" t="n">
        <x:v>0.17865522222222222</x:v>
      </x:c>
      <x:c r="R37" s="99" t="n">
        <x:v>-0.020665111111111117</x:v>
      </x:c>
      <x:c r="S37" s="45"/>
      <x:c r="T37" s="45"/>
      <x:c r="U37" s="51" t="d">
        <x:v>2026-09-30T00:00:00.000Z</x:v>
      </x:c>
      <x:c r="V37" s="51" t="d">
        <x:v>2026-09-30T00:00:00.000Z</x:v>
      </x:c>
      <x:c r="W37" s="109" t="n">
        <x:v>9</x:v>
      </x:c>
      <x:c r="X37" s="109" t="n">
        <x:v>9</x:v>
      </x:c>
      <x:c r="Y37" s="45" t="str">
        <x:v>sbx-mex/Perfil_Tienda_DM</x:v>
      </x:c>
      <x:c r="Z37" s="45" t="str">
        <x:v>2a6b0d21379739482f0b4c7be9b0f9a022e15f5b</x:v>
      </x:c>
      <x:c r="AA37" s="45" t="str">
        <x:v>8456a41c5e02d454e70a2531577ffb2e29f73e57e44a7762de681d568aa4227a</x:v>
      </x:c>
    </x:row>
    <x:row r="38" ht="23" customHeight="1">
      <x:c r="A38" s="50" t="str">
        <x:v>43194</x:v>
      </x:c>
      <x:c r="B38" s="108" t="d">
        <x:v>2026-09-30T00:00:00.000Z</x:v>
      </x:c>
      <x:c r="C38" s="99" t="n">
        <x:v>0.26087</x:v>
      </x:c>
      <x:c r="D38" s="100" t="n">
        <x:v>5.885641625</x:v>
      </x:c>
      <x:c r="E38" s="100" t="n">
        <x:v>12.693543625</x:v>
      </x:c>
      <x:c r="F38" s="99" t="n">
        <x:v>0.15735177777777778</x:v>
      </x:c>
      <x:c r="G38" s="99" t="n">
        <x:v>-0.07079033333333334</x:v>
      </x:c>
      <x:c r="H38" s="101" t="n">
        <x:v>8882081</x:v>
      </x:c>
      <x:c r="I38" s="99" t="n">
        <x:v>0.39119632928004244</x:v>
      </x:c>
      <x:c r="J38" s="100"/>
      <x:c r="K38" s="100"/>
      <x:c r="L38" s="99" t="n">
        <x:v>0.5249999999999999</x:v>
      </x:c>
      <x:c r="M38" s="99" t="n">
        <x:v>0.6777777777777777</x:v>
      </x:c>
      <x:c r="N38" s="99"/>
      <x:c r="O38" s="99" t="n">
        <x:v>0.3489713333333333</x:v>
      </x:c>
      <x:c r="P38" s="99" t="n">
        <x:v>0.021759888888888888</x:v>
      </x:c>
      <x:c r="Q38" s="99" t="n">
        <x:v>0.2665517777777778</x:v>
      </x:c>
      <x:c r="R38" s="99" t="n">
        <x:v>0.017085444444444445</x:v>
      </x:c>
      <x:c r="S38" s="45"/>
      <x:c r="T38" s="45"/>
      <x:c r="U38" s="51" t="d">
        <x:v>2026-09-30T00:00:00.000Z</x:v>
      </x:c>
      <x:c r="V38" s="51" t="d">
        <x:v>2026-09-30T00:00:00.000Z</x:v>
      </x:c>
      <x:c r="W38" s="109" t="n">
        <x:v>9</x:v>
      </x:c>
      <x:c r="X38" s="109" t="n">
        <x:v>9</x:v>
      </x:c>
      <x:c r="Y38" s="45" t="str">
        <x:v>sbx-mex/Perfil_Tienda_DM</x:v>
      </x:c>
      <x:c r="Z38" s="45" t="str">
        <x:v>2a6b0d21379739482f0b4c7be9b0f9a022e15f5b</x:v>
      </x:c>
      <x:c r="AA38" s="45" t="str">
        <x:v>8456a41c5e02d454e70a2531577ffb2e29f73e57e44a7762de681d568aa4227a</x:v>
      </x:c>
    </x:row>
    <x:row r="39" ht="23" customHeight="1">
      <x:c r="A39" s="50" t="str">
        <x:v>43195</x:v>
      </x:c>
      <x:c r="B39" s="108" t="d">
        <x:v>2026-09-30T00:00:00.000Z</x:v>
      </x:c>
      <x:c r="C39" s="99" t="n">
        <x:v>0.330275</x:v>
      </x:c>
      <x:c r="D39" s="100" t="n">
        <x:v>6.577072444444444</x:v>
      </x:c>
      <x:c r="E39" s="100" t="n">
        <x:v>13.752317</x:v>
      </x:c>
      <x:c r="F39" s="99" t="n">
        <x:v>0.16723622222222223</x:v>
      </x:c>
      <x:c r="G39" s="99" t="n">
        <x:v>-0.03826388888888889</x:v>
      </x:c>
      <x:c r="H39" s="101" t="n">
        <x:v>9964698</x:v>
      </x:c>
      <x:c r="I39" s="99" t="n">
        <x:v>0.03158249550732983</x:v>
      </x:c>
      <x:c r="J39" s="100"/>
      <x:c r="K39" s="100"/>
      <x:c r="L39" s="99" t="n">
        <x:v>0.6144444444444445</x:v>
      </x:c>
      <x:c r="M39" s="99" t="n">
        <x:v>0.7188888888888889</x:v>
      </x:c>
      <x:c r="N39" s="99"/>
      <x:c r="O39" s="99" t="n">
        <x:v>0.34195455555555554</x:v>
      </x:c>
      <x:c r="P39" s="99" t="n">
        <x:v>0.01474255555555556</x:v>
      </x:c>
      <x:c r="Q39" s="99" t="n">
        <x:v>0.2495737777777778</x:v>
      </x:c>
      <x:c r="R39" s="99" t="n">
        <x:v>-0.05465499999999999</x:v>
      </x:c>
      <x:c r="S39" s="45"/>
      <x:c r="T39" s="45"/>
      <x:c r="U39" s="51" t="d">
        <x:v>2026-09-30T00:00:00.000Z</x:v>
      </x:c>
      <x:c r="V39" s="51" t="d">
        <x:v>2026-09-30T00:00:00.000Z</x:v>
      </x:c>
      <x:c r="W39" s="109" t="n">
        <x:v>9</x:v>
      </x:c>
      <x:c r="X39" s="109" t="n">
        <x:v>9</x:v>
      </x:c>
      <x:c r="Y39" s="45" t="str">
        <x:v>sbx-mex/Perfil_Tienda_DM</x:v>
      </x:c>
      <x:c r="Z39" s="45" t="str">
        <x:v>2a6b0d21379739482f0b4c7be9b0f9a022e15f5b</x:v>
      </x:c>
      <x:c r="AA39" s="45" t="str">
        <x:v>8456a41c5e02d454e70a2531577ffb2e29f73e57e44a7762de681d568aa4227a</x:v>
      </x:c>
    </x:row>
    <x:row r="40" ht="23" customHeight="1">
      <x:c r="A40" s="50" t="str">
        <x:v>38431</x:v>
      </x:c>
      <x:c r="B40" s="108" t="d">
        <x:v>2026-09-30T00:00:00.000Z</x:v>
      </x:c>
      <x:c r="C40" s="99" t="n">
        <x:v>0.433735</x:v>
      </x:c>
      <x:c r="D40" s="100" t="n">
        <x:v>7.0839754444444445</x:v>
      </x:c>
      <x:c r="E40" s="100" t="n">
        <x:v>16.948757222222223</x:v>
      </x:c>
      <x:c r="F40" s="99" t="n">
        <x:v>0.1598561111111111</x:v>
      </x:c>
      <x:c r="G40" s="99" t="n">
        <x:v>-0.16075755555555554</x:v>
      </x:c>
      <x:c r="H40" s="101" t="n">
        <x:v>13950318</x:v>
      </x:c>
      <x:c r="I40" s="99" t="n">
        <x:v>0.0643188595366373</x:v>
      </x:c>
      <x:c r="J40" s="100" t="n">
        <x:v>-8.11111111111111</x:v>
      </x:c>
      <x:c r="K40" s="100"/>
      <x:c r="L40" s="99" t="n">
        <x:v>0.49677777777777776</x:v>
      </x:c>
      <x:c r="M40" s="99" t="n">
        <x:v>0.7033333333333334</x:v>
      </x:c>
      <x:c r="N40" s="99"/>
      <x:c r="O40" s="99" t="n">
        <x:v>0.3971257777777778</x:v>
      </x:c>
      <x:c r="P40" s="99" t="n">
        <x:v>0.04133322222222221</x:v>
      </x:c>
      <x:c r="Q40" s="99" t="n">
        <x:v>0.11273877777777777</x:v>
      </x:c>
      <x:c r="R40" s="99" t="n">
        <x:v>0.2634385555555555</x:v>
      </x:c>
      <x:c r="S40" s="45"/>
      <x:c r="T40" s="45"/>
      <x:c r="U40" s="51" t="d">
        <x:v>2026-09-30T00:00:00.000Z</x:v>
      </x:c>
      <x:c r="V40" s="51" t="d">
        <x:v>2026-09-30T00:00:00.000Z</x:v>
      </x:c>
      <x:c r="W40" s="109" t="n">
        <x:v>9</x:v>
      </x:c>
      <x:c r="X40" s="109" t="n">
        <x:v>9</x:v>
      </x:c>
      <x:c r="Y40" s="45" t="str">
        <x:v>sbx-mex/Perfil_Tienda_DM</x:v>
      </x:c>
      <x:c r="Z40" s="45" t="str">
        <x:v>2a6b0d21379739482f0b4c7be9b0f9a022e15f5b</x:v>
      </x:c>
      <x:c r="AA40" s="45" t="str">
        <x:v>8456a41c5e02d454e70a2531577ffb2e29f73e57e44a7762de681d568aa4227a</x:v>
      </x:c>
    </x:row>
    <x:row r="41" ht="23" customHeight="1">
      <x:c r="A41" s="50" t="str">
        <x:v>38529</x:v>
      </x:c>
      <x:c r="B41" s="108" t="d">
        <x:v>2026-09-30T00:00:00.000Z</x:v>
      </x:c>
      <x:c r="C41" s="99" t="n">
        <x:v>0.268156</x:v>
      </x:c>
      <x:c r="D41" s="100" t="n">
        <x:v>6.242379888888888</x:v>
      </x:c>
      <x:c r="E41" s="100" t="n">
        <x:v>16.094495555555554</x:v>
      </x:c>
      <x:c r="F41" s="99" t="n">
        <x:v>0.13844766666666666</x:v>
      </x:c>
      <x:c r="G41" s="99" t="n">
        <x:v>-0.0030431111111111106</x:v>
      </x:c>
      <x:c r="H41" s="101" t="n">
        <x:v>17090382</x:v>
      </x:c>
      <x:c r="I41" s="99" t="n">
        <x:v>-0.09021618253947206</x:v>
      </x:c>
      <x:c r="J41" s="100" t="n">
        <x:v>-20.22222222222222</x:v>
      </x:c>
      <x:c r="K41" s="100"/>
      <x:c r="L41" s="99" t="n">
        <x:v>0.49577777777777776</x:v>
      </x:c>
      <x:c r="M41" s="99" t="n">
        <x:v>0.6311111111111111</x:v>
      </x:c>
      <x:c r="N41" s="99"/>
      <x:c r="O41" s="99" t="n">
        <x:v>0.37182588888888884</x:v>
      </x:c>
      <x:c r="P41" s="99" t="n">
        <x:v>0.005983666666666659</x:v>
      </x:c>
      <x:c r="Q41" s="99" t="n">
        <x:v>0.25604944444444444</x:v>
      </x:c>
      <x:c r="R41" s="99" t="n">
        <x:v>-0.009218333333333344</x:v>
      </x:c>
      <x:c r="S41" s="45"/>
      <x:c r="T41" s="45"/>
      <x:c r="U41" s="51" t="d">
        <x:v>2026-09-30T00:00:00.000Z</x:v>
      </x:c>
      <x:c r="V41" s="51" t="d">
        <x:v>2026-09-30T00:00:00.000Z</x:v>
      </x:c>
      <x:c r="W41" s="109" t="n">
        <x:v>9</x:v>
      </x:c>
      <x:c r="X41" s="109" t="n">
        <x:v>9</x:v>
      </x:c>
      <x:c r="Y41" s="45" t="str">
        <x:v>sbx-mex/Perfil_Tienda_DM</x:v>
      </x:c>
      <x:c r="Z41" s="45" t="str">
        <x:v>2a6b0d21379739482f0b4c7be9b0f9a022e15f5b</x:v>
      </x:c>
      <x:c r="AA41" s="45" t="str">
        <x:v>8456a41c5e02d454e70a2531577ffb2e29f73e57e44a7762de681d568aa4227a</x:v>
      </x:c>
    </x:row>
    <x:row r="42" ht="23" customHeight="1">
      <x:c r="A42" s="50" t="str">
        <x:v>38719</x:v>
      </x:c>
      <x:c r="B42" s="108" t="d">
        <x:v>2026-09-30T00:00:00.000Z</x:v>
      </x:c>
      <x:c r="C42" s="99" t="n">
        <x:v>0.379747</x:v>
      </x:c>
      <x:c r="D42" s="100" t="n">
        <x:v>6.888470555555555</x:v>
      </x:c>
      <x:c r="E42" s="100" t="n">
        <x:v>16.763140888888888</x:v>
      </x:c>
      <x:c r="F42" s="99" t="n">
        <x:v>0.1520352222222222</x:v>
      </x:c>
      <x:c r="G42" s="99" t="n">
        <x:v>-0.0050704444444444425</x:v>
      </x:c>
      <x:c r="H42" s="101" t="n">
        <x:v>14486734</x:v>
      </x:c>
      <x:c r="I42" s="99" t="n">
        <x:v>-0.04877397235380032</x:v>
      </x:c>
      <x:c r="J42" s="100" t="n">
        <x:v>-6.111111111111111</x:v>
      </x:c>
      <x:c r="K42" s="100"/>
      <x:c r="L42" s="99" t="n">
        <x:v>0.6167777777777778</x:v>
      </x:c>
      <x:c r="M42" s="99" t="n">
        <x:v>0.7222222222222222</x:v>
      </x:c>
      <x:c r="N42" s="99"/>
      <x:c r="O42" s="99" t="n">
        <x:v>0.4001146666666667</x:v>
      </x:c>
      <x:c r="P42" s="99" t="n">
        <x:v>0.028676888888888894</x:v>
      </x:c>
      <x:c r="Q42" s="99" t="n">
        <x:v>0.1890491111111111</x:v>
      </x:c>
      <x:c r="R42" s="99" t="n">
        <x:v>-0.037905666666666664</x:v>
      </x:c>
      <x:c r="S42" s="45"/>
      <x:c r="T42" s="45"/>
      <x:c r="U42" s="51" t="d">
        <x:v>2026-09-30T00:00:00.000Z</x:v>
      </x:c>
      <x:c r="V42" s="51" t="d">
        <x:v>2026-09-30T00:00:00.000Z</x:v>
      </x:c>
      <x:c r="W42" s="109" t="n">
        <x:v>9</x:v>
      </x:c>
      <x:c r="X42" s="109" t="n">
        <x:v>9</x:v>
      </x:c>
      <x:c r="Y42" s="45" t="str">
        <x:v>sbx-mex/Perfil_Tienda_DM</x:v>
      </x:c>
      <x:c r="Z42" s="45" t="str">
        <x:v>2a6b0d21379739482f0b4c7be9b0f9a022e15f5b</x:v>
      </x:c>
      <x:c r="AA42" s="45" t="str">
        <x:v>8456a41c5e02d454e70a2531577ffb2e29f73e57e44a7762de681d568aa4227a</x:v>
      </x:c>
    </x:row>
    <x:row r="43" ht="23" customHeight="1">
      <x:c r="A43" s="50" t="str">
        <x:v>38811</x:v>
      </x:c>
      <x:c r="B43" s="108" t="d">
        <x:v>2026-09-30T00:00:00.000Z</x:v>
      </x:c>
      <x:c r="C43" s="99" t="n">
        <x:v>0.705882</x:v>
      </x:c>
      <x:c r="D43" s="100" t="n">
        <x:v>9.41313</x:v>
      </x:c>
      <x:c r="E43" s="100" t="n">
        <x:v>23.126814333333336</x:v>
      </x:c>
      <x:c r="F43" s="99" t="n">
        <x:v>0.1291431111111111</x:v>
      </x:c>
      <x:c r="G43" s="99" t="n">
        <x:v>-0.0007365555555555551</x:v>
      </x:c>
      <x:c r="H43" s="101" t="n">
        <x:v>18002734</x:v>
      </x:c>
      <x:c r="I43" s="99" t="n">
        <x:v>-0.0906308960710196</x:v>
      </x:c>
      <x:c r="J43" s="100" t="n">
        <x:v>-17.666666666666668</x:v>
      </x:c>
      <x:c r="K43" s="100"/>
      <x:c r="L43" s="99" t="n">
        <x:v>0.4246666666666667</x:v>
      </x:c>
      <x:c r="M43" s="99" t="n">
        <x:v>0.5911111111111111</x:v>
      </x:c>
      <x:c r="N43" s="99"/>
      <x:c r="O43" s="99" t="n">
        <x:v>0.37302477777777776</x:v>
      </x:c>
      <x:c r="P43" s="99" t="n">
        <x:v>0.041967000000000004</x:v>
      </x:c>
      <x:c r="Q43" s="99" t="n">
        <x:v>0.23360555555555557</x:v>
      </x:c>
      <x:c r="R43" s="99" t="n">
        <x:v>-0.04929255555555555</x:v>
      </x:c>
      <x:c r="S43" s="45"/>
      <x:c r="T43" s="45"/>
      <x:c r="U43" s="51" t="d">
        <x:v>2026-09-30T00:00:00.000Z</x:v>
      </x:c>
      <x:c r="V43" s="51" t="d">
        <x:v>2026-09-30T00:00:00.000Z</x:v>
      </x:c>
      <x:c r="W43" s="109" t="n">
        <x:v>9</x:v>
      </x:c>
      <x:c r="X43" s="109" t="n">
        <x:v>9</x:v>
      </x:c>
      <x:c r="Y43" s="45" t="str">
        <x:v>sbx-mex/Perfil_Tienda_DM</x:v>
      </x:c>
      <x:c r="Z43" s="45" t="str">
        <x:v>2a6b0d21379739482f0b4c7be9b0f9a022e15f5b</x:v>
      </x:c>
      <x:c r="AA43" s="45" t="str">
        <x:v>8456a41c5e02d454e70a2531577ffb2e29f73e57e44a7762de681d568aa4227a</x:v>
      </x:c>
    </x:row>
    <x:row r="44" ht="23" customHeight="1">
      <x:c r="A44" s="50" t="str">
        <x:v>38903</x:v>
      </x:c>
      <x:c r="B44" s="108" t="d">
        <x:v>2026-09-30T00:00:00.000Z</x:v>
      </x:c>
      <x:c r="C44" s="99" t="n">
        <x:v>0.475248</x:v>
      </x:c>
      <x:c r="D44" s="100" t="n">
        <x:v>7.087406111111111</x:v>
      </x:c>
      <x:c r="E44" s="100" t="n">
        <x:v>16.77928933333333</x:v>
      </x:c>
      <x:c r="F44" s="99" t="n">
        <x:v>0.13692122222222222</x:v>
      </x:c>
      <x:c r="G44" s="99" t="n">
        <x:v>-0.0009077777777777789</x:v>
      </x:c>
      <x:c r="H44" s="101" t="n">
        <x:v>20569513</x:v>
      </x:c>
      <x:c r="I44" s="99" t="n">
        <x:v>-0.031426351942549835</x:v>
      </x:c>
      <x:c r="J44" s="100" t="n">
        <x:v>-1.7777777777777777</x:v>
      </x:c>
      <x:c r="K44" s="100"/>
      <x:c r="L44" s="99" t="n">
        <x:v>0.431</x:v>
      </x:c>
      <x:c r="M44" s="99" t="n">
        <x:v>0.5644444444444444</x:v>
      </x:c>
      <x:c r="N44" s="99"/>
      <x:c r="O44" s="99" t="n">
        <x:v>0.376379</x:v>
      </x:c>
      <x:c r="P44" s="99" t="n">
        <x:v>0.02015</x:v>
      </x:c>
      <x:c r="Q44" s="99" t="n">
        <x:v>0.23433555555555557</x:v>
      </x:c>
      <x:c r="R44" s="99" t="n">
        <x:v>-0.0305128888888889</x:v>
      </x:c>
      <x:c r="S44" s="45"/>
      <x:c r="T44" s="45"/>
      <x:c r="U44" s="51" t="d">
        <x:v>2026-09-30T00:00:00.000Z</x:v>
      </x:c>
      <x:c r="V44" s="51" t="d">
        <x:v>2026-09-30T00:00:00.000Z</x:v>
      </x:c>
      <x:c r="W44" s="109" t="n">
        <x:v>9</x:v>
      </x:c>
      <x:c r="X44" s="109" t="n">
        <x:v>9</x:v>
      </x:c>
      <x:c r="Y44" s="45" t="str">
        <x:v>sbx-mex/Perfil_Tienda_DM</x:v>
      </x:c>
      <x:c r="Z44" s="45" t="str">
        <x:v>2a6b0d21379739482f0b4c7be9b0f9a022e15f5b</x:v>
      </x:c>
      <x:c r="AA44" s="45" t="str">
        <x:v>8456a41c5e02d454e70a2531577ffb2e29f73e57e44a7762de681d568aa4227a</x:v>
      </x:c>
    </x:row>
    <x:row r="45" ht="23" customHeight="1">
      <x:c r="A45" s="50" t="str">
        <x:v>38924</x:v>
      </x:c>
      <x:c r="B45" s="108" t="d">
        <x:v>2026-09-30T00:00:00.000Z</x:v>
      </x:c>
      <x:c r="C45" s="99" t="n">
        <x:v>0</x:v>
      </x:c>
      <x:c r="D45" s="100" t="n">
        <x:v>5.9167728888888895</x:v>
      </x:c>
      <x:c r="E45" s="100" t="n">
        <x:v>14.085513666666666</x:v>
      </x:c>
      <x:c r="F45" s="99" t="n">
        <x:v>0.1567421111111111</x:v>
      </x:c>
      <x:c r="G45" s="99" t="n">
        <x:v>-0.0025988888888888915</x:v>
      </x:c>
      <x:c r="H45" s="101" t="n">
        <x:v>13629493</x:v>
      </x:c>
      <x:c r="I45" s="99" t="n">
        <x:v>-0.033462752190055456</x:v>
      </x:c>
      <x:c r="J45" s="100" t="n">
        <x:v>-2.111111111111111</x:v>
      </x:c>
      <x:c r="K45" s="100"/>
      <x:c r="L45" s="99" t="n">
        <x:v>0.5325555555555556</x:v>
      </x:c>
      <x:c r="M45" s="99" t="n">
        <x:v>0.6577777777777778</x:v>
      </x:c>
      <x:c r="N45" s="99"/>
      <x:c r="O45" s="99" t="n">
        <x:v>0.371126</x:v>
      </x:c>
      <x:c r="P45" s="99" t="n">
        <x:v>0.025055888888888884</x:v>
      </x:c>
      <x:c r="Q45" s="99" t="n">
        <x:v>0.21260144444444445</x:v>
      </x:c>
      <x:c r="R45" s="99" t="n">
        <x:v>-0.030744222222222235</x:v>
      </x:c>
      <x:c r="S45" s="45"/>
      <x:c r="T45" s="45"/>
      <x:c r="U45" s="51" t="d">
        <x:v>2026-09-30T00:00:00.000Z</x:v>
      </x:c>
      <x:c r="V45" s="51" t="d">
        <x:v>2026-09-30T00:00:00.000Z</x:v>
      </x:c>
      <x:c r="W45" s="109" t="n">
        <x:v>9</x:v>
      </x:c>
      <x:c r="X45" s="109" t="n">
        <x:v>9</x:v>
      </x:c>
      <x:c r="Y45" s="45" t="str">
        <x:v>sbx-mex/Perfil_Tienda_DM</x:v>
      </x:c>
      <x:c r="Z45" s="45" t="str">
        <x:v>2a6b0d21379739482f0b4c7be9b0f9a022e15f5b</x:v>
      </x:c>
      <x:c r="AA45" s="45" t="str">
        <x:v>8456a41c5e02d454e70a2531577ffb2e29f73e57e44a7762de681d568aa4227a</x:v>
      </x:c>
    </x:row>
    <x:row r="46" ht="23" customHeight="1">
      <x:c r="A46" s="50" t="str">
        <x:v>38930</x:v>
      </x:c>
      <x:c r="B46" s="108" t="d">
        <x:v>2026-09-30T00:00:00.000Z</x:v>
      </x:c>
      <x:c r="C46" s="99" t="n">
        <x:v>0.336842</x:v>
      </x:c>
      <x:c r="D46" s="100" t="n">
        <x:v>6.759038</x:v>
      </x:c>
      <x:c r="E46" s="100" t="n">
        <x:v>16.59137022222222</x:v>
      </x:c>
      <x:c r="F46" s="99" t="n">
        <x:v>0.12333422222222223</x:v>
      </x:c>
      <x:c r="G46" s="99" t="n">
        <x:v>-0.03723255555555555</x:v>
      </x:c>
      <x:c r="H46" s="101" t="n">
        <x:v>30284550</x:v>
      </x:c>
      <x:c r="I46" s="99" t="n">
        <x:v>0.1372025454315393</x:v>
      </x:c>
      <x:c r="J46" s="100" t="n">
        <x:v>1.6666666666666667</x:v>
      </x:c>
      <x:c r="K46" s="100"/>
      <x:c r="L46" s="99" t="n">
        <x:v>0.3726666666666667</x:v>
      </x:c>
      <x:c r="M46" s="99" t="n">
        <x:v>0.5277777777777778</x:v>
      </x:c>
      <x:c r="N46" s="99"/>
      <x:c r="O46" s="99" t="n">
        <x:v>0.35078766666666666</x:v>
      </x:c>
      <x:c r="P46" s="99" t="n">
        <x:v>0.018247777777777783</x:v>
      </x:c>
      <x:c r="Q46" s="99" t="n">
        <x:v>0.31499822222222224</x:v>
      </x:c>
      <x:c r="R46" s="99" t="n">
        <x:v>0.045349333333333325</x:v>
      </x:c>
      <x:c r="S46" s="45" t="str">
        <x:v>01:31</x:v>
      </x:c>
      <x:c r="T46" s="45" t="str">
        <x:v>01:29</x:v>
      </x:c>
      <x:c r="U46" s="51" t="d">
        <x:v>2026-09-30T00:00:00.000Z</x:v>
      </x:c>
      <x:c r="V46" s="51" t="d">
        <x:v>2026-09-30T00:00:00.000Z</x:v>
      </x:c>
      <x:c r="W46" s="109" t="n">
        <x:v>9</x:v>
      </x:c>
      <x:c r="X46" s="109" t="n">
        <x:v>9</x:v>
      </x:c>
      <x:c r="Y46" s="45" t="str">
        <x:v>sbx-mex/Perfil_Tienda_DM</x:v>
      </x:c>
      <x:c r="Z46" s="45" t="str">
        <x:v>2a6b0d21379739482f0b4c7be9b0f9a022e15f5b</x:v>
      </x:c>
      <x:c r="AA46" s="45" t="str">
        <x:v>8456a41c5e02d454e70a2531577ffb2e29f73e57e44a7762de681d568aa4227a</x:v>
      </x:c>
    </x:row>
    <x:row r="47" ht="23" customHeight="1">
      <x:c r="A47" s="50" t="str">
        <x:v>38937</x:v>
      </x:c>
      <x:c r="B47" s="108" t="d">
        <x:v>2026-09-30T00:00:00.000Z</x:v>
      </x:c>
      <x:c r="C47" s="99" t="n">
        <x:v>0.426667</x:v>
      </x:c>
      <x:c r="D47" s="100" t="n">
        <x:v>7.986645222222222</x:v>
      </x:c>
      <x:c r="E47" s="100" t="n">
        <x:v>19.810409777777778</x:v>
      </x:c>
      <x:c r="F47" s="99" t="n">
        <x:v>0.13674966666666666</x:v>
      </x:c>
      <x:c r="G47" s="99" t="n">
        <x:v>0.0072961111111111065</x:v>
      </x:c>
      <x:c r="H47" s="101" t="n">
        <x:v>21927107</x:v>
      </x:c>
      <x:c r="I47" s="99" t="n">
        <x:v>-0.0386692000232125</x:v>
      </x:c>
      <x:c r="J47" s="100" t="n">
        <x:v>7.888888888888889</x:v>
      </x:c>
      <x:c r="K47" s="100"/>
      <x:c r="L47" s="99" t="n">
        <x:v>0.3887777777777778</x:v>
      </x:c>
      <x:c r="M47" s="99" t="n">
        <x:v>0.5333333333333333</x:v>
      </x:c>
      <x:c r="N47" s="99"/>
      <x:c r="O47" s="99" t="n">
        <x:v>0.3574217777777778</x:v>
      </x:c>
      <x:c r="P47" s="99" t="n">
        <x:v>-0.006297999999999995</x:v>
      </x:c>
      <x:c r="Q47" s="99" t="n">
        <x:v>0.26834555555555556</x:v>
      </x:c>
      <x:c r="R47" s="99" t="n">
        <x:v>0.0038275555555555654</x:v>
      </x:c>
      <x:c r="S47" s="45"/>
      <x:c r="T47" s="45"/>
      <x:c r="U47" s="51" t="d">
        <x:v>2026-09-30T00:00:00.000Z</x:v>
      </x:c>
      <x:c r="V47" s="51" t="d">
        <x:v>2026-09-30T00:00:00.000Z</x:v>
      </x:c>
      <x:c r="W47" s="109" t="n">
        <x:v>9</x:v>
      </x:c>
      <x:c r="X47" s="109" t="n">
        <x:v>9</x:v>
      </x:c>
      <x:c r="Y47" s="45" t="str">
        <x:v>sbx-mex/Perfil_Tienda_DM</x:v>
      </x:c>
      <x:c r="Z47" s="45" t="str">
        <x:v>2a6b0d21379739482f0b4c7be9b0f9a022e15f5b</x:v>
      </x:c>
      <x:c r="AA47" s="45" t="str">
        <x:v>8456a41c5e02d454e70a2531577ffb2e29f73e57e44a7762de681d568aa4227a</x:v>
      </x:c>
    </x:row>
    <x:row r="48" ht="23" customHeight="1">
      <x:c r="A48" s="50" t="str">
        <x:v>38965</x:v>
      </x:c>
      <x:c r="B48" s="108" t="d">
        <x:v>2026-09-30T00:00:00.000Z</x:v>
      </x:c>
      <x:c r="C48" s="99" t="n">
        <x:v>0.437956</x:v>
      </x:c>
      <x:c r="D48" s="100" t="n">
        <x:v>6.915564555555556</x:v>
      </x:c>
      <x:c r="E48" s="100" t="n">
        <x:v>15.128462222222222</x:v>
      </x:c>
      <x:c r="F48" s="99" t="n">
        <x:v>0.15816422222222223</x:v>
      </x:c>
      <x:c r="G48" s="99" t="n">
        <x:v>0.004035888888888885</x:v>
      </x:c>
      <x:c r="H48" s="101" t="n">
        <x:v>11866303</x:v>
      </x:c>
      <x:c r="I48" s="99" t="n">
        <x:v>-0.07234464087338255</x:v>
      </x:c>
      <x:c r="J48" s="100" t="n">
        <x:v>-9.11111111111111</x:v>
      </x:c>
      <x:c r="K48" s="100"/>
      <x:c r="L48" s="99" t="n">
        <x:v>0.5017777777777778</x:v>
      </x:c>
      <x:c r="M48" s="99" t="n">
        <x:v>0.6644444444444444</x:v>
      </x:c>
      <x:c r="N48" s="99"/>
      <x:c r="O48" s="99" t="n">
        <x:v>0.35940822222222224</x:v>
      </x:c>
      <x:c r="P48" s="99" t="n">
        <x:v>0.036936555555555556</x:v>
      </x:c>
      <x:c r="Q48" s="99" t="n">
        <x:v>0.19786955555555555</x:v>
      </x:c>
      <x:c r="R48" s="99" t="n">
        <x:v>-0.047094111111111114</x:v>
      </x:c>
      <x:c r="S48" s="45"/>
      <x:c r="T48" s="45"/>
      <x:c r="U48" s="51" t="d">
        <x:v>2026-09-30T00:00:00.000Z</x:v>
      </x:c>
      <x:c r="V48" s="51" t="d">
        <x:v>2026-09-30T00:00:00.000Z</x:v>
      </x:c>
      <x:c r="W48" s="109" t="n">
        <x:v>9</x:v>
      </x:c>
      <x:c r="X48" s="109" t="n">
        <x:v>9</x:v>
      </x:c>
      <x:c r="Y48" s="45" t="str">
        <x:v>sbx-mex/Perfil_Tienda_DM</x:v>
      </x:c>
      <x:c r="Z48" s="45" t="str">
        <x:v>2a6b0d21379739482f0b4c7be9b0f9a022e15f5b</x:v>
      </x:c>
      <x:c r="AA48" s="45" t="str">
        <x:v>8456a41c5e02d454e70a2531577ffb2e29f73e57e44a7762de681d568aa4227a</x:v>
      </x:c>
    </x:row>
    <x:row r="49" ht="23" customHeight="1">
      <x:c r="A49" s="50" t="str">
        <x:v>38992</x:v>
      </x:c>
      <x:c r="B49" s="108" t="d">
        <x:v>2026-09-30T00:00:00.000Z</x:v>
      </x:c>
      <x:c r="C49" s="99" t="n">
        <x:v>0.271186</x:v>
      </x:c>
      <x:c r="D49" s="100" t="n">
        <x:v>7.102727444444445</x:v>
      </x:c>
      <x:c r="E49" s="100" t="n">
        <x:v>15.315435222222224</x:v>
      </x:c>
      <x:c r="F49" s="99" t="n">
        <x:v>0.14099966666666666</x:v>
      </x:c>
      <x:c r="G49" s="99" t="n">
        <x:v>-0.013759888888888886</x:v>
      </x:c>
      <x:c r="H49" s="101" t="n">
        <x:v>17330967</x:v>
      </x:c>
      <x:c r="I49" s="99" t="n">
        <x:v>0.13030582451593986</x:v>
      </x:c>
      <x:c r="J49" s="100" t="n">
        <x:v>35.111111111111114</x:v>
      </x:c>
      <x:c r="K49" s="100"/>
      <x:c r="L49" s="99" t="n">
        <x:v>0.556888888888889</x:v>
      </x:c>
      <x:c r="M49" s="99" t="n">
        <x:v>0.5988888888888889</x:v>
      </x:c>
      <x:c r="N49" s="99"/>
      <x:c r="O49" s="99" t="n">
        <x:v>0.363805</x:v>
      </x:c>
      <x:c r="P49" s="99" t="n">
        <x:v>0.004846444444444449</x:v>
      </x:c>
      <x:c r="Q49" s="99" t="n">
        <x:v>0.19496</x:v>
      </x:c>
      <x:c r="R49" s="99" t="n">
        <x:v>-0.006398111111111104</x:v>
      </x:c>
      <x:c r="S49" s="45"/>
      <x:c r="T49" s="45"/>
      <x:c r="U49" s="51" t="d">
        <x:v>2026-09-30T00:00:00.000Z</x:v>
      </x:c>
      <x:c r="V49" s="51" t="d">
        <x:v>2026-09-30T00:00:00.000Z</x:v>
      </x:c>
      <x:c r="W49" s="109" t="n">
        <x:v>9</x:v>
      </x:c>
      <x:c r="X49" s="109" t="n">
        <x:v>9</x:v>
      </x:c>
      <x:c r="Y49" s="45" t="str">
        <x:v>sbx-mex/Perfil_Tienda_DM</x:v>
      </x:c>
      <x:c r="Z49" s="45" t="str">
        <x:v>2a6b0d21379739482f0b4c7be9b0f9a022e15f5b</x:v>
      </x:c>
      <x:c r="AA49" s="45" t="str">
        <x:v>8456a41c5e02d454e70a2531577ffb2e29f73e57e44a7762de681d568aa4227a</x:v>
      </x:c>
    </x:row>
    <x:row r="50" ht="23" customHeight="1">
      <x:c r="A50" s="50" t="str">
        <x:v>38995</x:v>
      </x:c>
      <x:c r="B50" s="108" t="d">
        <x:v>2026-09-30T00:00:00.000Z</x:v>
      </x:c>
      <x:c r="C50" s="99" t="n">
        <x:v>0.428571</x:v>
      </x:c>
      <x:c r="D50" s="100" t="n">
        <x:v>6.435575777777777</x:v>
      </x:c>
      <x:c r="E50" s="100" t="n">
        <x:v>15.072148555555556</x:v>
      </x:c>
      <x:c r="F50" s="99" t="n">
        <x:v>0.15826377777777778</x:v>
      </x:c>
      <x:c r="G50" s="99" t="n">
        <x:v>0.0033065555555555535</x:v>
      </x:c>
      <x:c r="H50" s="101" t="n">
        <x:v>12230107</x:v>
      </x:c>
      <x:c r="I50" s="99" t="n">
        <x:v>-0.06777228069489605</x:v>
      </x:c>
      <x:c r="J50" s="100" t="n">
        <x:v>-0.1111111111111111</x:v>
      </x:c>
      <x:c r="K50" s="100"/>
      <x:c r="L50" s="99" t="n">
        <x:v>0.5215555555555556</x:v>
      </x:c>
      <x:c r="M50" s="99" t="n">
        <x:v>0.6355555555555557</x:v>
      </x:c>
      <x:c r="N50" s="99"/>
      <x:c r="O50" s="99" t="n">
        <x:v>0.39206677777777776</x:v>
      </x:c>
      <x:c r="P50" s="99" t="n">
        <x:v>0.04119133333333335</x:v>
      </x:c>
      <x:c r="Q50" s="99" t="n">
        <x:v>0.193712</x:v>
      </x:c>
      <x:c r="R50" s="99" t="n">
        <x:v>-0.036631222222222225</x:v>
      </x:c>
      <x:c r="S50" s="45"/>
      <x:c r="T50" s="45"/>
      <x:c r="U50" s="51" t="d">
        <x:v>2026-09-30T00:00:00.000Z</x:v>
      </x:c>
      <x:c r="V50" s="51" t="d">
        <x:v>2026-09-30T00:00:00.000Z</x:v>
      </x:c>
      <x:c r="W50" s="109" t="n">
        <x:v>9</x:v>
      </x:c>
      <x:c r="X50" s="109" t="n">
        <x:v>9</x:v>
      </x:c>
      <x:c r="Y50" s="45" t="str">
        <x:v>sbx-mex/Perfil_Tienda_DM</x:v>
      </x:c>
      <x:c r="Z50" s="45" t="str">
        <x:v>2a6b0d21379739482f0b4c7be9b0f9a022e15f5b</x:v>
      </x:c>
      <x:c r="AA50" s="45" t="str">
        <x:v>8456a41c5e02d454e70a2531577ffb2e29f73e57e44a7762de681d568aa4227a</x:v>
      </x:c>
    </x:row>
    <x:row r="51" ht="23" customHeight="1">
      <x:c r="A51" s="50" t="str">
        <x:v>38117</x:v>
      </x:c>
      <x:c r="B51" s="108" t="d">
        <x:v>2026-09-30T00:00:00.000Z</x:v>
      </x:c>
      <x:c r="C51" s="99" t="n">
        <x:v>0.2</x:v>
      </x:c>
      <x:c r="D51" s="100" t="n">
        <x:v>4.626085444444445</x:v>
      </x:c>
      <x:c r="E51" s="100" t="n">
        <x:v>10.627716333333332</x:v>
      </x:c>
      <x:c r="F51" s="99" t="n">
        <x:v>0.2533177777777778</x:v>
      </x:c>
      <x:c r="G51" s="99" t="n">
        <x:v>0.06913366666666668</x:v>
      </x:c>
      <x:c r="H51" s="101" t="n">
        <x:v>7982325</x:v>
      </x:c>
      <x:c r="I51" s="99" t="n">
        <x:v>-0.22043528334269213</x:v>
      </x:c>
      <x:c r="J51" s="100" t="n">
        <x:v>-34.25</x:v>
      </x:c>
      <x:c r="K51" s="100"/>
      <x:c r="L51" s="99" t="n">
        <x:v>0.5329999999999999</x:v>
      </x:c>
      <x:c r="M51" s="99" t="n">
        <x:v>0.6044444444444445</x:v>
      </x:c>
      <x:c r="N51" s="99"/>
      <x:c r="O51" s="99" t="n">
        <x:v>0.4085917777777778</x:v>
      </x:c>
      <x:c r="P51" s="99" t="n">
        <x:v>0.011827888888888879</x:v>
      </x:c>
      <x:c r="Q51" s="99" t="n">
        <x:v>-0.08658144444444443</x:v>
      </x:c>
      <x:c r="R51" s="99" t="n">
        <x:v>-0.08694644444444445</x:v>
      </x:c>
      <x:c r="S51" s="45"/>
      <x:c r="T51" s="45"/>
      <x:c r="U51" s="51" t="d">
        <x:v>2026-09-30T00:00:00.000Z</x:v>
      </x:c>
      <x:c r="V51" s="51" t="d">
        <x:v>2026-09-30T00:00:00.000Z</x:v>
      </x:c>
      <x:c r="W51" s="109" t="n">
        <x:v>9</x:v>
      </x:c>
      <x:c r="X51" s="109" t="n">
        <x:v>9</x:v>
      </x:c>
      <x:c r="Y51" s="45" t="str">
        <x:v>sbx-mex/Perfil_Tienda_DM</x:v>
      </x:c>
      <x:c r="Z51" s="45" t="str">
        <x:v>2a6b0d21379739482f0b4c7be9b0f9a022e15f5b</x:v>
      </x:c>
      <x:c r="AA51" s="45" t="str">
        <x:v>8456a41c5e02d454e70a2531577ffb2e29f73e57e44a7762de681d568aa4227a</x:v>
      </x:c>
    </x:row>
    <x:row r="52" ht="23" customHeight="1">
      <x:c r="A52" s="50" t="str">
        <x:v>38176</x:v>
      </x:c>
      <x:c r="B52" s="108" t="d">
        <x:v>2026-09-30T00:00:00.000Z</x:v>
      </x:c>
      <x:c r="C52" s="99" t="n">
        <x:v>0.550459</x:v>
      </x:c>
      <x:c r="D52" s="100" t="n">
        <x:v>5.325661666666666</x:v>
      </x:c>
      <x:c r="E52" s="100" t="n">
        <x:v>13.064022444444443</x:v>
      </x:c>
      <x:c r="F52" s="99" t="n">
        <x:v>0.2608753333333333</x:v>
      </x:c>
      <x:c r="G52" s="99" t="n">
        <x:v>0.11708677777777776</x:v>
      </x:c>
      <x:c r="H52" s="101" t="n">
        <x:v>16871420</x:v>
      </x:c>
      <x:c r="I52" s="99" t="n">
        <x:v>-0.2910654470951761</x:v>
      </x:c>
      <x:c r="J52" s="100" t="n">
        <x:v>-128.33333333333334</x:v>
      </x:c>
      <x:c r="K52" s="100"/>
      <x:c r="L52" s="99" t="n">
        <x:v>0.5022222222222221</x:v>
      </x:c>
      <x:c r="M52" s="99" t="n">
        <x:v>0.6522222222222223</x:v>
      </x:c>
      <x:c r="N52" s="99"/>
      <x:c r="O52" s="99" t="n">
        <x:v>0.3493015555555556</x:v>
      </x:c>
      <x:c r="P52" s="99" t="n">
        <x:v>-0.0007016666666666745</x:v>
      </x:c>
      <x:c r="Q52" s="99" t="n">
        <x:v>-0.020636777777777775</x:v>
      </x:c>
      <x:c r="R52" s="99" t="n">
        <x:v>-0.3102068888888889</x:v>
      </x:c>
      <x:c r="S52" s="45" t="str">
        <x:v>01:33</x:v>
      </x:c>
      <x:c r="T52" s="45" t="str">
        <x:v>01:27</x:v>
      </x:c>
      <x:c r="U52" s="51" t="d">
        <x:v>2026-09-30T00:00:00.000Z</x:v>
      </x:c>
      <x:c r="V52" s="51" t="d">
        <x:v>2026-09-30T00:00:00.000Z</x:v>
      </x:c>
      <x:c r="W52" s="109" t="n">
        <x:v>9</x:v>
      </x:c>
      <x:c r="X52" s="109" t="n">
        <x:v>9</x:v>
      </x:c>
      <x:c r="Y52" s="45" t="str">
        <x:v>sbx-mex/Perfil_Tienda_DM</x:v>
      </x:c>
      <x:c r="Z52" s="45" t="str">
        <x:v>2a6b0d21379739482f0b4c7be9b0f9a022e15f5b</x:v>
      </x:c>
      <x:c r="AA52" s="45" t="str">
        <x:v>8456a41c5e02d454e70a2531577ffb2e29f73e57e44a7762de681d568aa4227a</x:v>
      </x:c>
    </x:row>
    <x:row r="53" ht="23" customHeight="1">
      <x:c r="A53" s="50" t="str">
        <x:v>38197</x:v>
      </x:c>
      <x:c r="B53" s="108" t="d">
        <x:v>2026-09-30T00:00:00.000Z</x:v>
      </x:c>
      <x:c r="C53" s="99" t="n">
        <x:v>0.376963</x:v>
      </x:c>
      <x:c r="D53" s="100" t="n">
        <x:v>5.771504444444444</x:v>
      </x:c>
      <x:c r="E53" s="100" t="n">
        <x:v>14.471522444444442</x:v>
      </x:c>
      <x:c r="F53" s="99" t="n">
        <x:v>0.1449481111111111</x:v>
      </x:c>
      <x:c r="G53" s="99" t="n">
        <x:v>-0.019338124999999994</x:v>
      </x:c>
      <x:c r="H53" s="101" t="n">
        <x:v>18419406</x:v>
      </x:c>
      <x:c r="I53" s="99" t="n">
        <x:v>0.027457697256537905</x:v>
      </x:c>
      <x:c r="J53" s="100" t="n">
        <x:v>-15.666666666666666</x:v>
      </x:c>
      <x:c r="K53" s="100"/>
      <x:c r="L53" s="99" t="n">
        <x:v>0.5143333333333334</x:v>
      </x:c>
      <x:c r="M53" s="99" t="n">
        <x:v>0.6488888888888888</x:v>
      </x:c>
      <x:c r="N53" s="99"/>
      <x:c r="O53" s="99" t="n">
        <x:v>0.3454304444444445</x:v>
      </x:c>
      <x:c r="P53" s="99" t="n">
        <x:v>0.0016028750000000036</x:v>
      </x:c>
      <x:c r="Q53" s="99" t="n">
        <x:v>0.22137244444444443</x:v>
      </x:c>
      <x:c r="R53" s="99" t="n">
        <x:v>-0.008473249999999998</x:v>
      </x:c>
      <x:c r="S53" s="45"/>
      <x:c r="T53" s="45"/>
      <x:c r="U53" s="51" t="d">
        <x:v>2026-09-30T00:00:00.000Z</x:v>
      </x:c>
      <x:c r="V53" s="51" t="d">
        <x:v>2026-09-30T00:00:00.000Z</x:v>
      </x:c>
      <x:c r="W53" s="109" t="n">
        <x:v>9</x:v>
      </x:c>
      <x:c r="X53" s="109" t="n">
        <x:v>9</x:v>
      </x:c>
      <x:c r="Y53" s="45" t="str">
        <x:v>sbx-mex/Perfil_Tienda_DM</x:v>
      </x:c>
      <x:c r="Z53" s="45" t="str">
        <x:v>2a6b0d21379739482f0b4c7be9b0f9a022e15f5b</x:v>
      </x:c>
      <x:c r="AA53" s="45" t="str">
        <x:v>8456a41c5e02d454e70a2531577ffb2e29f73e57e44a7762de681d568aa4227a</x:v>
      </x:c>
    </x:row>
    <x:row r="54" ht="23" customHeight="1">
      <x:c r="A54" s="50" t="str">
        <x:v>38427</x:v>
      </x:c>
      <x:c r="B54" s="108" t="d">
        <x:v>2026-09-30T00:00:00.000Z</x:v>
      </x:c>
      <x:c r="C54" s="99" t="n">
        <x:v>0.370044</x:v>
      </x:c>
      <x:c r="D54" s="100" t="n">
        <x:v>6.15124</x:v>
      </x:c>
      <x:c r="E54" s="100" t="n">
        <x:v>14.456428666666666</x:v>
      </x:c>
      <x:c r="F54" s="99" t="n">
        <x:v>0.15723044444444445</x:v>
      </x:c>
      <x:c r="G54" s="99" t="n">
        <x:v>0.018134888888888888</x:v>
      </x:c>
      <x:c r="H54" s="101" t="n">
        <x:v>19195694</x:v>
      </x:c>
      <x:c r="I54" s="99" t="n">
        <x:v>-0.08030962099182881</x:v>
      </x:c>
      <x:c r="J54" s="100" t="n">
        <x:v>3.4444444444444446</x:v>
      </x:c>
      <x:c r="K54" s="100"/>
      <x:c r="L54" s="99" t="n">
        <x:v>0.4541111111111111</x:v>
      </x:c>
      <x:c r="M54" s="99" t="n">
        <x:v>0.62</x:v>
      </x:c>
      <x:c r="N54" s="99"/>
      <x:c r="O54" s="99" t="n">
        <x:v>0.3412911111111111</x:v>
      </x:c>
      <x:c r="P54" s="99" t="n">
        <x:v>-0.018105666666666662</x:v>
      </x:c>
      <x:c r="Q54" s="99" t="n">
        <x:v>0.25235188888888893</x:v>
      </x:c>
      <x:c r="R54" s="99" t="n">
        <x:v>0.04959355555555556</x:v>
      </x:c>
      <x:c r="S54" s="45"/>
      <x:c r="T54" s="45"/>
      <x:c r="U54" s="51" t="d">
        <x:v>2026-09-30T00:00:00.000Z</x:v>
      </x:c>
      <x:c r="V54" s="51" t="d">
        <x:v>2026-09-30T00:00:00.000Z</x:v>
      </x:c>
      <x:c r="W54" s="109" t="n">
        <x:v>9</x:v>
      </x:c>
      <x:c r="X54" s="109" t="n">
        <x:v>9</x:v>
      </x:c>
      <x:c r="Y54" s="45" t="str">
        <x:v>sbx-mex/Perfil_Tienda_DM</x:v>
      </x:c>
      <x:c r="Z54" s="45" t="str">
        <x:v>2a6b0d21379739482f0b4c7be9b0f9a022e15f5b</x:v>
      </x:c>
      <x:c r="AA54" s="45" t="str">
        <x:v>8456a41c5e02d454e70a2531577ffb2e29f73e57e44a7762de681d568aa4227a</x:v>
      </x:c>
    </x:row>
    <x:row r="55" ht="23" customHeight="1">
      <x:c r="A55" s="50" t="str">
        <x:v>38458</x:v>
      </x:c>
      <x:c r="B55" s="108" t="d">
        <x:v>2026-09-30T00:00:00.000Z</x:v>
      </x:c>
      <x:c r="C55" s="99" t="n">
        <x:v>0.596273</x:v>
      </x:c>
      <x:c r="D55" s="100" t="n">
        <x:v>7.394016888888889</x:v>
      </x:c>
      <x:c r="E55" s="100" t="n">
        <x:v>15.380126666666667</x:v>
      </x:c>
      <x:c r="F55" s="99" t="n">
        <x:v>0.1461671111111111</x:v>
      </x:c>
      <x:c r="G55" s="99" t="n">
        <x:v>0.003233555555555554</x:v>
      </x:c>
      <x:c r="H55" s="101" t="n">
        <x:v>15204495</x:v>
      </x:c>
      <x:c r="I55" s="99" t="n">
        <x:v>-0.018772788774727656</x:v>
      </x:c>
      <x:c r="J55" s="100" t="n">
        <x:v>-2.888888888888889</x:v>
      </x:c>
      <x:c r="K55" s="100"/>
      <x:c r="L55" s="99" t="n">
        <x:v>0.47977777777777775</x:v>
      </x:c>
      <x:c r="M55" s="99" t="n">
        <x:v>0.5977777777777777</x:v>
      </x:c>
      <x:c r="N55" s="99"/>
      <x:c r="O55" s="99" t="n">
        <x:v>0.3775944444444444</x:v>
      </x:c>
      <x:c r="P55" s="99" t="n">
        <x:v>0.028489</x:v>
      </x:c>
      <x:c r="Q55" s="99" t="n">
        <x:v>0.22647122222222224</x:v>
      </x:c>
      <x:c r="R55" s="99" t="n">
        <x:v>-0.031526</x:v>
      </x:c>
      <x:c r="S55" s="45"/>
      <x:c r="T55" s="45"/>
      <x:c r="U55" s="51" t="d">
        <x:v>2026-09-30T00:00:00.000Z</x:v>
      </x:c>
      <x:c r="V55" s="51" t="d">
        <x:v>2026-09-30T00:00:00.000Z</x:v>
      </x:c>
      <x:c r="W55" s="109" t="n">
        <x:v>9</x:v>
      </x:c>
      <x:c r="X55" s="109" t="n">
        <x:v>9</x:v>
      </x:c>
      <x:c r="Y55" s="45" t="str">
        <x:v>sbx-mex/Perfil_Tienda_DM</x:v>
      </x:c>
      <x:c r="Z55" s="45" t="str">
        <x:v>2a6b0d21379739482f0b4c7be9b0f9a022e15f5b</x:v>
      </x:c>
      <x:c r="AA55" s="45" t="str">
        <x:v>8456a41c5e02d454e70a2531577ffb2e29f73e57e44a7762de681d568aa4227a</x:v>
      </x:c>
    </x:row>
    <x:row r="56" ht="23" customHeight="1">
      <x:c r="A56" s="50" t="str">
        <x:v>38475</x:v>
      </x:c>
      <x:c r="B56" s="108" t="d">
        <x:v>2026-09-30T00:00:00.000Z</x:v>
      </x:c>
      <x:c r="C56" s="99" t="n">
        <x:v>0.606061</x:v>
      </x:c>
      <x:c r="D56" s="100" t="n">
        <x:v>6.936706222222223</x:v>
      </x:c>
      <x:c r="E56" s="100" t="n">
        <x:v>16.793951888888888</x:v>
      </x:c>
      <x:c r="F56" s="99" t="n">
        <x:v>0.15759155555555557</x:v>
      </x:c>
      <x:c r="G56" s="99" t="n">
        <x:v>0.004047888888888891</x:v>
      </x:c>
      <x:c r="H56" s="101" t="n">
        <x:v>17217717</x:v>
      </x:c>
      <x:c r="I56" s="99" t="n">
        <x:v>-0.08214972054270087</x:v>
      </x:c>
      <x:c r="J56" s="100" t="n">
        <x:v>-13.88888888888889</x:v>
      </x:c>
      <x:c r="K56" s="100"/>
      <x:c r="L56" s="99" t="n">
        <x:v>0.504</x:v>
      </x:c>
      <x:c r="M56" s="99" t="n">
        <x:v>0.6077777777777778</x:v>
      </x:c>
      <x:c r="N56" s="99"/>
      <x:c r="O56" s="99" t="n">
        <x:v>0.37713488888888885</x:v>
      </x:c>
      <x:c r="P56" s="99" t="n">
        <x:v>-0.008864000000000002</x:v>
      </x:c>
      <x:c r="Q56" s="99" t="n">
        <x:v>0.22547222222222224</x:v>
      </x:c>
      <x:c r="R56" s="99" t="n">
        <x:v>-0.007822888888888891</x:v>
      </x:c>
      <x:c r="S56" s="45"/>
      <x:c r="T56" s="45"/>
      <x:c r="U56" s="51" t="d">
        <x:v>2026-09-30T00:00:00.000Z</x:v>
      </x:c>
      <x:c r="V56" s="51" t="d">
        <x:v>2026-09-30T00:00:00.000Z</x:v>
      </x:c>
      <x:c r="W56" s="109" t="n">
        <x:v>9</x:v>
      </x:c>
      <x:c r="X56" s="109" t="n">
        <x:v>9</x:v>
      </x:c>
      <x:c r="Y56" s="45" t="str">
        <x:v>sbx-mex/Perfil_Tienda_DM</x:v>
      </x:c>
      <x:c r="Z56" s="45" t="str">
        <x:v>2a6b0d21379739482f0b4c7be9b0f9a022e15f5b</x:v>
      </x:c>
      <x:c r="AA56" s="45" t="str">
        <x:v>8456a41c5e02d454e70a2531577ffb2e29f73e57e44a7762de681d568aa4227a</x:v>
      </x:c>
    </x:row>
    <x:row r="57" ht="23" customHeight="1">
      <x:c r="A57" s="50" t="str">
        <x:v>38561</x:v>
      </x:c>
      <x:c r="B57" s="108" t="d">
        <x:v>2026-09-30T00:00:00.000Z</x:v>
      </x:c>
      <x:c r="C57" s="99" t="n">
        <x:v>0.643902</x:v>
      </x:c>
      <x:c r="D57" s="100" t="n">
        <x:v>7.037924222222222</x:v>
      </x:c>
      <x:c r="E57" s="100" t="n">
        <x:v>15.276160111111112</x:v>
      </x:c>
      <x:c r="F57" s="99" t="n">
        <x:v>0.1378427777777778</x:v>
      </x:c>
      <x:c r="G57" s="99" t="n">
        <x:v>0.0006362222222222263</x:v>
      </x:c>
      <x:c r="H57" s="101" t="n">
        <x:v>21009393</x:v>
      </x:c>
      <x:c r="I57" s="99" t="n">
        <x:v>-0.05574554255445752</x:v>
      </x:c>
      <x:c r="J57" s="100" t="n">
        <x:v>-12.777777777777779</x:v>
      </x:c>
      <x:c r="K57" s="100"/>
      <x:c r="L57" s="99" t="n">
        <x:v>0.46066666666666667</x:v>
      </x:c>
      <x:c r="M57" s="99" t="n">
        <x:v>0.5588888888888889</x:v>
      </x:c>
      <x:c r="N57" s="99"/>
      <x:c r="O57" s="99" t="n">
        <x:v>0.3491941111111111</x:v>
      </x:c>
      <x:c r="P57" s="99" t="n">
        <x:v>-0.003104666666666669</x:v>
      </x:c>
      <x:c r="Q57" s="99" t="n">
        <x:v>0.24714899999999998</x:v>
      </x:c>
      <x:c r="R57" s="99" t="n">
        <x:v>0.005264444444444442</x:v>
      </x:c>
      <x:c r="S57" s="45"/>
      <x:c r="T57" s="45"/>
      <x:c r="U57" s="51" t="d">
        <x:v>2026-09-30T00:00:00.000Z</x:v>
      </x:c>
      <x:c r="V57" s="51" t="d">
        <x:v>2026-09-30T00:00:00.000Z</x:v>
      </x:c>
      <x:c r="W57" s="109" t="n">
        <x:v>9</x:v>
      </x:c>
      <x:c r="X57" s="109" t="n">
        <x:v>9</x:v>
      </x:c>
      <x:c r="Y57" s="45" t="str">
        <x:v>sbx-mex/Perfil_Tienda_DM</x:v>
      </x:c>
      <x:c r="Z57" s="45" t="str">
        <x:v>2a6b0d21379739482f0b4c7be9b0f9a022e15f5b</x:v>
      </x:c>
      <x:c r="AA57" s="45" t="str">
        <x:v>8456a41c5e02d454e70a2531577ffb2e29f73e57e44a7762de681d568aa4227a</x:v>
      </x:c>
    </x:row>
    <x:row r="58" ht="23" customHeight="1">
      <x:c r="A58" s="50" t="str">
        <x:v>38590</x:v>
      </x:c>
      <x:c r="B58" s="108" t="d">
        <x:v>2026-09-30T00:00:00.000Z</x:v>
      </x:c>
      <x:c r="C58" s="99" t="n">
        <x:v>0.395604</x:v>
      </x:c>
      <x:c r="D58" s="100" t="n">
        <x:v>6.712590666666667</x:v>
      </x:c>
      <x:c r="E58" s="100" t="n">
        <x:v>14.966823555555557</x:v>
      </x:c>
      <x:c r="F58" s="99" t="n">
        <x:v>0.14146722222222222</x:v>
      </x:c>
      <x:c r="G58" s="99" t="n">
        <x:v>0.004819111111111111</x:v>
      </x:c>
      <x:c r="H58" s="101" t="n">
        <x:v>17676560</x:v>
      </x:c>
      <x:c r="I58" s="99" t="n">
        <x:v>-0.08899038936027426</x:v>
      </x:c>
      <x:c r="J58" s="100" t="n">
        <x:v>-1.8888888888888888</x:v>
      </x:c>
      <x:c r="K58" s="100"/>
      <x:c r="L58" s="99" t="n">
        <x:v>0.5377777777777778</x:v>
      </x:c>
      <x:c r="M58" s="99" t="n">
        <x:v>0.6022222222222222</x:v>
      </x:c>
      <x:c r="N58" s="99"/>
      <x:c r="O58" s="99" t="n">
        <x:v>0.34089688888888886</x:v>
      </x:c>
      <x:c r="P58" s="99" t="n">
        <x:v>-0.007789111111111111</x:v>
      </x:c>
      <x:c r="Q58" s="99" t="n">
        <x:v>0.2530974444444445</x:v>
      </x:c>
      <x:c r="R58" s="99" t="n">
        <x:v>-0.009712777777777789</x:v>
      </x:c>
      <x:c r="S58" s="45"/>
      <x:c r="T58" s="45"/>
      <x:c r="U58" s="51" t="d">
        <x:v>2026-09-30T00:00:00.000Z</x:v>
      </x:c>
      <x:c r="V58" s="51" t="d">
        <x:v>2026-09-30T00:00:00.000Z</x:v>
      </x:c>
      <x:c r="W58" s="109" t="n">
        <x:v>9</x:v>
      </x:c>
      <x:c r="X58" s="109" t="n">
        <x:v>9</x:v>
      </x:c>
      <x:c r="Y58" s="45" t="str">
        <x:v>sbx-mex/Perfil_Tienda_DM</x:v>
      </x:c>
      <x:c r="Z58" s="45" t="str">
        <x:v>2a6b0d21379739482f0b4c7be9b0f9a022e15f5b</x:v>
      </x:c>
      <x:c r="AA58" s="45" t="str">
        <x:v>8456a41c5e02d454e70a2531577ffb2e29f73e57e44a7762de681d568aa4227a</x:v>
      </x:c>
    </x:row>
    <x:row r="59" ht="23" customHeight="1">
      <x:c r="A59" s="50" t="str">
        <x:v>38656</x:v>
      </x:c>
      <x:c r="B59" s="108" t="d">
        <x:v>2026-09-30T00:00:00.000Z</x:v>
      </x:c>
      <x:c r="C59" s="99" t="n">
        <x:v>0.163265</x:v>
      </x:c>
      <x:c r="D59" s="100" t="n">
        <x:v>5.807275111111111</x:v>
      </x:c>
      <x:c r="E59" s="100" t="n">
        <x:v>13.997319888888889</x:v>
      </x:c>
      <x:c r="F59" s="99" t="n">
        <x:v>0.15354888888888887</x:v>
      </x:c>
      <x:c r="G59" s="99" t="n">
        <x:v>0.01024944444444445</x:v>
      </x:c>
      <x:c r="H59" s="101" t="n">
        <x:v>25481034</x:v>
      </x:c>
      <x:c r="I59" s="99" t="n">
        <x:v>-0.11792187245435437</x:v>
      </x:c>
      <x:c r="J59" s="100" t="n">
        <x:v>-85.88888888888889</x:v>
      </x:c>
      <x:c r="K59" s="100"/>
      <x:c r="L59" s="99" t="n">
        <x:v>0.5274444444444444</x:v>
      </x:c>
      <x:c r="M59" s="99" t="n">
        <x:v>0.6177777777777778</x:v>
      </x:c>
      <x:c r="N59" s="99"/>
      <x:c r="O59" s="99" t="n">
        <x:v>0.3518213333333333</x:v>
      </x:c>
      <x:c r="P59" s="99" t="n">
        <x:v>-0.005977111111111118</x:v>
      </x:c>
      <x:c r="Q59" s="99" t="n">
        <x:v>0.22519377777777777</x:v>
      </x:c>
      <x:c r="R59" s="99" t="n">
        <x:v>-0.03385622222222221</x:v>
      </x:c>
      <x:c r="S59" s="45" t="str">
        <x:v>01:16</x:v>
      </x:c>
      <x:c r="T59" s="45" t="str">
        <x:v>01:17</x:v>
      </x:c>
      <x:c r="U59" s="51" t="d">
        <x:v>2026-09-30T00:00:00.000Z</x:v>
      </x:c>
      <x:c r="V59" s="51" t="d">
        <x:v>2026-09-30T00:00:00.000Z</x:v>
      </x:c>
      <x:c r="W59" s="109" t="n">
        <x:v>9</x:v>
      </x:c>
      <x:c r="X59" s="109" t="n">
        <x:v>9</x:v>
      </x:c>
      <x:c r="Y59" s="45" t="str">
        <x:v>sbx-mex/Perfil_Tienda_DM</x:v>
      </x:c>
      <x:c r="Z59" s="45" t="str">
        <x:v>2a6b0d21379739482f0b4c7be9b0f9a022e15f5b</x:v>
      </x:c>
      <x:c r="AA59" s="45" t="str">
        <x:v>8456a41c5e02d454e70a2531577ffb2e29f73e57e44a7762de681d568aa4227a</x:v>
      </x:c>
    </x:row>
    <x:row r="60" ht="23" customHeight="1">
      <x:c r="A60" s="50" t="str">
        <x:v>38695</x:v>
      </x:c>
      <x:c r="B60" s="108" t="d">
        <x:v>2026-09-30T00:00:00.000Z</x:v>
      </x:c>
      <x:c r="C60" s="99" t="n">
        <x:v>0.363636</x:v>
      </x:c>
      <x:c r="D60" s="100" t="n">
        <x:v>7.876247888888888</x:v>
      </x:c>
      <x:c r="E60" s="100" t="n">
        <x:v>15.757499</x:v>
      </x:c>
      <x:c r="F60" s="99" t="n">
        <x:v>0.14501799999999998</x:v>
      </x:c>
      <x:c r="G60" s="99" t="n">
        <x:v>-0.006378444444444446</x:v>
      </x:c>
      <x:c r="H60" s="101" t="n">
        <x:v>18114417</x:v>
      </x:c>
      <x:c r="I60" s="99" t="n">
        <x:v>-0.03812181751478294</x:v>
      </x:c>
      <x:c r="J60" s="100" t="n">
        <x:v>16.77777777777778</x:v>
      </x:c>
      <x:c r="K60" s="100"/>
      <x:c r="L60" s="99" t="n">
        <x:v>0.44833333333333336</x:v>
      </x:c>
      <x:c r="M60" s="99" t="n">
        <x:v>0.5888888888888889</x:v>
      </x:c>
      <x:c r="N60" s="99"/>
      <x:c r="O60" s="99" t="n">
        <x:v>0.37941044444444444</x:v>
      </x:c>
      <x:c r="P60" s="99" t="n">
        <x:v>0.0035974444444444495</x:v>
      </x:c>
      <x:c r="Q60" s="99" t="n">
        <x:v>0.20951122222222224</x:v>
      </x:c>
      <x:c r="R60" s="99" t="n">
        <x:v>-0.009558777777777777</x:v>
      </x:c>
      <x:c r="S60" s="45"/>
      <x:c r="T60" s="45"/>
      <x:c r="U60" s="51" t="d">
        <x:v>2026-09-30T00:00:00.000Z</x:v>
      </x:c>
      <x:c r="V60" s="51" t="d">
        <x:v>2026-09-30T00:00:00.000Z</x:v>
      </x:c>
      <x:c r="W60" s="109" t="n">
        <x:v>9</x:v>
      </x:c>
      <x:c r="X60" s="109" t="n">
        <x:v>9</x:v>
      </x:c>
      <x:c r="Y60" s="45" t="str">
        <x:v>sbx-mex/Perfil_Tienda_DM</x:v>
      </x:c>
      <x:c r="Z60" s="45" t="str">
        <x:v>2a6b0d21379739482f0b4c7be9b0f9a022e15f5b</x:v>
      </x:c>
      <x:c r="AA60" s="45" t="str">
        <x:v>8456a41c5e02d454e70a2531577ffb2e29f73e57e44a7762de681d568aa4227a</x:v>
      </x:c>
    </x:row>
    <x:row r="61" ht="23" customHeight="1">
      <x:c r="A61" s="50" t="str">
        <x:v>38770</x:v>
      </x:c>
      <x:c r="B61" s="108" t="d">
        <x:v>2026-09-30T00:00:00.000Z</x:v>
      </x:c>
      <x:c r="C61" s="99" t="n">
        <x:v>0.27907</x:v>
      </x:c>
      <x:c r="D61" s="100" t="n">
        <x:v>5.663564666666667</x:v>
      </x:c>
      <x:c r="E61" s="100" t="n">
        <x:v>13.308984444444445</x:v>
      </x:c>
      <x:c r="F61" s="99" t="n">
        <x:v>0.19633455555555554</x:v>
      </x:c>
      <x:c r="G61" s="99" t="n">
        <x:v>0.008598222222222222</x:v>
      </x:c>
      <x:c r="H61" s="101" t="n">
        <x:v>9919271</x:v>
      </x:c>
      <x:c r="I61" s="99" t="n">
        <x:v>-0.12847801006166648</x:v>
      </x:c>
      <x:c r="J61" s="100" t="n">
        <x:v>-9.777777777777779</x:v>
      </x:c>
      <x:c r="K61" s="100"/>
      <x:c r="L61" s="99" t="n">
        <x:v>0.5946666666666667</x:v>
      </x:c>
      <x:c r="M61" s="99" t="n">
        <x:v>0.6833333333333333</x:v>
      </x:c>
      <x:c r="N61" s="99"/>
      <x:c r="O61" s="99" t="n">
        <x:v>0.39840933333333334</x:v>
      </x:c>
      <x:c r="P61" s="99" t="n">
        <x:v>0.010352777777777778</x:v>
      </x:c>
      <x:c r="Q61" s="99" t="n">
        <x:v>0.12917466666666666</x:v>
      </x:c>
      <x:c r="R61" s="99" t="n">
        <x:v>-0.030969333333333335</x:v>
      </x:c>
      <x:c r="S61" s="45"/>
      <x:c r="T61" s="45"/>
      <x:c r="U61" s="51" t="d">
        <x:v>2026-09-30T00:00:00.000Z</x:v>
      </x:c>
      <x:c r="V61" s="51" t="d">
        <x:v>2026-09-30T00:00:00.000Z</x:v>
      </x:c>
      <x:c r="W61" s="109" t="n">
        <x:v>9</x:v>
      </x:c>
      <x:c r="X61" s="109" t="n">
        <x:v>9</x:v>
      </x:c>
      <x:c r="Y61" s="45" t="str">
        <x:v>sbx-mex/Perfil_Tienda_DM</x:v>
      </x:c>
      <x:c r="Z61" s="45" t="str">
        <x:v>2a6b0d21379739482f0b4c7be9b0f9a022e15f5b</x:v>
      </x:c>
      <x:c r="AA61" s="45" t="str">
        <x:v>8456a41c5e02d454e70a2531577ffb2e29f73e57e44a7762de681d568aa4227a</x:v>
      </x:c>
    </x:row>
    <x:row r="62" ht="23" customHeight="1">
      <x:c r="A62" s="50" t="str">
        <x:v>38859</x:v>
      </x:c>
      <x:c r="B62" s="108" t="d">
        <x:v>2026-09-30T00:00:00.000Z</x:v>
      </x:c>
      <x:c r="C62" s="99" t="n">
        <x:v>0.43299</x:v>
      </x:c>
      <x:c r="D62" s="100" t="n">
        <x:v>5.835268888888889</x:v>
      </x:c>
      <x:c r="E62" s="100" t="n">
        <x:v>13.63263088888889</x:v>
      </x:c>
      <x:c r="F62" s="99" t="n">
        <x:v>0.16610555555555556</x:v>
      </x:c>
      <x:c r="G62" s="99" t="n">
        <x:v>0.026597444444444448</x:v>
      </x:c>
      <x:c r="H62" s="101" t="n">
        <x:v>15679621</x:v>
      </x:c>
      <x:c r="I62" s="99" t="n">
        <x:v>-0.16085420665158567</x:v>
      </x:c>
      <x:c r="J62" s="100" t="n">
        <x:v>-9.777777777777779</x:v>
      </x:c>
      <x:c r="K62" s="100"/>
      <x:c r="L62" s="99" t="n">
        <x:v>0.478</x:v>
      </x:c>
      <x:c r="M62" s="99" t="n">
        <x:v>0.5877777777777777</x:v>
      </x:c>
      <x:c r="N62" s="99"/>
      <x:c r="O62" s="99" t="n">
        <x:v>0.36158433333333334</x:v>
      </x:c>
      <x:c r="P62" s="99" t="n">
        <x:v>-0.0038587777777777726</x:v>
      </x:c>
      <x:c r="Q62" s="99" t="n">
        <x:v>0.14379677777777777</x:v>
      </x:c>
      <x:c r="R62" s="99" t="n">
        <x:v>-0.019665666666666668</x:v>
      </x:c>
      <x:c r="S62" s="45"/>
      <x:c r="T62" s="45"/>
      <x:c r="U62" s="51" t="d">
        <x:v>2026-09-30T00:00:00.000Z</x:v>
      </x:c>
      <x:c r="V62" s="51" t="d">
        <x:v>2026-09-30T00:00:00.000Z</x:v>
      </x:c>
      <x:c r="W62" s="109" t="n">
        <x:v>9</x:v>
      </x:c>
      <x:c r="X62" s="109" t="n">
        <x:v>9</x:v>
      </x:c>
      <x:c r="Y62" s="45" t="str">
        <x:v>sbx-mex/Perfil_Tienda_DM</x:v>
      </x:c>
      <x:c r="Z62" s="45" t="str">
        <x:v>2a6b0d21379739482f0b4c7be9b0f9a022e15f5b</x:v>
      </x:c>
      <x:c r="AA62" s="45" t="str">
        <x:v>8456a41c5e02d454e70a2531577ffb2e29f73e57e44a7762de681d568aa4227a</x:v>
      </x:c>
    </x:row>
    <x:row r="63" ht="23" customHeight="1">
      <x:c r="A63" s="50" t="str">
        <x:v>43152</x:v>
      </x:c>
      <x:c r="B63" s="108" t="d">
        <x:v>2026-09-30T00:00:00.000Z</x:v>
      </x:c>
      <x:c r="C63" s="99" t="n">
        <x:v>0.330275</x:v>
      </x:c>
      <x:c r="D63" s="100" t="n">
        <x:v>5.944146</x:v>
      </x:c>
      <x:c r="E63" s="100" t="n">
        <x:v>13.229628666666667</x:v>
      </x:c>
      <x:c r="F63" s="99" t="n">
        <x:v>0.18124077777777778</x:v>
      </x:c>
      <x:c r="G63" s="99" t="n">
        <x:v>-0.059486444444444446</x:v>
      </x:c>
      <x:c r="H63" s="101" t="n">
        <x:v>8889589</x:v>
      </x:c>
      <x:c r="I63" s="99" t="n">
        <x:v>0.09648154282524901</x:v>
      </x:c>
      <x:c r="J63" s="100" t="n">
        <x:v>46</x:v>
      </x:c>
      <x:c r="K63" s="100"/>
      <x:c r="L63" s="99" t="n">
        <x:v>0.5773333333333333</x:v>
      </x:c>
      <x:c r="M63" s="99" t="n">
        <x:v>0.6922222222222223</x:v>
      </x:c>
      <x:c r="N63" s="99"/>
      <x:c r="O63" s="99" t="n">
        <x:v>0.38196555555555556</x:v>
      </x:c>
      <x:c r="P63" s="99" t="n">
        <x:v>0.06861877777777778</x:v>
      </x:c>
      <x:c r="Q63" s="99" t="n">
        <x:v>0.09072477777777778</x:v>
      </x:c>
      <x:c r="R63" s="99" t="n">
        <x:v>0.05773533333333333</x:v>
      </x:c>
      <x:c r="S63" s="45"/>
      <x:c r="T63" s="45"/>
      <x:c r="U63" s="51" t="d">
        <x:v>2026-09-30T00:00:00.000Z</x:v>
      </x:c>
      <x:c r="V63" s="51" t="d">
        <x:v>2026-09-30T00:00:00.000Z</x:v>
      </x:c>
      <x:c r="W63" s="109" t="n">
        <x:v>9</x:v>
      </x:c>
      <x:c r="X63" s="109" t="n">
        <x:v>9</x:v>
      </x:c>
      <x:c r="Y63" s="45" t="str">
        <x:v>sbx-mex/Perfil_Tienda_DM</x:v>
      </x:c>
      <x:c r="Z63" s="45" t="str">
        <x:v>2a6b0d21379739482f0b4c7be9b0f9a022e15f5b</x:v>
      </x:c>
      <x:c r="AA63" s="45" t="str">
        <x:v>8456a41c5e02d454e70a2531577ffb2e29f73e57e44a7762de681d568aa4227a</x:v>
      </x:c>
    </x:row>
    <x:row r="64" ht="23" customHeight="1">
      <x:c r="A64" s="50" t="str">
        <x:v>43302</x:v>
      </x:c>
      <x:c r="B64" s="108"/>
      <x:c r="C64" s="99"/>
      <x:c r="D64" s="100"/>
      <x:c r="E64" s="100"/>
      <x:c r="F64" s="99"/>
      <x:c r="G64" s="99"/>
      <x:c r="H64" s="101"/>
      <x:c r="I64" s="99"/>
      <x:c r="J64" s="100"/>
      <x:c r="K64" s="100"/>
      <x:c r="L64" s="99"/>
      <x:c r="M64" s="99"/>
      <x:c r="N64" s="99"/>
      <x:c r="O64" s="99"/>
      <x:c r="P64" s="99"/>
      <x:c r="Q64" s="99"/>
      <x:c r="R64" s="99"/>
      <x:c r="S64" s="45"/>
      <x:c r="T64" s="45"/>
      <x:c r="U64" s="51"/>
      <x:c r="V64" s="51"/>
      <x:c r="W64" s="109" t="n">
        <x:v>0</x:v>
      </x:c>
      <x:c r="X64" s="109" t="n">
        <x:v>0</x:v>
      </x:c>
      <x:c r="Y64" s="45"/>
      <x:c r="Z64" s="45"/>
      <x:c r="AA64" s="45"/>
    </x:row>
    <x:row r="65" ht="23" customHeight="1">
      <x:c r="A65" s="50" t="str">
        <x:v>38115</x:v>
      </x:c>
      <x:c r="B65" s="108" t="d">
        <x:v>2026-09-30T00:00:00.000Z</x:v>
      </x:c>
      <x:c r="C65" s="99" t="n">
        <x:v>0.672897</x:v>
      </x:c>
      <x:c r="D65" s="100" t="n">
        <x:v>5.235367777777778</x:v>
      </x:c>
      <x:c r="E65" s="100" t="n">
        <x:v>11.574851222222222</x:v>
      </x:c>
      <x:c r="F65" s="99" t="n">
        <x:v>0.21408644444444447</x:v>
      </x:c>
      <x:c r="G65" s="99" t="n">
        <x:v>0.04099277777777778</x:v>
      </x:c>
      <x:c r="H65" s="101" t="n">
        <x:v>7867647</x:v>
      </x:c>
      <x:c r="I65" s="99" t="n">
        <x:v>-0.19660107386313752</x:v>
      </x:c>
      <x:c r="J65" s="100" t="n">
        <x:v>-32</x:v>
      </x:c>
      <x:c r="K65" s="100"/>
      <x:c r="L65" s="99" t="n">
        <x:v>0.5704444444444445</x:v>
      </x:c>
      <x:c r="M65" s="99" t="n">
        <x:v>0.6677777777777778</x:v>
      </x:c>
      <x:c r="N65" s="99"/>
      <x:c r="O65" s="99" t="n">
        <x:v>0.39675544444444444</x:v>
      </x:c>
      <x:c r="P65" s="99" t="n">
        <x:v>0.017901111111111114</x:v>
      </x:c>
      <x:c r="Q65" s="99" t="n">
        <x:v>0.07914933333333334</x:v>
      </x:c>
      <x:c r="R65" s="99" t="n">
        <x:v>-0.07858488888888888</x:v>
      </x:c>
      <x:c r="S65" s="45"/>
      <x:c r="T65" s="45"/>
      <x:c r="U65" s="51" t="d">
        <x:v>2026-09-30T00:00:00.000Z</x:v>
      </x:c>
      <x:c r="V65" s="51" t="d">
        <x:v>2026-09-30T00:00:00.000Z</x:v>
      </x:c>
      <x:c r="W65" s="109" t="n">
        <x:v>9</x:v>
      </x:c>
      <x:c r="X65" s="109" t="n">
        <x:v>9</x:v>
      </x:c>
      <x:c r="Y65" s="45" t="str">
        <x:v>sbx-mex/Perfil_Tienda_DM</x:v>
      </x:c>
      <x:c r="Z65" s="45" t="str">
        <x:v>2a6b0d21379739482f0b4c7be9b0f9a022e15f5b</x:v>
      </x:c>
      <x:c r="AA65" s="45" t="str">
        <x:v>8456a41c5e02d454e70a2531577ffb2e29f73e57e44a7762de681d568aa4227a</x:v>
      </x:c>
    </x:row>
    <x:row r="66" ht="23" customHeight="1">
      <x:c r="A66" s="50" t="str">
        <x:v>38119</x:v>
      </x:c>
      <x:c r="B66" s="108" t="d">
        <x:v>2026-09-30T00:00:00.000Z</x:v>
      </x:c>
      <x:c r="C66" s="99" t="n">
        <x:v>0.305732</x:v>
      </x:c>
      <x:c r="D66" s="100" t="n">
        <x:v>6.406968444444445</x:v>
      </x:c>
      <x:c r="E66" s="100" t="n">
        <x:v>14.637240777777777</x:v>
      </x:c>
      <x:c r="F66" s="99" t="n">
        <x:v>0.1613158888888889</x:v>
      </x:c>
      <x:c r="G66" s="99" t="n">
        <x:v>0.010954888888888896</x:v>
      </x:c>
      <x:c r="H66" s="101" t="n">
        <x:v>13726934</x:v>
      </x:c>
      <x:c r="I66" s="99" t="n">
        <x:v>-0.045956304231406175</x:v>
      </x:c>
      <x:c r="J66" s="100" t="n">
        <x:v>-15.333333333333334</x:v>
      </x:c>
      <x:c r="K66" s="100"/>
      <x:c r="L66" s="99" t="n">
        <x:v>0.5404444444444444</x:v>
      </x:c>
      <x:c r="M66" s="99" t="n">
        <x:v>0.62</x:v>
      </x:c>
      <x:c r="N66" s="99"/>
      <x:c r="O66" s="99" t="n">
        <x:v>0.3804085555555556</x:v>
      </x:c>
      <x:c r="P66" s="99" t="n">
        <x:v>0.00010711111111110721</x:v>
      </x:c>
      <x:c r="Q66" s="99" t="n">
        <x:v>0.192679</x:v>
      </x:c>
      <x:c r="R66" s="99" t="n">
        <x:v>-0.018117</x:v>
      </x:c>
      <x:c r="S66" s="45"/>
      <x:c r="T66" s="45"/>
      <x:c r="U66" s="51" t="d">
        <x:v>2026-09-30T00:00:00.000Z</x:v>
      </x:c>
      <x:c r="V66" s="51" t="d">
        <x:v>2026-09-30T00:00:00.000Z</x:v>
      </x:c>
      <x:c r="W66" s="109" t="n">
        <x:v>9</x:v>
      </x:c>
      <x:c r="X66" s="109" t="n">
        <x:v>9</x:v>
      </x:c>
      <x:c r="Y66" s="45" t="str">
        <x:v>sbx-mex/Perfil_Tienda_DM</x:v>
      </x:c>
      <x:c r="Z66" s="45" t="str">
        <x:v>2a6b0d21379739482f0b4c7be9b0f9a022e15f5b</x:v>
      </x:c>
      <x:c r="AA66" s="45" t="str">
        <x:v>8456a41c5e02d454e70a2531577ffb2e29f73e57e44a7762de681d568aa4227a</x:v>
      </x:c>
    </x:row>
    <x:row r="67" ht="23" customHeight="1">
      <x:c r="A67" s="50" t="str">
        <x:v>38142</x:v>
      </x:c>
      <x:c r="B67" s="108" t="d">
        <x:v>2026-09-30T00:00:00.000Z</x:v>
      </x:c>
      <x:c r="C67" s="99" t="n">
        <x:v>0.170213</x:v>
      </x:c>
      <x:c r="D67" s="100" t="n">
        <x:v>5.355639444444445</x:v>
      </x:c>
      <x:c r="E67" s="100" t="n">
        <x:v>12.633004444444445</x:v>
      </x:c>
      <x:c r="F67" s="99" t="n">
        <x:v>0.176839</x:v>
      </x:c>
      <x:c r="G67" s="99" t="n">
        <x:v>0.010844777777777774</x:v>
      </x:c>
      <x:c r="H67" s="101" t="n">
        <x:v>11900922</x:v>
      </x:c>
      <x:c r="I67" s="99" t="n">
        <x:v>-0.10346716154780056</x:v>
      </x:c>
      <x:c r="J67" s="100" t="n">
        <x:v>-11.222222222222221</x:v>
      </x:c>
      <x:c r="K67" s="100"/>
      <x:c r="L67" s="99" t="n">
        <x:v>0.5725555555555556</x:v>
      </x:c>
      <x:c r="M67" s="99" t="n">
        <x:v>0.6444444444444444</x:v>
      </x:c>
      <x:c r="N67" s="99"/>
      <x:c r="O67" s="99" t="n">
        <x:v>0.3523588888888889</x:v>
      </x:c>
      <x:c r="P67" s="99" t="n">
        <x:v>-0.01423711111111112</x:v>
      </x:c>
      <x:c r="Q67" s="99" t="n">
        <x:v>0.19747244444444445</x:v>
      </x:c>
      <x:c r="R67" s="99" t="n">
        <x:v>-0.014570222222222226</x:v>
      </x:c>
      <x:c r="S67" s="45"/>
      <x:c r="T67" s="45"/>
      <x:c r="U67" s="51" t="d">
        <x:v>2026-09-30T00:00:00.000Z</x:v>
      </x:c>
      <x:c r="V67" s="51" t="d">
        <x:v>2026-09-30T00:00:00.000Z</x:v>
      </x:c>
      <x:c r="W67" s="109" t="n">
        <x:v>9</x:v>
      </x:c>
      <x:c r="X67" s="109" t="n">
        <x:v>9</x:v>
      </x:c>
      <x:c r="Y67" s="45" t="str">
        <x:v>sbx-mex/Perfil_Tienda_DM</x:v>
      </x:c>
      <x:c r="Z67" s="45" t="str">
        <x:v>2a6b0d21379739482f0b4c7be9b0f9a022e15f5b</x:v>
      </x:c>
      <x:c r="AA67" s="45" t="str">
        <x:v>8456a41c5e02d454e70a2531577ffb2e29f73e57e44a7762de681d568aa4227a</x:v>
      </x:c>
    </x:row>
    <x:row r="68" ht="23" customHeight="1">
      <x:c r="A68" s="50" t="str">
        <x:v>38149</x:v>
      </x:c>
      <x:c r="B68" s="108" t="d">
        <x:v>2026-09-30T00:00:00.000Z</x:v>
      </x:c>
      <x:c r="C68" s="99" t="n">
        <x:v>0.084507</x:v>
      </x:c>
      <x:c r="D68" s="100" t="n">
        <x:v>5.799971222222222</x:v>
      </x:c>
      <x:c r="E68" s="100" t="n">
        <x:v>14.136849444444444</x:v>
      </x:c>
      <x:c r="F68" s="99" t="n">
        <x:v>0.17123644444444444</x:v>
      </x:c>
      <x:c r="G68" s="99" t="n">
        <x:v>0.004574777777777777</x:v>
      </x:c>
      <x:c r="H68" s="101" t="n">
        <x:v>12138275</x:v>
      </x:c>
      <x:c r="I68" s="99" t="n">
        <x:v>-0.08524420632708762</x:v>
      </x:c>
      <x:c r="J68" s="100" t="n">
        <x:v>-7.333333333333333</x:v>
      </x:c>
      <x:c r="K68" s="100"/>
      <x:c r="L68" s="99" t="n">
        <x:v>0.6573333333333333</x:v>
      </x:c>
      <x:c r="M68" s="99" t="n">
        <x:v>0.7022222222222223</x:v>
      </x:c>
      <x:c r="N68" s="99"/>
      <x:c r="O68" s="99" t="n">
        <x:v>0.360931</x:v>
      </x:c>
      <x:c r="P68" s="99" t="n">
        <x:v>-0.009700000000000005</x:v>
      </x:c>
      <x:c r="Q68" s="99" t="n">
        <x:v>0.1826322222222222</x:v>
      </x:c>
      <x:c r="R68" s="99" t="n">
        <x:v>0.008944444444444446</x:v>
      </x:c>
      <x:c r="S68" s="45"/>
      <x:c r="T68" s="45"/>
      <x:c r="U68" s="51" t="d">
        <x:v>2026-09-30T00:00:00.000Z</x:v>
      </x:c>
      <x:c r="V68" s="51" t="d">
        <x:v>2026-09-30T00:00:00.000Z</x:v>
      </x:c>
      <x:c r="W68" s="109" t="n">
        <x:v>9</x:v>
      </x:c>
      <x:c r="X68" s="109" t="n">
        <x:v>9</x:v>
      </x:c>
      <x:c r="Y68" s="45" t="str">
        <x:v>sbx-mex/Perfil_Tienda_DM</x:v>
      </x:c>
      <x:c r="Z68" s="45" t="str">
        <x:v>2a6b0d21379739482f0b4c7be9b0f9a022e15f5b</x:v>
      </x:c>
      <x:c r="AA68" s="45" t="str">
        <x:v>8456a41c5e02d454e70a2531577ffb2e29f73e57e44a7762de681d568aa4227a</x:v>
      </x:c>
    </x:row>
    <x:row r="69" ht="23" customHeight="1">
      <x:c r="A69" s="50" t="str">
        <x:v>38266</x:v>
      </x:c>
      <x:c r="B69" s="108" t="d">
        <x:v>2026-09-30T00:00:00.000Z</x:v>
      </x:c>
      <x:c r="C69" s="99" t="n">
        <x:v>0.470588</x:v>
      </x:c>
      <x:c r="D69" s="100" t="n">
        <x:v>6.4402785555555555</x:v>
      </x:c>
      <x:c r="E69" s="100" t="n">
        <x:v>16.30287411111111</x:v>
      </x:c>
      <x:c r="F69" s="99" t="n">
        <x:v>0.18046644444444446</x:v>
      </x:c>
      <x:c r="G69" s="99" t="n">
        <x:v>0.018198333333333337</x:v>
      </x:c>
      <x:c r="H69" s="101" t="n">
        <x:v>11318645</x:v>
      </x:c>
      <x:c r="I69" s="99" t="n">
        <x:v>-0.17403271399197695</x:v>
      </x:c>
      <x:c r="J69" s="100" t="n">
        <x:v>-28.444444444444443</x:v>
      </x:c>
      <x:c r="K69" s="100"/>
      <x:c r="L69" s="99" t="n">
        <x:v>0.5323333333333333</x:v>
      </x:c>
      <x:c r="M69" s="99" t="n">
        <x:v>0.6422222222222222</x:v>
      </x:c>
      <x:c r="N69" s="99"/>
      <x:c r="O69" s="99" t="n">
        <x:v>0.39862766666666666</x:v>
      </x:c>
      <x:c r="P69" s="99" t="n">
        <x:v>0.025681666666666644</x:v>
      </x:c>
      <x:c r="Q69" s="99" t="n">
        <x:v>0.11434888888888889</x:v>
      </x:c>
      <x:c r="R69" s="99" t="n">
        <x:v>-0.06465233333333334</x:v>
      </x:c>
      <x:c r="S69" s="45"/>
      <x:c r="T69" s="45"/>
      <x:c r="U69" s="51" t="d">
        <x:v>2026-09-30T00:00:00.000Z</x:v>
      </x:c>
      <x:c r="V69" s="51" t="d">
        <x:v>2026-09-30T00:00:00.000Z</x:v>
      </x:c>
      <x:c r="W69" s="109" t="n">
        <x:v>9</x:v>
      </x:c>
      <x:c r="X69" s="109" t="n">
        <x:v>9</x:v>
      </x:c>
      <x:c r="Y69" s="45" t="str">
        <x:v>sbx-mex/Perfil_Tienda_DM</x:v>
      </x:c>
      <x:c r="Z69" s="45" t="str">
        <x:v>2a6b0d21379739482f0b4c7be9b0f9a022e15f5b</x:v>
      </x:c>
      <x:c r="AA69" s="45" t="str">
        <x:v>8456a41c5e02d454e70a2531577ffb2e29f73e57e44a7762de681d568aa4227a</x:v>
      </x:c>
    </x:row>
    <x:row r="70" ht="23" customHeight="1">
      <x:c r="A70" s="50" t="str">
        <x:v>38270</x:v>
      </x:c>
      <x:c r="B70" s="108" t="d">
        <x:v>2026-09-30T00:00:00.000Z</x:v>
      </x:c>
      <x:c r="C70" s="99" t="n">
        <x:v>0.266667</x:v>
      </x:c>
      <x:c r="D70" s="100" t="n">
        <x:v>5.710009111111111</x:v>
      </x:c>
      <x:c r="E70" s="100" t="n">
        <x:v>13.782445222222222</x:v>
      </x:c>
      <x:c r="F70" s="99" t="n">
        <x:v>0.18415066666666668</x:v>
      </x:c>
      <x:c r="G70" s="99" t="n">
        <x:v>0.0024304444444444386</x:v>
      </x:c>
      <x:c r="H70" s="101" t="n">
        <x:v>9982618</x:v>
      </x:c>
      <x:c r="I70" s="99" t="n">
        <x:v>-0.06570074115509394</x:v>
      </x:c>
      <x:c r="J70" s="100" t="n">
        <x:v>-1.4444444444444444</x:v>
      </x:c>
      <x:c r="K70" s="100"/>
      <x:c r="L70" s="99" t="n">
        <x:v>0.5524444444444444</x:v>
      </x:c>
      <x:c r="M70" s="99" t="n">
        <x:v>0.6755555555555556</x:v>
      </x:c>
      <x:c r="N70" s="99"/>
      <x:c r="O70" s="99" t="n">
        <x:v>0.3635017777777778</x:v>
      </x:c>
      <x:c r="P70" s="99" t="n">
        <x:v>0.014139888888888884</x:v>
      </x:c>
      <x:c r="Q70" s="99" t="n">
        <x:v>0.08989699999999999</x:v>
      </x:c>
      <x:c r="R70" s="99" t="n">
        <x:v>-0.026026666666666674</x:v>
      </x:c>
      <x:c r="S70" s="45"/>
      <x:c r="T70" s="45"/>
      <x:c r="U70" s="51" t="d">
        <x:v>2026-09-30T00:00:00.000Z</x:v>
      </x:c>
      <x:c r="V70" s="51" t="d">
        <x:v>2026-09-30T00:00:00.000Z</x:v>
      </x:c>
      <x:c r="W70" s="109" t="n">
        <x:v>9</x:v>
      </x:c>
      <x:c r="X70" s="109" t="n">
        <x:v>9</x:v>
      </x:c>
      <x:c r="Y70" s="45" t="str">
        <x:v>sbx-mex/Perfil_Tienda_DM</x:v>
      </x:c>
      <x:c r="Z70" s="45" t="str">
        <x:v>2a6b0d21379739482f0b4c7be9b0f9a022e15f5b</x:v>
      </x:c>
      <x:c r="AA70" s="45" t="str">
        <x:v>8456a41c5e02d454e70a2531577ffb2e29f73e57e44a7762de681d568aa4227a</x:v>
      </x:c>
    </x:row>
    <x:row r="71" ht="23" customHeight="1">
      <x:c r="A71" s="50" t="str">
        <x:v>38363</x:v>
      </x:c>
      <x:c r="B71" s="108" t="d">
        <x:v>2026-09-30T00:00:00.000Z</x:v>
      </x:c>
      <x:c r="C71" s="99" t="n">
        <x:v>0.507937</x:v>
      </x:c>
      <x:c r="D71" s="100" t="n">
        <x:v>6.684838333333333</x:v>
      </x:c>
      <x:c r="E71" s="100" t="n">
        <x:v>15.67724522222222</x:v>
      </x:c>
      <x:c r="F71" s="99" t="n">
        <x:v>0.14701055555555553</x:v>
      </x:c>
      <x:c r="G71" s="99" t="n">
        <x:v>0.0046905555555555555</x:v>
      </x:c>
      <x:c r="H71" s="101" t="n">
        <x:v>18332062</x:v>
      </x:c>
      <x:c r="I71" s="99" t="n">
        <x:v>-0.01693248592928509</x:v>
      </x:c>
      <x:c r="J71" s="100" t="n">
        <x:v>17.88888888888889</x:v>
      </x:c>
      <x:c r="K71" s="100"/>
      <x:c r="L71" s="99" t="n">
        <x:v>0.49088888888888893</x:v>
      </x:c>
      <x:c r="M71" s="99" t="n">
        <x:v>0.5988888888888889</x:v>
      </x:c>
      <x:c r="N71" s="99"/>
      <x:c r="O71" s="99" t="n">
        <x:v>0.33841455555555555</x:v>
      </x:c>
      <x:c r="P71" s="99" t="n">
        <x:v>-0.011259</x:v>
      </x:c>
      <x:c r="Q71" s="99" t="n">
        <x:v>0.25807766666666665</x:v>
      </x:c>
      <x:c r="R71" s="99" t="n">
        <x:v>-0.0017251111111111063</x:v>
      </x:c>
      <x:c r="S71" s="45"/>
      <x:c r="T71" s="45"/>
      <x:c r="U71" s="51" t="d">
        <x:v>2026-09-30T00:00:00.000Z</x:v>
      </x:c>
      <x:c r="V71" s="51" t="d">
        <x:v>2026-09-30T00:00:00.000Z</x:v>
      </x:c>
      <x:c r="W71" s="109" t="n">
        <x:v>9</x:v>
      </x:c>
      <x:c r="X71" s="109" t="n">
        <x:v>9</x:v>
      </x:c>
      <x:c r="Y71" s="45" t="str">
        <x:v>sbx-mex/Perfil_Tienda_DM</x:v>
      </x:c>
      <x:c r="Z71" s="45" t="str">
        <x:v>2a6b0d21379739482f0b4c7be9b0f9a022e15f5b</x:v>
      </x:c>
      <x:c r="AA71" s="45" t="str">
        <x:v>8456a41c5e02d454e70a2531577ffb2e29f73e57e44a7762de681d568aa4227a</x:v>
      </x:c>
    </x:row>
    <x:row r="72" ht="23" customHeight="1">
      <x:c r="A72" s="50" t="str">
        <x:v>38394</x:v>
      </x:c>
      <x:c r="B72" s="108" t="d">
        <x:v>2026-09-30T00:00:00.000Z</x:v>
      </x:c>
      <x:c r="C72" s="99" t="n">
        <x:v>0.188976</x:v>
      </x:c>
      <x:c r="D72" s="100" t="n">
        <x:v>6.028178111111111</x:v>
      </x:c>
      <x:c r="E72" s="100" t="n">
        <x:v>13.022413555555556</x:v>
      </x:c>
      <x:c r="F72" s="99" t="n">
        <x:v>0.18963433333333335</x:v>
      </x:c>
      <x:c r="G72" s="99" t="n">
        <x:v>0.0034554444444444463</x:v>
      </x:c>
      <x:c r="H72" s="101" t="n">
        <x:v>9881404</x:v>
      </x:c>
      <x:c r="I72" s="99" t="n">
        <x:v>-0.07727375186013452</x:v>
      </x:c>
      <x:c r="J72" s="100" t="n">
        <x:v>-15.777777777777779</x:v>
      </x:c>
      <x:c r="K72" s="100"/>
      <x:c r="L72" s="99" t="n">
        <x:v>0.5651111111111111</x:v>
      </x:c>
      <x:c r="M72" s="99" t="n">
        <x:v>0.6288888888888889</x:v>
      </x:c>
      <x:c r="N72" s="99"/>
      <x:c r="O72" s="99" t="n">
        <x:v>0.39616477777777775</x:v>
      </x:c>
      <x:c r="P72" s="99" t="n">
        <x:v>0.009557111111111115</x:v>
      </x:c>
      <x:c r="Q72" s="99" t="n">
        <x:v>0.10494500000000001</x:v>
      </x:c>
      <x:c r="R72" s="99" t="n">
        <x:v>-0.040100222222222225</x:v>
      </x:c>
      <x:c r="S72" s="45"/>
      <x:c r="T72" s="45"/>
      <x:c r="U72" s="51" t="d">
        <x:v>2026-09-30T00:00:00.000Z</x:v>
      </x:c>
      <x:c r="V72" s="51" t="d">
        <x:v>2026-09-30T00:00:00.000Z</x:v>
      </x:c>
      <x:c r="W72" s="109" t="n">
        <x:v>9</x:v>
      </x:c>
      <x:c r="X72" s="109" t="n">
        <x:v>9</x:v>
      </x:c>
      <x:c r="Y72" s="45" t="str">
        <x:v>sbx-mex/Perfil_Tienda_DM</x:v>
      </x:c>
      <x:c r="Z72" s="45" t="str">
        <x:v>2a6b0d21379739482f0b4c7be9b0f9a022e15f5b</x:v>
      </x:c>
      <x:c r="AA72" s="45" t="str">
        <x:v>8456a41c5e02d454e70a2531577ffb2e29f73e57e44a7762de681d568aa4227a</x:v>
      </x:c>
    </x:row>
    <x:row r="73" ht="23" customHeight="1">
      <x:c r="A73" s="50" t="str">
        <x:v>38507</x:v>
      </x:c>
      <x:c r="B73" s="108" t="d">
        <x:v>2026-09-30T00:00:00.000Z</x:v>
      </x:c>
      <x:c r="C73" s="99" t="n">
        <x:v>0.540541</x:v>
      </x:c>
      <x:c r="D73" s="100" t="n">
        <x:v>4.776156777777778</x:v>
      </x:c>
      <x:c r="E73" s="100" t="n">
        <x:v>11.425359666666667</x:v>
      </x:c>
      <x:c r="F73" s="99" t="n">
        <x:v>0.22123944444444443</x:v>
      </x:c>
      <x:c r="G73" s="99" t="n">
        <x:v>0.035666666666666666</x:v>
      </x:c>
      <x:c r="H73" s="101" t="n">
        <x:v>7901661</x:v>
      </x:c>
      <x:c r="I73" s="99" t="n">
        <x:v>-0.09012845227971711</x:v>
      </x:c>
      <x:c r="J73" s="100" t="n">
        <x:v>-14</x:v>
      </x:c>
      <x:c r="K73" s="100"/>
      <x:c r="L73" s="99" t="n">
        <x:v>0.6574444444444444</x:v>
      </x:c>
      <x:c r="M73" s="99" t="n">
        <x:v>0.6655555555555556</x:v>
      </x:c>
      <x:c r="N73" s="99"/>
      <x:c r="O73" s="99" t="n">
        <x:v>0.3682228888888889</x:v>
      </x:c>
      <x:c r="P73" s="99" t="n">
        <x:v>-0.004911222222222215</x:v>
      </x:c>
      <x:c r="Q73" s="99" t="n">
        <x:v>0.09001277777777777</x:v>
      </x:c>
      <x:c r="R73" s="99" t="n">
        <x:v>-0.045928666666666666</x:v>
      </x:c>
      <x:c r="S73" s="45"/>
      <x:c r="T73" s="45"/>
      <x:c r="U73" s="51" t="d">
        <x:v>2026-09-30T00:00:00.000Z</x:v>
      </x:c>
      <x:c r="V73" s="51" t="d">
        <x:v>2026-09-30T00:00:00.000Z</x:v>
      </x:c>
      <x:c r="W73" s="109" t="n">
        <x:v>9</x:v>
      </x:c>
      <x:c r="X73" s="109" t="n">
        <x:v>9</x:v>
      </x:c>
      <x:c r="Y73" s="45" t="str">
        <x:v>sbx-mex/Perfil_Tienda_DM</x:v>
      </x:c>
      <x:c r="Z73" s="45" t="str">
        <x:v>2a6b0d21379739482f0b4c7be9b0f9a022e15f5b</x:v>
      </x:c>
      <x:c r="AA73" s="45" t="str">
        <x:v>8456a41c5e02d454e70a2531577ffb2e29f73e57e44a7762de681d568aa4227a</x:v>
      </x:c>
    </x:row>
    <x:row r="74" ht="23" customHeight="1">
      <x:c r="A74" s="50" t="str">
        <x:v>38535</x:v>
      </x:c>
      <x:c r="B74" s="51" t="d">
        <x:v>2026-09-30T00:00:00.000Z</x:v>
      </x:c>
      <x:c r="C74" s="99" t="n">
        <x:v>0.851852</x:v>
      </x:c>
      <x:c r="D74" s="100" t="n">
        <x:v>6.580935222222222</x:v>
      </x:c>
      <x:c r="E74" s="100" t="n">
        <x:v>15.631226999999999</x:v>
      </x:c>
      <x:c r="F74" s="99" t="n">
        <x:v>0.13857444444444444</x:v>
      </x:c>
      <x:c r="G74" s="99" t="n">
        <x:v>0.010734555555555558</x:v>
      </x:c>
      <x:c r="H74" s="101" t="n">
        <x:v>31685273</x:v>
      </x:c>
      <x:c r="I74" s="99" t="n">
        <x:v>-0.09671006743588373</x:v>
      </x:c>
      <x:c r="J74" s="100" t="n">
        <x:v>22</x:v>
      </x:c>
      <x:c r="K74" s="100"/>
      <x:c r="L74" s="99" t="n">
        <x:v>0.4497777777777778</x:v>
      </x:c>
      <x:c r="M74" s="99" t="n">
        <x:v>0.5333333333333333</x:v>
      </x:c>
      <x:c r="N74" s="99"/>
      <x:c r="O74" s="99" t="n">
        <x:v>0.33098666666666665</x:v>
      </x:c>
      <x:c r="P74" s="99" t="n">
        <x:v>-0.029977111111111128</x:v>
      </x:c>
      <x:c r="Q74" s="99" t="n">
        <x:v>0.31510244444444446</x:v>
      </x:c>
      <x:c r="R74" s="99" t="n">
        <x:v>0.009188777777777761</x:v>
      </x:c>
      <x:c r="S74" s="45" t="str">
        <x:v>01:13</x:v>
      </x:c>
      <x:c r="T74" s="45" t="str">
        <x:v>01:28</x:v>
      </x:c>
      <x:c r="U74" s="51" t="d">
        <x:v>2026-09-30T00:00:00.000Z</x:v>
      </x:c>
      <x:c r="V74" s="51" t="d">
        <x:v>2026-09-30T00:00:00.000Z</x:v>
      </x:c>
      <x:c r="W74" s="109" t="n">
        <x:v>9</x:v>
      </x:c>
      <x:c r="X74" s="109" t="n">
        <x:v>9</x:v>
      </x:c>
      <x:c r="Y74" s="45" t="str">
        <x:v>sbx-mex/Perfil_Tienda_DM</x:v>
      </x:c>
      <x:c r="Z74" s="45" t="str">
        <x:v>2a6b0d21379739482f0b4c7be9b0f9a022e15f5b</x:v>
      </x:c>
      <x:c r="AA74" s="45" t="str">
        <x:v>8456a41c5e02d454e70a2531577ffb2e29f73e57e44a7762de681d568aa4227a</x:v>
      </x:c>
    </x:row>
    <x:row r="75" ht="23" customHeight="1">
      <x:c r="A75" s="50" t="str">
        <x:v>38925</x:v>
      </x:c>
      <x:c r="B75" s="51" t="d">
        <x:v>2026-09-30T00:00:00.000Z</x:v>
      </x:c>
      <x:c r="C75" s="99" t="n">
        <x:v>0</x:v>
      </x:c>
      <x:c r="D75" s="100" t="n">
        <x:v>4.9816313333333335</x:v>
      </x:c>
      <x:c r="E75" s="100" t="n">
        <x:v>12.447024333333333</x:v>
      </x:c>
      <x:c r="F75" s="99" t="n">
        <x:v>0.21827244444444446</x:v>
      </x:c>
      <x:c r="G75" s="99" t="n">
        <x:v>-0.0013352222222222253</x:v>
      </x:c>
      <x:c r="H75" s="101" t="n">
        <x:v>6704113</x:v>
      </x:c>
      <x:c r="I75" s="99" t="n">
        <x:v>-0.07037741159018052</x:v>
      </x:c>
      <x:c r="J75" s="100" t="n">
        <x:v>-21.444444444444443</x:v>
      </x:c>
      <x:c r="K75" s="100"/>
      <x:c r="L75" s="99" t="n">
        <x:v>0.7391111111111112</x:v>
      </x:c>
      <x:c r="M75" s="99" t="n">
        <x:v>0.7844444444444444</x:v>
      </x:c>
      <x:c r="N75" s="99"/>
      <x:c r="O75" s="99" t="n">
        <x:v>0.38038500000000003</x:v>
      </x:c>
      <x:c r="P75" s="99" t="n">
        <x:v>-0.0005091111111111021</x:v>
      </x:c>
      <x:c r="Q75" s="99" t="n">
        <x:v>0.1421807777777778</x:v>
      </x:c>
      <x:c r="R75" s="99" t="n">
        <x:v>0.036498111111111106</x:v>
      </x:c>
      <x:c r="S75" s="45"/>
      <x:c r="T75" s="45"/>
      <x:c r="U75" s="51" t="d">
        <x:v>2026-09-30T00:00:00.000Z</x:v>
      </x:c>
      <x:c r="V75" s="51" t="d">
        <x:v>2026-09-30T00:00:00.000Z</x:v>
      </x:c>
      <x:c r="W75" s="109" t="n">
        <x:v>9</x:v>
      </x:c>
      <x:c r="X75" s="109" t="n">
        <x:v>9</x:v>
      </x:c>
      <x:c r="Y75" s="45" t="str">
        <x:v>sbx-mex/Perfil_Tienda_DM</x:v>
      </x:c>
      <x:c r="Z75" s="45" t="str">
        <x:v>2a6b0d21379739482f0b4c7be9b0f9a022e15f5b</x:v>
      </x:c>
      <x:c r="AA75" s="45" t="str">
        <x:v>8456a41c5e02d454e70a2531577ffb2e29f73e57e44a7762de681d568aa4227a</x:v>
      </x:c>
    </x:row>
    <x:row r="76" ht="23" customHeight="1">
      <x:c r="A76" s="50" t="str">
        <x:v>43043</x:v>
      </x:c>
      <x:c r="B76" s="51" t="d">
        <x:v>2026-09-30T00:00:00.000Z</x:v>
      </x:c>
      <x:c r="C76" s="99" t="n">
        <x:v>0.863309</x:v>
      </x:c>
      <x:c r="D76" s="100" t="n">
        <x:v>6.9369528888888885</x:v>
      </x:c>
      <x:c r="E76" s="100" t="n">
        <x:v>17.218711777777777</x:v>
      </x:c>
      <x:c r="F76" s="99" t="n">
        <x:v>0.16342677777777778</x:v>
      </x:c>
      <x:c r="G76" s="99" t="n">
        <x:v>-0.0039132222222222224</x:v>
      </x:c>
      <x:c r="H76" s="101" t="n">
        <x:v>11936716</x:v>
      </x:c>
      <x:c r="I76" s="99" t="n">
        <x:v>-0.03487310715118841</x:v>
      </x:c>
      <x:c r="J76" s="100" t="n">
        <x:v>-0.8888888888888888</x:v>
      </x:c>
      <x:c r="K76" s="100"/>
      <x:c r="L76" s="99" t="n">
        <x:v>0.5541111111111111</x:v>
      </x:c>
      <x:c r="M76" s="99" t="n">
        <x:v>0.7177777777777777</x:v>
      </x:c>
      <x:c r="N76" s="99"/>
      <x:c r="O76" s="99" t="n">
        <x:v>0.358682</x:v>
      </x:c>
      <x:c r="P76" s="99" t="n">
        <x:v>-0.013135666666666676</x:v>
      </x:c>
      <x:c r="Q76" s="99" t="n">
        <x:v>0.21953</x:v>
      </x:c>
      <x:c r="R76" s="99" t="n">
        <x:v>0.007193333333333335</x:v>
      </x:c>
      <x:c r="S76" s="45"/>
      <x:c r="T76" s="45"/>
      <x:c r="U76" s="51" t="d">
        <x:v>2026-09-30T00:00:00.000Z</x:v>
      </x:c>
      <x:c r="V76" s="51" t="d">
        <x:v>2026-09-30T00:00:00.000Z</x:v>
      </x:c>
      <x:c r="W76" s="109" t="n">
        <x:v>9</x:v>
      </x:c>
      <x:c r="X76" s="109" t="n">
        <x:v>9</x:v>
      </x:c>
      <x:c r="Y76" s="45" t="str">
        <x:v>sbx-mex/Perfil_Tienda_DM</x:v>
      </x:c>
      <x:c r="Z76" s="45" t="str">
        <x:v>2a6b0d21379739482f0b4c7be9b0f9a022e15f5b</x:v>
      </x:c>
      <x:c r="AA76" s="45" t="str">
        <x:v>8456a41c5e02d454e70a2531577ffb2e29f73e57e44a7762de681d568aa4227a</x:v>
      </x:c>
    </x:row>
    <x:row r="77" ht="23" customHeight="1">
      <x:c r="A77" s="50" t="str">
        <x:v>43130</x:v>
      </x:c>
      <x:c r="B77" s="51" t="d">
        <x:v>2026-09-30T00:00:00.000Z</x:v>
      </x:c>
      <x:c r="C77" s="99" t="n">
        <x:v>0.082759</x:v>
      </x:c>
      <x:c r="D77" s="100" t="n">
        <x:v>5.652368333333333</x:v>
      </x:c>
      <x:c r="E77" s="100" t="n">
        <x:v>13.970594555555556</x:v>
      </x:c>
      <x:c r="F77" s="99" t="n">
        <x:v>0.1592001111111111</x:v>
      </x:c>
      <x:c r="G77" s="99" t="n">
        <x:v>-0.02486722222222222</x:v>
      </x:c>
      <x:c r="H77" s="101" t="n">
        <x:v>12924552</x:v>
      </x:c>
      <x:c r="I77" s="99" t="n">
        <x:v>0.10117008928271098</x:v>
      </x:c>
      <x:c r="J77" s="100" t="n">
        <x:v>14</x:v>
      </x:c>
      <x:c r="K77" s="100"/>
      <x:c r="L77" s="99" t="n">
        <x:v>0.7432222222222222</x:v>
      </x:c>
      <x:c r="M77" s="99" t="n">
        <x:v>0.7855555555555556</x:v>
      </x:c>
      <x:c r="N77" s="99"/>
      <x:c r="O77" s="99" t="n">
        <x:v>0.34241244444444446</x:v>
      </x:c>
      <x:c r="P77" s="99" t="n">
        <x:v>-0.018082666666666653</x:v>
      </x:c>
      <x:c r="Q77" s="99" t="n">
        <x:v>0.20717111111111108</x:v>
      </x:c>
      <x:c r="R77" s="99" t="n">
        <x:v>0.028848888888888886</x:v>
      </x:c>
      <x:c r="S77" s="45"/>
      <x:c r="T77" s="45"/>
      <x:c r="U77" s="51" t="d">
        <x:v>2026-09-30T00:00:00.000Z</x:v>
      </x:c>
      <x:c r="V77" s="51" t="d">
        <x:v>2026-09-30T00:00:00.000Z</x:v>
      </x:c>
      <x:c r="W77" s="109" t="n">
        <x:v>9</x:v>
      </x:c>
      <x:c r="X77" s="109" t="n">
        <x:v>9</x:v>
      </x:c>
      <x:c r="Y77" s="45" t="str">
        <x:v>sbx-mex/Perfil_Tienda_DM</x:v>
      </x:c>
      <x:c r="Z77" s="45" t="str">
        <x:v>2a6b0d21379739482f0b4c7be9b0f9a022e15f5b</x:v>
      </x:c>
      <x:c r="AA77" s="45" t="str">
        <x:v>8456a41c5e02d454e70a2531577ffb2e29f73e57e44a7762de681d568aa4227a</x:v>
      </x:c>
    </x:row>
    <x:row r="78" ht="23" customHeight="1">
      <x:c r="A78" s="50" t="str">
        <x:v>38226</x:v>
      </x:c>
      <x:c r="B78" s="51" t="d">
        <x:v>2026-09-30T00:00:00.000Z</x:v>
      </x:c>
      <x:c r="C78" s="99" t="n">
        <x:v>0.294479</x:v>
      </x:c>
      <x:c r="D78" s="100" t="n">
        <x:v>7.621646222222221</x:v>
      </x:c>
      <x:c r="E78" s="100" t="n">
        <x:v>16.955836</x:v>
      </x:c>
      <x:c r="F78" s="99" t="n">
        <x:v>0.13268333333333335</x:v>
      </x:c>
      <x:c r="G78" s="99" t="n">
        <x:v>-0.026730111111111118</x:v>
      </x:c>
      <x:c r="H78" s="101" t="n">
        <x:v>16580898</x:v>
      </x:c>
      <x:c r="I78" s="99" t="n">
        <x:v>0.03481345316042139</x:v>
      </x:c>
      <x:c r="J78" s="100" t="n">
        <x:v>20.666666666666668</x:v>
      </x:c>
      <x:c r="K78" s="100"/>
      <x:c r="L78" s="99" t="n">
        <x:v>0.5008888888888889</x:v>
      </x:c>
      <x:c r="M78" s="99" t="n">
        <x:v>0.6055555555555556</x:v>
      </x:c>
      <x:c r="N78" s="99"/>
      <x:c r="O78" s="99" t="n">
        <x:v>0.3751248888888889</x:v>
      </x:c>
      <x:c r="P78" s="99" t="n">
        <x:v>0.04803544444444444</x:v>
      </x:c>
      <x:c r="Q78" s="99" t="n">
        <x:v>0.24087633333333333</x:v>
      </x:c>
      <x:c r="R78" s="99" t="n">
        <x:v>-0.010734666666666658</x:v>
      </x:c>
      <x:c r="S78" s="45"/>
      <x:c r="T78" s="45"/>
      <x:c r="U78" s="51" t="d">
        <x:v>2026-09-30T00:00:00.000Z</x:v>
      </x:c>
      <x:c r="V78" s="51" t="d">
        <x:v>2026-09-30T00:00:00.000Z</x:v>
      </x:c>
      <x:c r="W78" s="109" t="n">
        <x:v>9</x:v>
      </x:c>
      <x:c r="X78" s="109" t="n">
        <x:v>9</x:v>
      </x:c>
      <x:c r="Y78" s="45" t="str">
        <x:v>sbx-mex/Perfil_Tienda_DM</x:v>
      </x:c>
      <x:c r="Z78" s="45" t="str">
        <x:v>2a6b0d21379739482f0b4c7be9b0f9a022e15f5b</x:v>
      </x:c>
      <x:c r="AA78" s="45" t="str">
        <x:v>8456a41c5e02d454e70a2531577ffb2e29f73e57e44a7762de681d568aa4227a</x:v>
      </x:c>
    </x:row>
    <x:row r="79" ht="23" customHeight="1">
      <x:c r="A79" s="50" t="str">
        <x:v>38279</x:v>
      </x:c>
      <x:c r="B79" s="51" t="d">
        <x:v>2026-09-30T00:00:00.000Z</x:v>
      </x:c>
      <x:c r="C79" s="99" t="n">
        <x:v>0.1875</x:v>
      </x:c>
      <x:c r="D79" s="100" t="n">
        <x:v>8.406504222222221</x:v>
      </x:c>
      <x:c r="E79" s="100" t="n">
        <x:v>18.37737077777778</x:v>
      </x:c>
      <x:c r="F79" s="99" t="n">
        <x:v>0.16227566666666665</x:v>
      </x:c>
      <x:c r="G79" s="99" t="n">
        <x:v>0.0030982222222222184</x:v>
      </x:c>
      <x:c r="H79" s="101" t="n">
        <x:v>10982416</x:v>
      </x:c>
      <x:c r="I79" s="99" t="n">
        <x:v>0.08478805742700235</x:v>
      </x:c>
      <x:c r="J79" s="100" t="n">
        <x:v>23.555555555555557</x:v>
      </x:c>
      <x:c r="K79" s="100"/>
      <x:c r="L79" s="99" t="n">
        <x:v>0.5716666666666668</x:v>
      </x:c>
      <x:c r="M79" s="99" t="n">
        <x:v>0.6977777777777778</x:v>
      </x:c>
      <x:c r="N79" s="99"/>
      <x:c r="O79" s="99" t="n">
        <x:v>0.36427088888888887</x:v>
      </x:c>
      <x:c r="P79" s="99" t="n">
        <x:v>0.042711111111111116</x:v>
      </x:c>
      <x:c r="Q79" s="99" t="n">
        <x:v>0.2237612222222222</x:v>
      </x:c>
      <x:c r="R79" s="99" t="n">
        <x:v>-0.01571011111111112</x:v>
      </x:c>
      <x:c r="S79" s="45"/>
      <x:c r="T79" s="45"/>
      <x:c r="U79" s="51" t="d">
        <x:v>2026-09-30T00:00:00.000Z</x:v>
      </x:c>
      <x:c r="V79" s="51" t="d">
        <x:v>2026-09-30T00:00:00.000Z</x:v>
      </x:c>
      <x:c r="W79" s="109" t="n">
        <x:v>9</x:v>
      </x:c>
      <x:c r="X79" s="109" t="n">
        <x:v>9</x:v>
      </x:c>
      <x:c r="Y79" s="45" t="str">
        <x:v>sbx-mex/Perfil_Tienda_DM</x:v>
      </x:c>
      <x:c r="Z79" s="45" t="str">
        <x:v>2a6b0d21379739482f0b4c7be9b0f9a022e15f5b</x:v>
      </x:c>
      <x:c r="AA79" s="45" t="str">
        <x:v>8456a41c5e02d454e70a2531577ffb2e29f73e57e44a7762de681d568aa4227a</x:v>
      </x:c>
    </x:row>
    <x:row r="80" ht="23" customHeight="1">
      <x:c r="A80" s="50" t="str">
        <x:v>38289</x:v>
      </x:c>
      <x:c r="B80" s="51" t="d">
        <x:v>2026-09-30T00:00:00.000Z</x:v>
      </x:c>
      <x:c r="C80" s="99" t="n">
        <x:v>0.416185</x:v>
      </x:c>
      <x:c r="D80" s="100" t="n">
        <x:v>7.3827913333333335</x:v>
      </x:c>
      <x:c r="E80" s="100" t="n">
        <x:v>17.566627444444446</x:v>
      </x:c>
      <x:c r="F80" s="99" t="n">
        <x:v>0.1411457777777778</x:v>
      </x:c>
      <x:c r="G80" s="99" t="n">
        <x:v>0.01810233333333333</x:v>
      </x:c>
      <x:c r="H80" s="101" t="n">
        <x:v>16815416</x:v>
      </x:c>
      <x:c r="I80" s="99" t="n">
        <x:v>-0.05488069295919329</x:v>
      </x:c>
      <x:c r="J80" s="100" t="n">
        <x:v>13.666666666666666</x:v>
      </x:c>
      <x:c r="K80" s="100"/>
      <x:c r="L80" s="99" t="n">
        <x:v>0.44122222222222224</x:v>
      </x:c>
      <x:c r="M80" s="99" t="n">
        <x:v>0.5922222222222222</x:v>
      </x:c>
      <x:c r="N80" s="99"/>
      <x:c r="O80" s="99" t="n">
        <x:v>0.3681626666666667</x:v>
      </x:c>
      <x:c r="P80" s="99" t="n">
        <x:v>0.03170133333333334</x:v>
      </x:c>
      <x:c r="Q80" s="99" t="n">
        <x:v>0.22474577777777777</x:v>
      </x:c>
      <x:c r="R80" s="99" t="n">
        <x:v>-0.06199266666666666</x:v>
      </x:c>
      <x:c r="S80" s="45"/>
      <x:c r="T80" s="45"/>
      <x:c r="U80" s="51" t="d">
        <x:v>2026-09-30T00:00:00.000Z</x:v>
      </x:c>
      <x:c r="V80" s="51" t="d">
        <x:v>2026-09-30T00:00:00.000Z</x:v>
      </x:c>
      <x:c r="W80" s="109" t="n">
        <x:v>9</x:v>
      </x:c>
      <x:c r="X80" s="109" t="n">
        <x:v>9</x:v>
      </x:c>
      <x:c r="Y80" s="45" t="str">
        <x:v>sbx-mex/Perfil_Tienda_DM</x:v>
      </x:c>
      <x:c r="Z80" s="45" t="str">
        <x:v>2a6b0d21379739482f0b4c7be9b0f9a022e15f5b</x:v>
      </x:c>
      <x:c r="AA80" s="45" t="str">
        <x:v>8456a41c5e02d454e70a2531577ffb2e29f73e57e44a7762de681d568aa4227a</x:v>
      </x:c>
    </x:row>
    <x:row r="81" ht="23" customHeight="1">
      <x:c r="A81" s="50" t="str">
        <x:v>38418</x:v>
      </x:c>
      <x:c r="B81" s="51" t="d">
        <x:v>2026-09-30T00:00:00.000Z</x:v>
      </x:c>
      <x:c r="C81" s="99" t="n">
        <x:v>0.295082</x:v>
      </x:c>
      <x:c r="D81" s="100" t="n">
        <x:v>5.7190214444444445</x:v>
      </x:c>
      <x:c r="E81" s="100" t="n">
        <x:v>13.108002888888889</x:v>
      </x:c>
      <x:c r="F81" s="99" t="n">
        <x:v>0.1612811111111111</x:v>
      </x:c>
      <x:c r="G81" s="99" t="n">
        <x:v>0.01536577777777778</x:v>
      </x:c>
      <x:c r="H81" s="101" t="n">
        <x:v>11438649</x:v>
      </x:c>
      <x:c r="I81" s="99" t="n">
        <x:v>-0.19009148977951085</x:v>
      </x:c>
      <x:c r="J81" s="100" t="n">
        <x:v>-23.333333333333332</x:v>
      </x:c>
      <x:c r="K81" s="100"/>
      <x:c r="L81" s="99" t="n">
        <x:v>0.5804444444444444</x:v>
      </x:c>
      <x:c r="M81" s="99" t="n">
        <x:v>0.6511111111111112</x:v>
      </x:c>
      <x:c r="N81" s="99"/>
      <x:c r="O81" s="99" t="n">
        <x:v>0.37806755555555555</x:v>
      </x:c>
      <x:c r="P81" s="99" t="n">
        <x:v>0.07223822222222223</x:v>
      </x:c>
      <x:c r="Q81" s="99" t="n">
        <x:v>0.15115533333333334</x:v>
      </x:c>
      <x:c r="R81" s="99" t="n">
        <x:v>-0.12061744444444446</x:v>
      </x:c>
      <x:c r="S81" s="45"/>
      <x:c r="T81" s="45"/>
      <x:c r="U81" s="51" t="d">
        <x:v>2026-09-30T00:00:00.000Z</x:v>
      </x:c>
      <x:c r="V81" s="51" t="d">
        <x:v>2026-09-30T00:00:00.000Z</x:v>
      </x:c>
      <x:c r="W81" s="109" t="n">
        <x:v>9</x:v>
      </x:c>
      <x:c r="X81" s="109" t="n">
        <x:v>9</x:v>
      </x:c>
      <x:c r="Y81" s="45" t="str">
        <x:v>sbx-mex/Perfil_Tienda_DM</x:v>
      </x:c>
      <x:c r="Z81" s="45" t="str">
        <x:v>2a6b0d21379739482f0b4c7be9b0f9a022e15f5b</x:v>
      </x:c>
      <x:c r="AA81" s="45" t="str">
        <x:v>8456a41c5e02d454e70a2531577ffb2e29f73e57e44a7762de681d568aa4227a</x:v>
      </x:c>
    </x:row>
    <x:row r="82" ht="23" customHeight="1">
      <x:c r="A82" s="50" t="str">
        <x:v>38419</x:v>
      </x:c>
      <x:c r="B82" s="51" t="d">
        <x:v>2026-09-30T00:00:00.000Z</x:v>
      </x:c>
      <x:c r="C82" s="99" t="n">
        <x:v>0.485549</x:v>
      </x:c>
      <x:c r="D82" s="100" t="n">
        <x:v>6.882335111111111</x:v>
      </x:c>
      <x:c r="E82" s="100" t="n">
        <x:v>16.76802</x:v>
      </x:c>
      <x:c r="F82" s="99" t="n">
        <x:v>0.12976377777777778</x:v>
      </x:c>
      <x:c r="G82" s="99" t="n">
        <x:v>-0.014281333333333325</x:v>
      </x:c>
      <x:c r="H82" s="101" t="n">
        <x:v>17936940</x:v>
      </x:c>
      <x:c r="I82" s="99" t="n">
        <x:v>-0.04911163762051196</x:v>
      </x:c>
      <x:c r="J82" s="100" t="n">
        <x:v>-35.22222222222222</x:v>
      </x:c>
      <x:c r="K82" s="100"/>
      <x:c r="L82" s="99" t="n">
        <x:v>0.49311111111111106</x:v>
      </x:c>
      <x:c r="M82" s="99" t="n">
        <x:v>0.6288888888888889</x:v>
      </x:c>
      <x:c r="N82" s="99"/>
      <x:c r="O82" s="99" t="n">
        <x:v>0.3866458888888889</x:v>
      </x:c>
      <x:c r="P82" s="99" t="n">
        <x:v>0.04556200000000002</x:v>
      </x:c>
      <x:c r="Q82" s="99" t="n">
        <x:v>0.24365266666666668</x:v>
      </x:c>
      <x:c r="R82" s="99" t="n">
        <x:v>-0.023199444444444432</x:v>
      </x:c>
      <x:c r="S82" s="45"/>
      <x:c r="T82" s="45"/>
      <x:c r="U82" s="51" t="d">
        <x:v>2026-09-30T00:00:00.000Z</x:v>
      </x:c>
      <x:c r="V82" s="51" t="d">
        <x:v>2026-09-30T00:00:00.000Z</x:v>
      </x:c>
      <x:c r="W82" s="109" t="n">
        <x:v>9</x:v>
      </x:c>
      <x:c r="X82" s="109" t="n">
        <x:v>9</x:v>
      </x:c>
      <x:c r="Y82" s="45" t="str">
        <x:v>sbx-mex/Perfil_Tienda_DM</x:v>
      </x:c>
      <x:c r="Z82" s="45" t="str">
        <x:v>2a6b0d21379739482f0b4c7be9b0f9a022e15f5b</x:v>
      </x:c>
      <x:c r="AA82" s="45" t="str">
        <x:v>8456a41c5e02d454e70a2531577ffb2e29f73e57e44a7762de681d568aa4227a</x:v>
      </x:c>
    </x:row>
    <x:row r="83" ht="23" customHeight="1">
      <x:c r="A83" s="50" t="str">
        <x:v>38468</x:v>
      </x:c>
      <x:c r="B83" s="51" t="d">
        <x:v>2026-09-30T00:00:00.000Z</x:v>
      </x:c>
      <x:c r="C83" s="99" t="n">
        <x:v>1.006993</x:v>
      </x:c>
      <x:c r="D83" s="100" t="n">
        <x:v>8.732641444444445</x:v>
      </x:c>
      <x:c r="E83" s="100" t="n">
        <x:v>19.787110444444444</x:v>
      </x:c>
      <x:c r="F83" s="99" t="n">
        <x:v>0.139737</x:v>
      </x:c>
      <x:c r="G83" s="99" t="n">
        <x:v>-0.02409655555555556</x:v>
      </x:c>
      <x:c r="H83" s="101" t="n">
        <x:v>14110867</x:v>
      </x:c>
      <x:c r="I83" s="99" t="n">
        <x:v>0.0070503782631343714</x:v>
      </x:c>
      <x:c r="J83" s="100" t="n">
        <x:v>28.555555555555557</x:v>
      </x:c>
      <x:c r="K83" s="100"/>
      <x:c r="L83" s="99" t="n">
        <x:v>0.5165555555555555</x:v>
      </x:c>
      <x:c r="M83" s="99" t="n">
        <x:v>0.61</x:v>
      </x:c>
      <x:c r="N83" s="99"/>
      <x:c r="O83" s="99" t="n">
        <x:v>0.3902692222222222</x:v>
      </x:c>
      <x:c r="P83" s="99" t="n">
        <x:v>0.04334522222222222</x:v>
      </x:c>
      <x:c r="Q83" s="99" t="n">
        <x:v>0.18791022222222223</x:v>
      </x:c>
      <x:c r="R83" s="99" t="n">
        <x:v>-0.03240066666666666</x:v>
      </x:c>
      <x:c r="S83" s="45"/>
      <x:c r="T83" s="45"/>
      <x:c r="U83" s="51" t="d">
        <x:v>2026-09-30T00:00:00.000Z</x:v>
      </x:c>
      <x:c r="V83" s="51" t="d">
        <x:v>2026-09-30T00:00:00.000Z</x:v>
      </x:c>
      <x:c r="W83" s="109" t="n">
        <x:v>9</x:v>
      </x:c>
      <x:c r="X83" s="109" t="n">
        <x:v>9</x:v>
      </x:c>
      <x:c r="Y83" s="45" t="str">
        <x:v>sbx-mex/Perfil_Tienda_DM</x:v>
      </x:c>
      <x:c r="Z83" s="45" t="str">
        <x:v>2a6b0d21379739482f0b4c7be9b0f9a022e15f5b</x:v>
      </x:c>
      <x:c r="AA83" s="45" t="str">
        <x:v>8456a41c5e02d454e70a2531577ffb2e29f73e57e44a7762de681d568aa4227a</x:v>
      </x:c>
    </x:row>
    <x:row r="84" ht="23" customHeight="1">
      <x:c r="A84" s="50" t="str">
        <x:v>38477</x:v>
      </x:c>
      <x:c r="B84" s="51" t="d">
        <x:v>2026-09-30T00:00:00.000Z</x:v>
      </x:c>
      <x:c r="C84" s="99" t="n">
        <x:v>0.545455</x:v>
      </x:c>
      <x:c r="D84" s="100" t="n">
        <x:v>6.189600888888888</x:v>
      </x:c>
      <x:c r="E84" s="100" t="n">
        <x:v>14.387474000000001</x:v>
      </x:c>
      <x:c r="F84" s="99" t="n">
        <x:v>0.14937522222222224</x:v>
      </x:c>
      <x:c r="G84" s="99" t="n">
        <x:v>-0.23746611111111107</x:v>
      </x:c>
      <x:c r="H84" s="101" t="n">
        <x:v>12080040</x:v>
      </x:c>
      <x:c r="I84" s="99" t="n">
        <x:v>0.1578640386143617</x:v>
      </x:c>
      <x:c r="J84" s="100" t="n">
        <x:v>-2.3333333333333335</x:v>
      </x:c>
      <x:c r="K84" s="100"/>
      <x:c r="L84" s="99" t="n">
        <x:v>0.5092222222222222</x:v>
      </x:c>
      <x:c r="M84" s="99" t="n">
        <x:v>0.6466666666666667</x:v>
      </x:c>
      <x:c r="N84" s="99"/>
      <x:c r="O84" s="99" t="n">
        <x:v>0.39058533333333334</x:v>
      </x:c>
      <x:c r="P84" s="99" t="n">
        <x:v>0.04011322222222222</x:v>
      </x:c>
      <x:c r="Q84" s="99" t="n">
        <x:v>0.16778177777777778</x:v>
      </x:c>
      <x:c r="R84" s="99" t="n">
        <x:v>0.4241145555555555</x:v>
      </x:c>
      <x:c r="S84" s="45"/>
      <x:c r="T84" s="45"/>
      <x:c r="U84" s="51" t="d">
        <x:v>2026-09-30T00:00:00.000Z</x:v>
      </x:c>
      <x:c r="V84" s="51" t="d">
        <x:v>2026-09-30T00:00:00.000Z</x:v>
      </x:c>
      <x:c r="W84" s="109" t="n">
        <x:v>9</x:v>
      </x:c>
      <x:c r="X84" s="109" t="n">
        <x:v>9</x:v>
      </x:c>
      <x:c r="Y84" s="45" t="str">
        <x:v>sbx-mex/Perfil_Tienda_DM</x:v>
      </x:c>
      <x:c r="Z84" s="45" t="str">
        <x:v>2a6b0d21379739482f0b4c7be9b0f9a022e15f5b</x:v>
      </x:c>
      <x:c r="AA84" s="45" t="str">
        <x:v>8456a41c5e02d454e70a2531577ffb2e29f73e57e44a7762de681d568aa4227a</x:v>
      </x:c>
    </x:row>
    <x:row r="85" ht="23" customHeight="1">
      <x:c r="A85" s="50" t="str">
        <x:v>38496</x:v>
      </x:c>
      <x:c r="B85" s="51" t="d">
        <x:v>2026-09-30T00:00:00.000Z</x:v>
      </x:c>
      <x:c r="C85" s="99" t="n">
        <x:v>0.324324</x:v>
      </x:c>
      <x:c r="D85" s="100" t="n">
        <x:v>6.877899222222222</x:v>
      </x:c>
      <x:c r="E85" s="100" t="n">
        <x:v>16.821588666666667</x:v>
      </x:c>
      <x:c r="F85" s="99" t="n">
        <x:v>0.12951477777777776</x:v>
      </x:c>
      <x:c r="G85" s="99" t="n">
        <x:v>-0.031224222222222223</x:v>
      </x:c>
      <x:c r="H85" s="101" t="n">
        <x:v>18243227</x:v>
      </x:c>
      <x:c r="I85" s="99" t="n">
        <x:v>-0.04145864045881131</x:v>
      </x:c>
      <x:c r="J85" s="100" t="n">
        <x:v>-22.444444444444443</x:v>
      </x:c>
      <x:c r="K85" s="100"/>
      <x:c r="L85" s="99" t="n">
        <x:v>0.4772222222222222</x:v>
      </x:c>
      <x:c r="M85" s="99" t="n">
        <x:v>0.59</x:v>
      </x:c>
      <x:c r="N85" s="99"/>
      <x:c r="O85" s="99" t="n">
        <x:v>0.38712522222222223</x:v>
      </x:c>
      <x:c r="P85" s="99" t="n">
        <x:v>0.00695966666666666</x:v>
      </x:c>
      <x:c r="Q85" s="99" t="n">
        <x:v>0.23098755555555556</x:v>
      </x:c>
      <x:c r="R85" s="99" t="n">
        <x:v>0.0012987777777777815</x:v>
      </x:c>
      <x:c r="S85" s="45"/>
      <x:c r="T85" s="45"/>
      <x:c r="U85" s="51" t="d">
        <x:v>2026-09-30T00:00:00.000Z</x:v>
      </x:c>
      <x:c r="V85" s="51" t="d">
        <x:v>2026-09-30T00:00:00.000Z</x:v>
      </x:c>
      <x:c r="W85" s="109" t="n">
        <x:v>9</x:v>
      </x:c>
      <x:c r="X85" s="109" t="n">
        <x:v>9</x:v>
      </x:c>
      <x:c r="Y85" s="45" t="str">
        <x:v>sbx-mex/Perfil_Tienda_DM</x:v>
      </x:c>
      <x:c r="Z85" s="45" t="str">
        <x:v>2a6b0d21379739482f0b4c7be9b0f9a022e15f5b</x:v>
      </x:c>
      <x:c r="AA85" s="45" t="str">
        <x:v>8456a41c5e02d454e70a2531577ffb2e29f73e57e44a7762de681d568aa4227a</x:v>
      </x:c>
    </x:row>
    <x:row r="86" ht="23" customHeight="1">
      <x:c r="A86" s="50" t="str">
        <x:v>38611</x:v>
      </x:c>
      <x:c r="B86" s="51" t="d">
        <x:v>2026-09-30T00:00:00.000Z</x:v>
      </x:c>
      <x:c r="C86" s="99" t="n">
        <x:v>0.144578</x:v>
      </x:c>
      <x:c r="D86" s="100" t="n">
        <x:v>6.3796537777777775</x:v>
      </x:c>
      <x:c r="E86" s="100" t="n">
        <x:v>16.468447</x:v>
      </x:c>
      <x:c r="F86" s="99" t="n">
        <x:v>0.12698544444444443</x:v>
      </x:c>
      <x:c r="G86" s="99" t="n">
        <x:v>0.00021644444444444348</x:v>
      </x:c>
      <x:c r="H86" s="101" t="n">
        <x:v>25494130</x:v>
      </x:c>
      <x:c r="I86" s="99" t="n">
        <x:v>-0.04287155031340284</x:v>
      </x:c>
      <x:c r="J86" s="100" t="n">
        <x:v>5.222222222222222</x:v>
      </x:c>
      <x:c r="K86" s="100"/>
      <x:c r="L86" s="99" t="n">
        <x:v>0.48355555555555557</x:v>
      </x:c>
      <x:c r="M86" s="99" t="n">
        <x:v>0.5866666666666666</x:v>
      </x:c>
      <x:c r="N86" s="99"/>
      <x:c r="O86" s="99" t="n">
        <x:v>0.3706632222222222</x:v>
      </x:c>
      <x:c r="P86" s="99" t="n">
        <x:v>0.03667322222222222</x:v>
      </x:c>
      <x:c r="Q86" s="99" t="n">
        <x:v>0.22441600000000003</x:v>
      </x:c>
      <x:c r="R86" s="99" t="n">
        <x:v>-0.019940777777777773</x:v>
      </x:c>
      <x:c r="S86" s="45" t="str">
        <x:v>01:35</x:v>
      </x:c>
      <x:c r="T86" s="45" t="str">
        <x:v>01:35</x:v>
      </x:c>
      <x:c r="U86" s="51" t="d">
        <x:v>2026-09-30T00:00:00.000Z</x:v>
      </x:c>
      <x:c r="V86" s="51" t="d">
        <x:v>2026-09-30T00:00:00.000Z</x:v>
      </x:c>
      <x:c r="W86" s="109" t="n">
        <x:v>9</x:v>
      </x:c>
      <x:c r="X86" s="109" t="n">
        <x:v>9</x:v>
      </x:c>
      <x:c r="Y86" s="45" t="str">
        <x:v>sbx-mex/Perfil_Tienda_DM</x:v>
      </x:c>
      <x:c r="Z86" s="45" t="str">
        <x:v>2a6b0d21379739482f0b4c7be9b0f9a022e15f5b</x:v>
      </x:c>
      <x:c r="AA86" s="45" t="str">
        <x:v>8456a41c5e02d454e70a2531577ffb2e29f73e57e44a7762de681d568aa4227a</x:v>
      </x:c>
    </x:row>
    <x:row r="87" ht="23" customHeight="1">
      <x:c r="A87" s="50" t="str">
        <x:v>38645</x:v>
      </x:c>
      <x:c r="B87" s="51" t="d">
        <x:v>2026-09-30T00:00:00.000Z</x:v>
      </x:c>
      <x:c r="C87" s="99" t="n">
        <x:v>0.895522</x:v>
      </x:c>
      <x:c r="D87" s="100" t="n">
        <x:v>6.8471385555555555</x:v>
      </x:c>
      <x:c r="E87" s="100" t="n">
        <x:v>15.569143444444443</x:v>
      </x:c>
      <x:c r="F87" s="99" t="n">
        <x:v>0.15272466666666668</x:v>
      </x:c>
      <x:c r="G87" s="99" t="n">
        <x:v>-0.023995888888888893</x:v>
      </x:c>
      <x:c r="H87" s="101" t="n">
        <x:v>11769747</x:v>
      </x:c>
      <x:c r="I87" s="99" t="n">
        <x:v>-0.07298448362651766</x:v>
      </x:c>
      <x:c r="J87" s="100" t="n">
        <x:v>-13.555555555555555</x:v>
      </x:c>
      <x:c r="K87" s="100"/>
      <x:c r="L87" s="99" t="n">
        <x:v>0.4516666666666667</x:v>
      </x:c>
      <x:c r="M87" s="99" t="n">
        <x:v>0.5677777777777777</x:v>
      </x:c>
      <x:c r="N87" s="99"/>
      <x:c r="O87" s="99" t="n">
        <x:v>0.4144305555555555</x:v>
      </x:c>
      <x:c r="P87" s="99" t="n">
        <x:v>0.050037111111111116</x:v>
      </x:c>
      <x:c r="Q87" s="99" t="n">
        <x:v>0.15434177777777777</x:v>
      </x:c>
      <x:c r="R87" s="99" t="n">
        <x:v>-0.03913244444444445</x:v>
      </x:c>
      <x:c r="S87" s="45"/>
      <x:c r="T87" s="45"/>
      <x:c r="U87" s="51" t="d">
        <x:v>2026-09-30T00:00:00.000Z</x:v>
      </x:c>
      <x:c r="V87" s="51" t="d">
        <x:v>2026-09-30T00:00:00.000Z</x:v>
      </x:c>
      <x:c r="W87" s="109" t="n">
        <x:v>9</x:v>
      </x:c>
      <x:c r="X87" s="109" t="n">
        <x:v>9</x:v>
      </x:c>
      <x:c r="Y87" s="45" t="str">
        <x:v>sbx-mex/Perfil_Tienda_DM</x:v>
      </x:c>
      <x:c r="Z87" s="45" t="str">
        <x:v>2a6b0d21379739482f0b4c7be9b0f9a022e15f5b</x:v>
      </x:c>
      <x:c r="AA87" s="45" t="str">
        <x:v>8456a41c5e02d454e70a2531577ffb2e29f73e57e44a7762de681d568aa4227a</x:v>
      </x:c>
    </x:row>
    <x:row r="88" ht="23" customHeight="1">
      <x:c r="A88" s="50" t="str">
        <x:v>38725</x:v>
      </x:c>
      <x:c r="B88" s="51" t="d">
        <x:v>2026-09-30T00:00:00.000Z</x:v>
      </x:c>
      <x:c r="C88" s="99" t="n">
        <x:v>0.307692</x:v>
      </x:c>
      <x:c r="D88" s="100" t="n">
        <x:v>5.6573166666666665</x:v>
      </x:c>
      <x:c r="E88" s="100" t="n">
        <x:v>14.157320555555556</x:v>
      </x:c>
      <x:c r="F88" s="99" t="n">
        <x:v>0.1646548888888889</x:v>
      </x:c>
      <x:c r="G88" s="99" t="n">
        <x:v>0.013469555555555556</x:v>
      </x:c>
      <x:c r="H88" s="101" t="n">
        <x:v>12845057</x:v>
      </x:c>
      <x:c r="I88" s="99" t="n">
        <x:v>-0.1869516688637325</x:v>
      </x:c>
      <x:c r="J88" s="100" t="n">
        <x:v>-20.77777777777778</x:v>
      </x:c>
      <x:c r="K88" s="100"/>
      <x:c r="L88" s="99" t="n">
        <x:v>0.4546666666666667</x:v>
      </x:c>
      <x:c r="M88" s="99" t="n">
        <x:v>0.6166666666666667</x:v>
      </x:c>
      <x:c r="N88" s="99"/>
      <x:c r="O88" s="99" t="n">
        <x:v>0.38527144444444444</x:v>
      </x:c>
      <x:c r="P88" s="99" t="n">
        <x:v>0.035906444444444435</x:v>
      </x:c>
      <x:c r="Q88" s="99" t="n">
        <x:v>0.18870033333333336</x:v>
      </x:c>
      <x:c r="R88" s="99" t="n">
        <x:v>-0.07853233333333333</x:v>
      </x:c>
      <x:c r="S88" s="45"/>
      <x:c r="T88" s="45"/>
      <x:c r="U88" s="51" t="d">
        <x:v>2026-09-30T00:00:00.000Z</x:v>
      </x:c>
      <x:c r="V88" s="51" t="d">
        <x:v>2026-09-30T00:00:00.000Z</x:v>
      </x:c>
      <x:c r="W88" s="109" t="n">
        <x:v>9</x:v>
      </x:c>
      <x:c r="X88" s="109" t="n">
        <x:v>9</x:v>
      </x:c>
      <x:c r="Y88" s="45" t="str">
        <x:v>sbx-mex/Perfil_Tienda_DM</x:v>
      </x:c>
      <x:c r="Z88" s="45" t="str">
        <x:v>2a6b0d21379739482f0b4c7be9b0f9a022e15f5b</x:v>
      </x:c>
      <x:c r="AA88" s="45" t="str">
        <x:v>8456a41c5e02d454e70a2531577ffb2e29f73e57e44a7762de681d568aa4227a</x:v>
      </x:c>
    </x:row>
    <x:row r="89" ht="23" customHeight="1">
      <x:c r="A89" s="50" t="str">
        <x:v>43070</x:v>
      </x:c>
      <x:c r="B89" s="51" t="d">
        <x:v>2026-09-30T00:00:00.000Z</x:v>
      </x:c>
      <x:c r="C89" s="99" t="n">
        <x:v>0.463519</x:v>
      </x:c>
      <x:c r="D89" s="100" t="n">
        <x:v>7.0889574444444445</x:v>
      </x:c>
      <x:c r="E89" s="100" t="n">
        <x:v>18.054619333333335</x:v>
      </x:c>
      <x:c r="F89" s="99" t="n">
        <x:v>0.13340066666666667</x:v>
      </x:c>
      <x:c r="G89" s="99" t="n">
        <x:v>-0.018737444444444442</x:v>
      </x:c>
      <x:c r="H89" s="101" t="n">
        <x:v>23624821</x:v>
      </x:c>
      <x:c r="I89" s="99" t="n">
        <x:v>0.09069497168846485</x:v>
      </x:c>
      <x:c r="J89" s="100" t="n">
        <x:v>63.44444444444444</x:v>
      </x:c>
      <x:c r="K89" s="100"/>
      <x:c r="L89" s="99" t="n">
        <x:v>0.5725555555555556</x:v>
      </x:c>
      <x:c r="M89" s="99" t="n">
        <x:v>0.6255555555555555</x:v>
      </x:c>
      <x:c r="N89" s="99"/>
      <x:c r="O89" s="99" t="n">
        <x:v>0.35838655555555554</x:v>
      </x:c>
      <x:c r="P89" s="99" t="n">
        <x:v>0.02911644444444445</x:v>
      </x:c>
      <x:c r="Q89" s="99" t="n">
        <x:v>0.26010500000000003</x:v>
      </x:c>
      <x:c r="R89" s="99" t="n">
        <x:v>-0.031888666666666676</x:v>
      </x:c>
      <x:c r="S89" s="45" t="str">
        <x:v>01:50</x:v>
      </x:c>
      <x:c r="T89" s="45" t="str">
        <x:v>01:32</x:v>
      </x:c>
      <x:c r="U89" s="51" t="d">
        <x:v>2026-09-30T00:00:00.000Z</x:v>
      </x:c>
      <x:c r="V89" s="51" t="d">
        <x:v>2026-09-30T00:00:00.000Z</x:v>
      </x:c>
      <x:c r="W89" s="109" t="n">
        <x:v>9</x:v>
      </x:c>
      <x:c r="X89" s="109" t="n">
        <x:v>9</x:v>
      </x:c>
      <x:c r="Y89" s="45" t="str">
        <x:v>sbx-mex/Perfil_Tienda_DM</x:v>
      </x:c>
      <x:c r="Z89" s="45" t="str">
        <x:v>2a6b0d21379739482f0b4c7be9b0f9a022e15f5b</x:v>
      </x:c>
      <x:c r="AA89" s="45" t="str">
        <x:v>8456a41c5e02d454e70a2531577ffb2e29f73e57e44a7762de681d568aa4227a</x:v>
      </x:c>
    </x:row>
    <x:row r="90" ht="23" customHeight="1">
      <x:c r="A90" s="50" t="str">
        <x:v>38107</x:v>
      </x:c>
      <x:c r="B90" s="51" t="d">
        <x:v>2026-09-30T00:00:00.000Z</x:v>
      </x:c>
      <x:c r="C90" s="99" t="n">
        <x:v>0.487805</x:v>
      </x:c>
      <x:c r="D90" s="100" t="n">
        <x:v>5.727217</x:v>
      </x:c>
      <x:c r="E90" s="100" t="n">
        <x:v>12.258669000000001</x:v>
      </x:c>
      <x:c r="F90" s="99" t="n">
        <x:v>0.18147566666666667</x:v>
      </x:c>
      <x:c r="G90" s="99" t="n">
        <x:v>0.006022777777777775</x:v>
      </x:c>
      <x:c r="H90" s="101" t="n">
        <x:v>8688219</x:v>
      </x:c>
      <x:c r="I90" s="99" t="n">
        <x:v>-0.07089588902711175</x:v>
      </x:c>
      <x:c r="J90" s="100" t="n">
        <x:v>-22.666666666666668</x:v>
      </x:c>
      <x:c r="K90" s="100"/>
      <x:c r="L90" s="99" t="n">
        <x:v>0.6156666666666666</x:v>
      </x:c>
      <x:c r="M90" s="99" t="n">
        <x:v>0.7200000000000001</x:v>
      </x:c>
      <x:c r="N90" s="99"/>
      <x:c r="O90" s="99" t="n">
        <x:v>0.3841041111111111</x:v>
      </x:c>
      <x:c r="P90" s="99" t="n">
        <x:v>0.04281466666666667</x:v>
      </x:c>
      <x:c r="Q90" s="99" t="n">
        <x:v>0.016382</x:v>
      </x:c>
      <x:c r="R90" s="99" t="n">
        <x:v>-0.11408144444444443</x:v>
      </x:c>
      <x:c r="S90" s="45"/>
      <x:c r="T90" s="45"/>
      <x:c r="U90" s="51" t="d">
        <x:v>2026-09-30T00:00:00.000Z</x:v>
      </x:c>
      <x:c r="V90" s="51" t="d">
        <x:v>2026-09-30T00:00:00.000Z</x:v>
      </x:c>
      <x:c r="W90" s="109" t="n">
        <x:v>9</x:v>
      </x:c>
      <x:c r="X90" s="109" t="n">
        <x:v>9</x:v>
      </x:c>
      <x:c r="Y90" s="45" t="str">
        <x:v>sbx-mex/Perfil_Tienda_DM</x:v>
      </x:c>
      <x:c r="Z90" s="45" t="str">
        <x:v>2a6b0d21379739482f0b4c7be9b0f9a022e15f5b</x:v>
      </x:c>
      <x:c r="AA90" s="45" t="str">
        <x:v>8456a41c5e02d454e70a2531577ffb2e29f73e57e44a7762de681d568aa4227a</x:v>
      </x:c>
    </x:row>
    <x:row r="91" ht="23" customHeight="1">
      <x:c r="A91" s="50" t="str">
        <x:v>38116</x:v>
      </x:c>
      <x:c r="B91" s="51" t="d">
        <x:v>2026-09-30T00:00:00.000Z</x:v>
      </x:c>
      <x:c r="C91" s="99" t="n">
        <x:v>0.377358</x:v>
      </x:c>
      <x:c r="D91" s="100" t="n">
        <x:v>7.999669666666667</x:v>
      </x:c>
      <x:c r="E91" s="100" t="n">
        <x:v>19.046077222222223</x:v>
      </x:c>
      <x:c r="F91" s="99" t="n">
        <x:v>0.1690351111111111</x:v>
      </x:c>
      <x:c r="G91" s="99" t="n">
        <x:v>0.00896899999999999</x:v>
      </x:c>
      <x:c r="H91" s="101" t="n">
        <x:v>13394536</x:v>
      </x:c>
      <x:c r="I91" s="99" t="n">
        <x:v>-0.07715423671494959</x:v>
      </x:c>
      <x:c r="J91" s="100" t="n">
        <x:v>-17.77777777777778</x:v>
      </x:c>
      <x:c r="K91" s="100"/>
      <x:c r="L91" s="99" t="n">
        <x:v>0.5437777777777778</x:v>
      </x:c>
      <x:c r="M91" s="99" t="n">
        <x:v>0.59</x:v>
      </x:c>
      <x:c r="N91" s="99"/>
      <x:c r="O91" s="99" t="n">
        <x:v>0.3949732222222222</x:v>
      </x:c>
      <x:c r="P91" s="99" t="n">
        <x:v>0.030878333333333334</x:v>
      </x:c>
      <x:c r="Q91" s="99" t="n">
        <x:v>0.06268666666666667</x:v>
      </x:c>
      <x:c r="R91" s="99" t="n">
        <x:v>-0.07152511111111111</x:v>
      </x:c>
      <x:c r="S91" s="45"/>
      <x:c r="T91" s="45"/>
      <x:c r="U91" s="51" t="d">
        <x:v>2026-09-30T00:00:00.000Z</x:v>
      </x:c>
      <x:c r="V91" s="51" t="d">
        <x:v>2026-09-30T00:00:00.000Z</x:v>
      </x:c>
      <x:c r="W91" s="109" t="n">
        <x:v>9</x:v>
      </x:c>
      <x:c r="X91" s="109" t="n">
        <x:v>9</x:v>
      </x:c>
      <x:c r="Y91" s="45" t="str">
        <x:v>sbx-mex/Perfil_Tienda_DM</x:v>
      </x:c>
      <x:c r="Z91" s="45" t="str">
        <x:v>2a6b0d21379739482f0b4c7be9b0f9a022e15f5b</x:v>
      </x:c>
      <x:c r="AA91" s="45" t="str">
        <x:v>8456a41c5e02d454e70a2531577ffb2e29f73e57e44a7762de681d568aa4227a</x:v>
      </x:c>
    </x:row>
    <x:row r="92" ht="23" customHeight="1">
      <x:c r="A92" s="50" t="str">
        <x:v>38124</x:v>
      </x:c>
      <x:c r="B92" s="51" t="d">
        <x:v>2026-09-30T00:00:00.000Z</x:v>
      </x:c>
      <x:c r="C92" s="99" t="n">
        <x:v>0.179104</x:v>
      </x:c>
      <x:c r="D92" s="100" t="n">
        <x:v>4.874499</x:v>
      </x:c>
      <x:c r="E92" s="100" t="n">
        <x:v>11.380882777777778</x:v>
      </x:c>
      <x:c r="F92" s="99" t="n">
        <x:v>0.18271255555555554</x:v>
      </x:c>
      <x:c r="G92" s="99" t="n">
        <x:v>0.008909555555555547</x:v>
      </x:c>
      <x:c r="H92" s="101" t="n">
        <x:v>9588982</x:v>
      </x:c>
      <x:c r="I92" s="99" t="n">
        <x:v>-0.1323345010078244</x:v>
      </x:c>
      <x:c r="J92" s="100" t="n">
        <x:v>-16.88888888888889</x:v>
      </x:c>
      <x:c r="K92" s="100"/>
      <x:c r="L92" s="99" t="n">
        <x:v>0.5386666666666666</x:v>
      </x:c>
      <x:c r="M92" s="99" t="n">
        <x:v>0.7</x:v>
      </x:c>
      <x:c r="N92" s="99"/>
      <x:c r="O92" s="99" t="n">
        <x:v>0.39156477777777776</x:v>
      </x:c>
      <x:c r="P92" s="99" t="n">
        <x:v>0.04929766666666667</x:v>
      </x:c>
      <x:c r="Q92" s="99" t="n">
        <x:v>0.10627855555555556</x:v>
      </x:c>
      <x:c r="R92" s="99" t="n">
        <x:v>-0.07122500000000001</x:v>
      </x:c>
      <x:c r="S92" s="45"/>
      <x:c r="T92" s="45"/>
      <x:c r="U92" s="51" t="d">
        <x:v>2026-09-30T00:00:00.000Z</x:v>
      </x:c>
      <x:c r="V92" s="51" t="d">
        <x:v>2026-09-30T00:00:00.000Z</x:v>
      </x:c>
      <x:c r="W92" s="109" t="n">
        <x:v>9</x:v>
      </x:c>
      <x:c r="X92" s="109" t="n">
        <x:v>9</x:v>
      </x:c>
      <x:c r="Y92" s="45" t="str">
        <x:v>sbx-mex/Perfil_Tienda_DM</x:v>
      </x:c>
      <x:c r="Z92" s="45" t="str">
        <x:v>2a6b0d21379739482f0b4c7be9b0f9a022e15f5b</x:v>
      </x:c>
      <x:c r="AA92" s="45" t="str">
        <x:v>8456a41c5e02d454e70a2531577ffb2e29f73e57e44a7762de681d568aa4227a</x:v>
      </x:c>
    </x:row>
    <x:row r="93" ht="23" customHeight="1">
      <x:c r="A93" s="50" t="str">
        <x:v>38129</x:v>
      </x:c>
      <x:c r="B93" s="51" t="d">
        <x:v>2026-09-30T00:00:00.000Z</x:v>
      </x:c>
      <x:c r="C93" s="99" t="n">
        <x:v>0.476821</x:v>
      </x:c>
      <x:c r="D93" s="100" t="n">
        <x:v>5.5905322222222225</x:v>
      </x:c>
      <x:c r="E93" s="100" t="n">
        <x:v>12.520289</x:v>
      </x:c>
      <x:c r="F93" s="99" t="n">
        <x:v>0.17426066666666667</x:v>
      </x:c>
      <x:c r="G93" s="99" t="n">
        <x:v>0.003896888888888891</x:v>
      </x:c>
      <x:c r="H93" s="101" t="n">
        <x:v>11325419</x:v>
      </x:c>
      <x:c r="I93" s="99" t="n">
        <x:v>-0.17396152125588749</x:v>
      </x:c>
      <x:c r="J93" s="100" t="n">
        <x:v>-22.22222222222222</x:v>
      </x:c>
      <x:c r="K93" s="100"/>
      <x:c r="L93" s="99" t="n">
        <x:v>0.5554444444444444</x:v>
      </x:c>
      <x:c r="M93" s="99" t="n">
        <x:v>0.6411111111111111</x:v>
      </x:c>
      <x:c r="N93" s="99"/>
      <x:c r="O93" s="99" t="n">
        <x:v>0.3719806666666667</x:v>
      </x:c>
      <x:c r="P93" s="99" t="n">
        <x:v>0.019482111111111113</x:v>
      </x:c>
      <x:c r="Q93" s="99" t="n">
        <x:v>0.15684433333333334</x:v>
      </x:c>
      <x:c r="R93" s="99" t="n">
        <x:v>-0.041827444444444445</x:v>
      </x:c>
      <x:c r="S93" s="45"/>
      <x:c r="T93" s="45"/>
      <x:c r="U93" s="51" t="d">
        <x:v>2026-09-30T00:00:00.000Z</x:v>
      </x:c>
      <x:c r="V93" s="51" t="d">
        <x:v>2026-09-30T00:00:00.000Z</x:v>
      </x:c>
      <x:c r="W93" s="109" t="n">
        <x:v>9</x:v>
      </x:c>
      <x:c r="X93" s="109" t="n">
        <x:v>9</x:v>
      </x:c>
      <x:c r="Y93" s="45" t="str">
        <x:v>sbx-mex/Perfil_Tienda_DM</x:v>
      </x:c>
      <x:c r="Z93" s="45" t="str">
        <x:v>2a6b0d21379739482f0b4c7be9b0f9a022e15f5b</x:v>
      </x:c>
      <x:c r="AA93" s="45" t="str">
        <x:v>8456a41c5e02d454e70a2531577ffb2e29f73e57e44a7762de681d568aa4227a</x:v>
      </x:c>
    </x:row>
    <x:row r="94" ht="23" customHeight="1">
      <x:c r="A94" s="50" t="str">
        <x:v>38169</x:v>
      </x:c>
      <x:c r="B94" s="51" t="d">
        <x:v>2026-09-30T00:00:00.000Z</x:v>
      </x:c>
      <x:c r="C94" s="99" t="n">
        <x:v>0.264706</x:v>
      </x:c>
      <x:c r="D94" s="100" t="n">
        <x:v>6.692736888888889</x:v>
      </x:c>
      <x:c r="E94" s="100" t="n">
        <x:v>14.824722555555557</x:v>
      </x:c>
      <x:c r="F94" s="99" t="n">
        <x:v>0.17084733333333332</x:v>
      </x:c>
      <x:c r="G94" s="99" t="n">
        <x:v>-0.0016155555555555584</x:v>
      </x:c>
      <x:c r="H94" s="101" t="n">
        <x:v>10334268</x:v>
      </x:c>
      <x:c r="I94" s="99" t="n">
        <x:v>-0.036343679190371514</x:v>
      </x:c>
      <x:c r="J94" s="100" t="n">
        <x:v>-11.333333333333334</x:v>
      </x:c>
      <x:c r="K94" s="100"/>
      <x:c r="L94" s="99" t="n">
        <x:v>0.5791111111111111</x:v>
      </x:c>
      <x:c r="M94" s="99" t="n">
        <x:v>0.7033333333333334</x:v>
      </x:c>
      <x:c r="N94" s="99"/>
      <x:c r="O94" s="99" t="n">
        <x:v>0.37033455555555556</x:v>
      </x:c>
      <x:c r="P94" s="99" t="n">
        <x:v>0.0028231111111111096</x:v>
      </x:c>
      <x:c r="Q94" s="99" t="n">
        <x:v>0.07535644444444445</x:v>
      </x:c>
      <x:c r="R94" s="99" t="n">
        <x:v>-0.011022333333333332</x:v>
      </x:c>
      <x:c r="S94" s="45"/>
      <x:c r="T94" s="45"/>
      <x:c r="U94" s="51" t="d">
        <x:v>2026-09-30T00:00:00.000Z</x:v>
      </x:c>
      <x:c r="V94" s="51" t="d">
        <x:v>2026-09-30T00:00:00.000Z</x:v>
      </x:c>
      <x:c r="W94" s="109" t="n">
        <x:v>9</x:v>
      </x:c>
      <x:c r="X94" s="109" t="n">
        <x:v>9</x:v>
      </x:c>
      <x:c r="Y94" s="45" t="str">
        <x:v>sbx-mex/Perfil_Tienda_DM</x:v>
      </x:c>
      <x:c r="Z94" s="45" t="str">
        <x:v>2a6b0d21379739482f0b4c7be9b0f9a022e15f5b</x:v>
      </x:c>
      <x:c r="AA94" s="45" t="str">
        <x:v>8456a41c5e02d454e70a2531577ffb2e29f73e57e44a7762de681d568aa4227a</x:v>
      </x:c>
    </x:row>
    <x:row r="95" ht="23" customHeight="1">
      <x:c r="A95" s="50" t="str">
        <x:v>38398</x:v>
      </x:c>
      <x:c r="B95" s="51" t="d">
        <x:v>2026-09-30T00:00:00.000Z</x:v>
      </x:c>
      <x:c r="C95" s="99" t="n">
        <x:v>0.590164</x:v>
      </x:c>
      <x:c r="D95" s="100" t="n">
        <x:v>5.8904218888888895</x:v>
      </x:c>
      <x:c r="E95" s="100" t="n">
        <x:v>13.004354</x:v>
      </x:c>
      <x:c r="F95" s="99" t="n">
        <x:v>0.17694344444444443</x:v>
      </x:c>
      <x:c r="G95" s="99" t="n">
        <x:v>-0.016849333333333338</x:v>
      </x:c>
      <x:c r="H95" s="101" t="n">
        <x:v>8830830</x:v>
      </x:c>
      <x:c r="I95" s="99" t="n">
        <x:v>-0.14429581585786821</x:v>
      </x:c>
      <x:c r="J95" s="100" t="n">
        <x:v>-13</x:v>
      </x:c>
      <x:c r="K95" s="100"/>
      <x:c r="L95" s="99" t="n">
        <x:v>0.6278888888888888</x:v>
      </x:c>
      <x:c r="M95" s="99" t="n">
        <x:v>0.6988888888888889</x:v>
      </x:c>
      <x:c r="N95" s="99"/>
      <x:c r="O95" s="99" t="n">
        <x:v>0.3804343333333333</x:v>
      </x:c>
      <x:c r="P95" s="99" t="n">
        <x:v>0.039363888888888886</x:v>
      </x:c>
      <x:c r="Q95" s="99" t="n">
        <x:v>0.1389568888888889</x:v>
      </x:c>
      <x:c r="R95" s="99" t="n">
        <x:v>-0.017546888888888897</x:v>
      </x:c>
      <x:c r="S95" s="45"/>
      <x:c r="T95" s="45"/>
      <x:c r="U95" s="51" t="d">
        <x:v>2026-09-30T00:00:00.000Z</x:v>
      </x:c>
      <x:c r="V95" s="51" t="d">
        <x:v>2026-09-30T00:00:00.000Z</x:v>
      </x:c>
      <x:c r="W95" s="109" t="n">
        <x:v>9</x:v>
      </x:c>
      <x:c r="X95" s="109" t="n">
        <x:v>9</x:v>
      </x:c>
      <x:c r="Y95" s="45" t="str">
        <x:v>sbx-mex/Perfil_Tienda_DM</x:v>
      </x:c>
      <x:c r="Z95" s="45" t="str">
        <x:v>2a6b0d21379739482f0b4c7be9b0f9a022e15f5b</x:v>
      </x:c>
      <x:c r="AA95" s="45" t="str">
        <x:v>8456a41c5e02d454e70a2531577ffb2e29f73e57e44a7762de681d568aa4227a</x:v>
      </x:c>
    </x:row>
    <x:row r="96" ht="23" customHeight="1">
      <x:c r="A96" s="50" t="str">
        <x:v>38428</x:v>
      </x:c>
      <x:c r="B96" s="51" t="d">
        <x:v>2026-09-30T00:00:00.000Z</x:v>
      </x:c>
      <x:c r="C96" s="99" t="n">
        <x:v>0.171429</x:v>
      </x:c>
      <x:c r="D96" s="100" t="n">
        <x:v>5.678428333333333</x:v>
      </x:c>
      <x:c r="E96" s="100" t="n">
        <x:v>12.370578</x:v>
      </x:c>
      <x:c r="F96" s="99" t="n">
        <x:v>0.17531933333333333</x:v>
      </x:c>
      <x:c r="G96" s="99" t="n">
        <x:v>-0.03682466666666667</x:v>
      </x:c>
      <x:c r="H96" s="101" t="n">
        <x:v>10487904</x:v>
      </x:c>
      <x:c r="I96" s="99" t="n">
        <x:v>-0.03857683692611347</x:v>
      </x:c>
      <x:c r="J96" s="100" t="n">
        <x:v>-16</x:v>
      </x:c>
      <x:c r="K96" s="100"/>
      <x:c r="L96" s="99" t="n">
        <x:v>0.7042222222222222</x:v>
      </x:c>
      <x:c r="M96" s="99" t="n">
        <x:v>0.7122222222222222</x:v>
      </x:c>
      <x:c r="N96" s="99"/>
      <x:c r="O96" s="99" t="n">
        <x:v>0.401259</x:v>
      </x:c>
      <x:c r="P96" s="99" t="n">
        <x:v>0.039642666666666666</x:v>
      </x:c>
      <x:c r="Q96" s="99" t="n">
        <x:v>0.10511222222222222</x:v>
      </x:c>
      <x:c r="R96" s="99" t="n">
        <x:v>0.03172677777777778</x:v>
      </x:c>
      <x:c r="S96" s="45"/>
      <x:c r="T96" s="45"/>
      <x:c r="U96" s="51" t="d">
        <x:v>2026-09-30T00:00:00.000Z</x:v>
      </x:c>
      <x:c r="V96" s="51" t="d">
        <x:v>2026-09-30T00:00:00.000Z</x:v>
      </x:c>
      <x:c r="W96" s="109" t="n">
        <x:v>9</x:v>
      </x:c>
      <x:c r="X96" s="109" t="n">
        <x:v>9</x:v>
      </x:c>
      <x:c r="Y96" s="45" t="str">
        <x:v>sbx-mex/Perfil_Tienda_DM</x:v>
      </x:c>
      <x:c r="Z96" s="45" t="str">
        <x:v>2a6b0d21379739482f0b4c7be9b0f9a022e15f5b</x:v>
      </x:c>
      <x:c r="AA96" s="45" t="str">
        <x:v>8456a41c5e02d454e70a2531577ffb2e29f73e57e44a7762de681d568aa4227a</x:v>
      </x:c>
    </x:row>
    <x:row r="97" ht="23" customHeight="1">
      <x:c r="A97" s="50" t="str">
        <x:v>38447</x:v>
      </x:c>
      <x:c r="B97" s="51" t="d">
        <x:v>2026-09-30T00:00:00.000Z</x:v>
      </x:c>
      <x:c r="C97" s="99" t="n">
        <x:v>0.4375</x:v>
      </x:c>
      <x:c r="D97" s="100" t="n">
        <x:v>7.452512111111111</x:v>
      </x:c>
      <x:c r="E97" s="100" t="n">
        <x:v>16.095837444444445</x:v>
      </x:c>
      <x:c r="F97" s="99" t="n">
        <x:v>0.13584755555555555</x:v>
      </x:c>
      <x:c r="G97" s="99" t="n">
        <x:v>0.010296333333333331</x:v>
      </x:c>
      <x:c r="H97" s="101" t="n">
        <x:v>18012176</x:v>
      </x:c>
      <x:c r="I97" s="99" t="n">
        <x:v>-0.2289024441413614</x:v>
      </x:c>
      <x:c r="J97" s="100" t="n">
        <x:v>-64.55555555555556</x:v>
      </x:c>
      <x:c r="K97" s="100"/>
      <x:c r="L97" s="99" t="n">
        <x:v>0.4206666666666667</x:v>
      </x:c>
      <x:c r="M97" s="99" t="n">
        <x:v>0.58</x:v>
      </x:c>
      <x:c r="N97" s="99"/>
      <x:c r="O97" s="99" t="n">
        <x:v>0.3708888888888889</x:v>
      </x:c>
      <x:c r="P97" s="99" t="n">
        <x:v>0.008753999999999996</x:v>
      </x:c>
      <x:c r="Q97" s="99" t="n">
        <x:v>0.19091644444444444</x:v>
      </x:c>
      <x:c r="R97" s="99" t="n">
        <x:v>-0.04353033333333334</x:v>
      </x:c>
      <x:c r="S97" s="45"/>
      <x:c r="T97" s="45"/>
      <x:c r="U97" s="51" t="d">
        <x:v>2026-09-30T00:00:00.000Z</x:v>
      </x:c>
      <x:c r="V97" s="51" t="d">
        <x:v>2026-09-30T00:00:00.000Z</x:v>
      </x:c>
      <x:c r="W97" s="109" t="n">
        <x:v>9</x:v>
      </x:c>
      <x:c r="X97" s="109" t="n">
        <x:v>9</x:v>
      </x:c>
      <x:c r="Y97" s="45" t="str">
        <x:v>sbx-mex/Perfil_Tienda_DM</x:v>
      </x:c>
      <x:c r="Z97" s="45" t="str">
        <x:v>2a6b0d21379739482f0b4c7be9b0f9a022e15f5b</x:v>
      </x:c>
      <x:c r="AA97" s="45" t="str">
        <x:v>8456a41c5e02d454e70a2531577ffb2e29f73e57e44a7762de681d568aa4227a</x:v>
      </x:c>
    </x:row>
    <x:row r="98" ht="23" customHeight="1">
      <x:c r="A98" s="50" t="str">
        <x:v>38544</x:v>
      </x:c>
      <x:c r="B98" s="51" t="d">
        <x:v>2026-09-30T00:00:00.000Z</x:v>
      </x:c>
      <x:c r="C98" s="99" t="n">
        <x:v>0.296296</x:v>
      </x:c>
      <x:c r="D98" s="100" t="n">
        <x:v>5.619381111111111</x:v>
      </x:c>
      <x:c r="E98" s="100" t="n">
        <x:v>14.26001922222222</x:v>
      </x:c>
      <x:c r="F98" s="99" t="n">
        <x:v>0.1445471111111111</x:v>
      </x:c>
      <x:c r="G98" s="99" t="n">
        <x:v>-0.056729888888888885</x:v>
      </x:c>
      <x:c r="H98" s="101" t="n">
        <x:v>14967914</x:v>
      </x:c>
      <x:c r="I98" s="99" t="n">
        <x:v>0.09945371945681303</x:v>
      </x:c>
      <x:c r="J98" s="100" t="n">
        <x:v>-9.777777777777779</x:v>
      </x:c>
      <x:c r="K98" s="100"/>
      <x:c r="L98" s="99" t="n">
        <x:v>0.5171111111111111</x:v>
      </x:c>
      <x:c r="M98" s="99" t="n">
        <x:v>0.61</x:v>
      </x:c>
      <x:c r="N98" s="99"/>
      <x:c r="O98" s="99" t="n">
        <x:v>0.3973548888888889</x:v>
      </x:c>
      <x:c r="P98" s="99" t="n">
        <x:v>0.04546422222222221</x:v>
      </x:c>
      <x:c r="Q98" s="99" t="n">
        <x:v>0.147199</x:v>
      </x:c>
      <x:c r="R98" s="99" t="n">
        <x:v>0.08254233333333333</x:v>
      </x:c>
      <x:c r="S98" s="45"/>
      <x:c r="T98" s="45"/>
      <x:c r="U98" s="51" t="d">
        <x:v>2026-09-30T00:00:00.000Z</x:v>
      </x:c>
      <x:c r="V98" s="51" t="d">
        <x:v>2026-09-30T00:00:00.000Z</x:v>
      </x:c>
      <x:c r="W98" s="109" t="n">
        <x:v>9</x:v>
      </x:c>
      <x:c r="X98" s="109" t="n">
        <x:v>9</x:v>
      </x:c>
      <x:c r="Y98" s="45" t="str">
        <x:v>sbx-mex/Perfil_Tienda_DM</x:v>
      </x:c>
      <x:c r="Z98" s="45" t="str">
        <x:v>2a6b0d21379739482f0b4c7be9b0f9a022e15f5b</x:v>
      </x:c>
      <x:c r="AA98" s="45" t="str">
        <x:v>8456a41c5e02d454e70a2531577ffb2e29f73e57e44a7762de681d568aa4227a</x:v>
      </x:c>
    </x:row>
    <x:row r="99" ht="23" customHeight="1">
      <x:c r="A99" s="50" t="str">
        <x:v>38571</x:v>
      </x:c>
      <x:c r="B99" s="51" t="d">
        <x:v>2026-09-30T00:00:00.000Z</x:v>
      </x:c>
      <x:c r="C99" s="99" t="n">
        <x:v>0.885246</x:v>
      </x:c>
      <x:c r="D99" s="100" t="n">
        <x:v>7.070370777777778</x:v>
      </x:c>
      <x:c r="E99" s="100" t="n">
        <x:v>15.359420222222221</x:v>
      </x:c>
      <x:c r="F99" s="99" t="n">
        <x:v>0.1695161111111111</x:v>
      </x:c>
      <x:c r="G99" s="99" t="n">
        <x:v>0.009672555555555554</x:v>
      </x:c>
      <x:c r="H99" s="101" t="n">
        <x:v>9766132</x:v>
      </x:c>
      <x:c r="I99" s="99" t="n">
        <x:v>-0.14280504252907933</x:v>
      </x:c>
      <x:c r="J99" s="100" t="n">
        <x:v>-22.666666666666668</x:v>
      </x:c>
      <x:c r="K99" s="100"/>
      <x:c r="L99" s="99" t="n">
        <x:v>0.4917777777777778</x:v>
      </x:c>
      <x:c r="M99" s="99" t="n">
        <x:v>0.6322222222222221</x:v>
      </x:c>
      <x:c r="N99" s="99"/>
      <x:c r="O99" s="99" t="n">
        <x:v>0.3814657777777778</x:v>
      </x:c>
      <x:c r="P99" s="99" t="n">
        <x:v>0.04942944444444444</x:v>
      </x:c>
      <x:c r="Q99" s="99" t="n">
        <x:v>0.108025</x:v>
      </x:c>
      <x:c r="R99" s="99" t="n">
        <x:v>-0.07440522222222222</x:v>
      </x:c>
      <x:c r="S99" s="45"/>
      <x:c r="T99" s="45"/>
      <x:c r="U99" s="51" t="d">
        <x:v>2026-09-30T00:00:00.000Z</x:v>
      </x:c>
      <x:c r="V99" s="51" t="d">
        <x:v>2026-09-30T00:00:00.000Z</x:v>
      </x:c>
      <x:c r="W99" s="109" t="n">
        <x:v>9</x:v>
      </x:c>
      <x:c r="X99" s="109" t="n">
        <x:v>9</x:v>
      </x:c>
      <x:c r="Y99" s="45" t="str">
        <x:v>sbx-mex/Perfil_Tienda_DM</x:v>
      </x:c>
      <x:c r="Z99" s="45" t="str">
        <x:v>2a6b0d21379739482f0b4c7be9b0f9a022e15f5b</x:v>
      </x:c>
      <x:c r="AA99" s="45" t="str">
        <x:v>8456a41c5e02d454e70a2531577ffb2e29f73e57e44a7762de681d568aa4227a</x:v>
      </x:c>
    </x:row>
    <x:row r="100" ht="23" customHeight="1">
      <x:c r="A100" s="50" t="str">
        <x:v>38580</x:v>
      </x:c>
      <x:c r="B100" s="51" t="d">
        <x:v>2026-09-30T00:00:00.000Z</x:v>
      </x:c>
      <x:c r="C100" s="99" t="n">
        <x:v>0.309677</x:v>
      </x:c>
      <x:c r="D100" s="100" t="n">
        <x:v>6.302374222222222</x:v>
      </x:c>
      <x:c r="E100" s="100" t="n">
        <x:v>13.924485111111112</x:v>
      </x:c>
      <x:c r="F100" s="99" t="n">
        <x:v>0.16641455555555554</x:v>
      </x:c>
      <x:c r="G100" s="99" t="n">
        <x:v>-0.021858999999999993</x:v>
      </x:c>
      <x:c r="H100" s="101" t="n">
        <x:v>11826361</x:v>
      </x:c>
      <x:c r="I100" s="99" t="n">
        <x:v>-0.07312186301376877</x:v>
      </x:c>
      <x:c r="J100" s="100" t="n">
        <x:v>-23.11111111111111</x:v>
      </x:c>
      <x:c r="K100" s="100"/>
      <x:c r="L100" s="99" t="n">
        <x:v>0.5182222222222221</x:v>
      </x:c>
      <x:c r="M100" s="99" t="n">
        <x:v>0.5988888888888888</x:v>
      </x:c>
      <x:c r="N100" s="99"/>
      <x:c r="O100" s="99" t="n">
        <x:v>0.37798566666666666</x:v>
      </x:c>
      <x:c r="P100" s="99" t="n">
        <x:v>0.039827</x:v>
      </x:c>
      <x:c r="Q100" s="99" t="n">
        <x:v>0.16300344444444445</x:v>
      </x:c>
      <x:c r="R100" s="99" t="n">
        <x:v>-0.023471777777777775</x:v>
      </x:c>
      <x:c r="S100" s="45"/>
      <x:c r="T100" s="45"/>
      <x:c r="U100" s="51" t="d">
        <x:v>2026-09-30T00:00:00.000Z</x:v>
      </x:c>
      <x:c r="V100" s="51" t="d">
        <x:v>2026-09-30T00:00:00.000Z</x:v>
      </x:c>
      <x:c r="W100" s="109" t="n">
        <x:v>9</x:v>
      </x:c>
      <x:c r="X100" s="109" t="n">
        <x:v>9</x:v>
      </x:c>
      <x:c r="Y100" s="45" t="str">
        <x:v>sbx-mex/Perfil_Tienda_DM</x:v>
      </x:c>
      <x:c r="Z100" s="45" t="str">
        <x:v>2a6b0d21379739482f0b4c7be9b0f9a022e15f5b</x:v>
      </x:c>
      <x:c r="AA100" s="45" t="str">
        <x:v>8456a41c5e02d454e70a2531577ffb2e29f73e57e44a7762de681d568aa4227a</x:v>
      </x:c>
    </x:row>
    <x:row r="101" ht="23" customHeight="1">
      <x:c r="A101" s="50" t="str">
        <x:v>38615</x:v>
      </x:c>
      <x:c r="B101" s="51" t="d">
        <x:v>2026-09-30T00:00:00.000Z</x:v>
      </x:c>
      <x:c r="C101" s="99" t="n">
        <x:v>0.071856</x:v>
      </x:c>
      <x:c r="D101" s="100" t="n">
        <x:v>6.258708111111111</x:v>
      </x:c>
      <x:c r="E101" s="100" t="n">
        <x:v>14.236605555555554</x:v>
      </x:c>
      <x:c r="F101" s="99" t="n">
        <x:v>0.15706922222222222</x:v>
      </x:c>
      <x:c r="G101" s="99" t="n">
        <x:v>0.011457222222222223</x:v>
      </x:c>
      <x:c r="H101" s="101" t="n">
        <x:v>13597403</x:v>
      </x:c>
      <x:c r="I101" s="99" t="n">
        <x:v>-0.012916271649177191</x:v>
      </x:c>
      <x:c r="J101" s="100" t="n">
        <x:v>-6.666666666666667</x:v>
      </x:c>
      <x:c r="K101" s="100"/>
      <x:c r="L101" s="99" t="n">
        <x:v>0.5249999999999999</x:v>
      </x:c>
      <x:c r="M101" s="99" t="n">
        <x:v>0.5966666666666667</x:v>
      </x:c>
      <x:c r="N101" s="99"/>
      <x:c r="O101" s="99" t="n">
        <x:v>0.3842207777777778</x:v>
      </x:c>
      <x:c r="P101" s="99" t="n">
        <x:v>0.03005533333333333</x:v>
      </x:c>
      <x:c r="Q101" s="99" t="n">
        <x:v>0.2040952222222222</x:v>
      </x:c>
      <x:c r="R101" s="99" t="n">
        <x:v>-0.03234511111111111</x:v>
      </x:c>
      <x:c r="S101" s="45"/>
      <x:c r="T101" s="45"/>
      <x:c r="U101" s="51" t="d">
        <x:v>2026-09-30T00:00:00.000Z</x:v>
      </x:c>
      <x:c r="V101" s="51" t="d">
        <x:v>2026-09-30T00:00:00.000Z</x:v>
      </x:c>
      <x:c r="W101" s="109" t="n">
        <x:v>9</x:v>
      </x:c>
      <x:c r="X101" s="109" t="n">
        <x:v>9</x:v>
      </x:c>
      <x:c r="Y101" s="45" t="str">
        <x:v>sbx-mex/Perfil_Tienda_DM</x:v>
      </x:c>
      <x:c r="Z101" s="45" t="str">
        <x:v>2a6b0d21379739482f0b4c7be9b0f9a022e15f5b</x:v>
      </x:c>
      <x:c r="AA101" s="45" t="str">
        <x:v>8456a41c5e02d454e70a2531577ffb2e29f73e57e44a7762de681d568aa4227a</x:v>
      </x:c>
    </x:row>
    <x:row r="102" ht="23" customHeight="1">
      <x:c r="A102" s="50" t="str">
        <x:v>38691</x:v>
      </x:c>
      <x:c r="B102" s="51" t="d">
        <x:v>2026-09-30T00:00:00.000Z</x:v>
      </x:c>
      <x:c r="C102" s="99" t="n">
        <x:v>0.295082</x:v>
      </x:c>
      <x:c r="D102" s="100" t="n">
        <x:v>6.240037</x:v>
      </x:c>
      <x:c r="E102" s="100" t="n">
        <x:v>13.235968999999999</x:v>
      </x:c>
      <x:c r="F102" s="99" t="n">
        <x:v>0.20651677777777777</x:v>
      </x:c>
      <x:c r="G102" s="99" t="n">
        <x:v>0.006753666666666676</x:v>
      </x:c>
      <x:c r="H102" s="101" t="n">
        <x:v>7867535</x:v>
      </x:c>
      <x:c r="I102" s="99" t="n">
        <x:v>-0.13688788808384034</x:v>
      </x:c>
      <x:c r="J102" s="100" t="n">
        <x:v>-1.5555555555555556</x:v>
      </x:c>
      <x:c r="K102" s="100"/>
      <x:c r="L102" s="99" t="n">
        <x:v>0.596</x:v>
      </x:c>
      <x:c r="M102" s="99" t="n">
        <x:v>0.6711111111111111</x:v>
      </x:c>
      <x:c r="N102" s="99"/>
      <x:c r="O102" s="99" t="n">
        <x:v>0.4145588888888889</x:v>
      </x:c>
      <x:c r="P102" s="99" t="n">
        <x:v>0.039553333333333336</x:v>
      </x:c>
      <x:c r="Q102" s="99" t="n">
        <x:v>0.08587088888888889</x:v>
      </x:c>
      <x:c r="R102" s="99" t="n">
        <x:v>-0.04386022222222222</x:v>
      </x:c>
      <x:c r="S102" s="45"/>
      <x:c r="T102" s="45"/>
      <x:c r="U102" s="51" t="d">
        <x:v>2026-09-30T00:00:00.000Z</x:v>
      </x:c>
      <x:c r="V102" s="51" t="d">
        <x:v>2026-09-30T00:00:00.000Z</x:v>
      </x:c>
      <x:c r="W102" s="109" t="n">
        <x:v>9</x:v>
      </x:c>
      <x:c r="X102" s="109" t="n">
        <x:v>9</x:v>
      </x:c>
      <x:c r="Y102" s="45" t="str">
        <x:v>sbx-mex/Perfil_Tienda_DM</x:v>
      </x:c>
      <x:c r="Z102" s="45" t="str">
        <x:v>2a6b0d21379739482f0b4c7be9b0f9a022e15f5b</x:v>
      </x:c>
      <x:c r="AA102" s="45" t="str">
        <x:v>8456a41c5e02d454e70a2531577ffb2e29f73e57e44a7762de681d568aa4227a</x:v>
      </x:c>
    </x:row>
    <x:row r="103" ht="23" customHeight="1">
      <x:c r="A103" s="50" t="str">
        <x:v>43159</x:v>
      </x:c>
      <x:c r="B103" s="51" t="d">
        <x:v>2026-09-30T00:00:00.000Z</x:v>
      </x:c>
      <x:c r="C103" s="99" t="n">
        <x:v>0</x:v>
      </x:c>
      <x:c r="D103" s="100" t="n">
        <x:v>4.824152571428571</x:v>
      </x:c>
      <x:c r="E103" s="100" t="n">
        <x:v>10.370156714285715</x:v>
      </x:c>
      <x:c r="F103" s="99" t="n">
        <x:v>0.207300125</x:v>
      </x:c>
      <x:c r="G103" s="99" t="n">
        <x:v>-0.03346400000000001</x:v>
      </x:c>
      <x:c r="H103" s="101" t="n">
        <x:v>4866101</x:v>
      </x:c>
      <x:c r="I103" s="99" t="n">
        <x:v>-0.2774378723470342</x:v>
      </x:c>
      <x:c r="J103" s="100"/>
      <x:c r="K103" s="100"/>
      <x:c r="L103" s="99" t="n">
        <x:v>0.6504285714285715</x:v>
      </x:c>
      <x:c r="M103" s="99" t="n">
        <x:v>0.7428571428571429</x:v>
      </x:c>
      <x:c r="N103" s="99"/>
      <x:c r="O103" s="99" t="n">
        <x:v>0.286409</x:v>
      </x:c>
      <x:c r="P103" s="99" t="n">
        <x:v>-0.0455175</x:v>
      </x:c>
      <x:c r="Q103" s="99" t="n">
        <x:v>-0.0034398749999999968</x:v>
      </x:c>
      <x:c r="R103" s="99" t="n">
        <x:v>-0.020726749999999995</x:v>
      </x:c>
      <x:c r="S103" s="45"/>
      <x:c r="T103" s="45"/>
      <x:c r="U103" s="51" t="d">
        <x:v>2026-09-30T00:00:00.000Z</x:v>
      </x:c>
      <x:c r="V103" s="51" t="d">
        <x:v>2026-09-30T00:00:00.000Z</x:v>
      </x:c>
      <x:c r="W103" s="109" t="n">
        <x:v>9</x:v>
      </x:c>
      <x:c r="X103" s="109" t="n">
        <x:v>9</x:v>
      </x:c>
      <x:c r="Y103" s="45" t="str">
        <x:v>sbx-mex/Perfil_Tienda_DM</x:v>
      </x:c>
      <x:c r="Z103" s="45" t="str">
        <x:v>2a6b0d21379739482f0b4c7be9b0f9a022e15f5b</x:v>
      </x:c>
      <x:c r="AA103" s="45" t="str">
        <x:v>8456a41c5e02d454e70a2531577ffb2e29f73e57e44a7762de681d568aa4227a</x:v>
      </x:c>
    </x:row>
    <x:row r="104" ht="23" customHeight="1">
      <x:c r="A104" s="50" t="str">
        <x:v>38114</x:v>
      </x:c>
      <x:c r="B104" s="51" t="d">
        <x:v>2026-09-30T00:00:00.000Z</x:v>
      </x:c>
      <x:c r="C104" s="99" t="n">
        <x:v>0.164384</x:v>
      </x:c>
      <x:c r="D104" s="100" t="n">
        <x:v>6.060266</x:v>
      </x:c>
      <x:c r="E104" s="100" t="n">
        <x:v>14.697309777777779</x:v>
      </x:c>
      <x:c r="F104" s="99" t="n">
        <x:v>0.15050811111111112</x:v>
      </x:c>
      <x:c r="G104" s="99" t="n">
        <x:v>-0.013775999999999998</x:v>
      </x:c>
      <x:c r="H104" s="101" t="n">
        <x:v>13152907</x:v>
      </x:c>
      <x:c r="I104" s="99" t="n">
        <x:v>-0.03533576933370797</x:v>
      </x:c>
      <x:c r="J104" s="100" t="n">
        <x:v>-21.11111111111111</x:v>
      </x:c>
      <x:c r="K104" s="100"/>
      <x:c r="L104" s="99" t="n">
        <x:v>0.5630000000000001</x:v>
      </x:c>
      <x:c r="M104" s="99" t="n">
        <x:v>0.6455555555555557</x:v>
      </x:c>
      <x:c r="N104" s="99"/>
      <x:c r="O104" s="99" t="n">
        <x:v>0.39811755555555556</x:v>
      </x:c>
      <x:c r="P104" s="99" t="n">
        <x:v>0.024631222222222218</x:v>
      </x:c>
      <x:c r="Q104" s="99" t="n">
        <x:v>0.178289</x:v>
      </x:c>
      <x:c r="R104" s="99" t="n">
        <x:v>0.0018055555555555542</x:v>
      </x:c>
      <x:c r="S104" s="45"/>
      <x:c r="T104" s="45"/>
      <x:c r="U104" s="51" t="d">
        <x:v>2026-09-30T00:00:00.000Z</x:v>
      </x:c>
      <x:c r="V104" s="51" t="d">
        <x:v>2026-09-30T00:00:00.000Z</x:v>
      </x:c>
      <x:c r="W104" s="109" t="n">
        <x:v>9</x:v>
      </x:c>
      <x:c r="X104" s="109" t="n">
        <x:v>9</x:v>
      </x:c>
      <x:c r="Y104" s="45" t="str">
        <x:v>sbx-mex/Perfil_Tienda_DM</x:v>
      </x:c>
      <x:c r="Z104" s="45" t="str">
        <x:v>2a6b0d21379739482f0b4c7be9b0f9a022e15f5b</x:v>
      </x:c>
      <x:c r="AA104" s="45" t="str">
        <x:v>8456a41c5e02d454e70a2531577ffb2e29f73e57e44a7762de681d568aa4227a</x:v>
      </x:c>
    </x:row>
    <x:row r="105" ht="23" customHeight="1">
      <x:c r="A105" s="50" t="str">
        <x:v>38360</x:v>
      </x:c>
      <x:c r="B105" s="51" t="d">
        <x:v>2026-09-30T00:00:00.000Z</x:v>
      </x:c>
      <x:c r="C105" s="99" t="n">
        <x:v>0.075</x:v>
      </x:c>
      <x:c r="D105" s="100" t="n">
        <x:v>6.460879333333334</x:v>
      </x:c>
      <x:c r="E105" s="100" t="n">
        <x:v>15.927702000000002</x:v>
      </x:c>
      <x:c r="F105" s="99" t="n">
        <x:v>0.1510932222222222</x:v>
      </x:c>
      <x:c r="G105" s="99" t="n">
        <x:v>-0.0026384444444444433</x:v>
      </x:c>
      <x:c r="H105" s="101" t="n">
        <x:v>14752919</x:v>
      </x:c>
      <x:c r="I105" s="99" t="n">
        <x:v>-0.007497292784820919</x:v>
      </x:c>
      <x:c r="J105" s="100" t="n">
        <x:v>-10.333333333333334</x:v>
      </x:c>
      <x:c r="K105" s="100"/>
      <x:c r="L105" s="99" t="n">
        <x:v>0.5515555555555556</x:v>
      </x:c>
      <x:c r="M105" s="99" t="n">
        <x:v>0.5933333333333333</x:v>
      </x:c>
      <x:c r="N105" s="99"/>
      <x:c r="O105" s="99" t="n">
        <x:v>0.3922148888888889</x:v>
      </x:c>
      <x:c r="P105" s="99" t="n">
        <x:v>0.017317333333333337</x:v>
      </x:c>
      <x:c r="Q105" s="99" t="n">
        <x:v>0.18502944444444444</x:v>
      </x:c>
      <x:c r="R105" s="99" t="n">
        <x:v>-0.022425444444444442</x:v>
      </x:c>
      <x:c r="S105" s="45"/>
      <x:c r="T105" s="45"/>
      <x:c r="U105" s="51" t="d">
        <x:v>2026-09-30T00:00:00.000Z</x:v>
      </x:c>
      <x:c r="V105" s="51" t="d">
        <x:v>2026-09-30T00:00:00.000Z</x:v>
      </x:c>
      <x:c r="W105" s="109" t="n">
        <x:v>9</x:v>
      </x:c>
      <x:c r="X105" s="109" t="n">
        <x:v>9</x:v>
      </x:c>
      <x:c r="Y105" s="45" t="str">
        <x:v>sbx-mex/Perfil_Tienda_DM</x:v>
      </x:c>
      <x:c r="Z105" s="45" t="str">
        <x:v>2a6b0d21379739482f0b4c7be9b0f9a022e15f5b</x:v>
      </x:c>
      <x:c r="AA105" s="45" t="str">
        <x:v>8456a41c5e02d454e70a2531577ffb2e29f73e57e44a7762de681d568aa4227a</x:v>
      </x:c>
    </x:row>
    <x:row r="106" ht="23" customHeight="1">
      <x:c r="A106" s="50" t="str">
        <x:v>38367</x:v>
      </x:c>
      <x:c r="B106" s="51" t="d">
        <x:v>2026-09-30T00:00:00.000Z</x:v>
      </x:c>
      <x:c r="C106" s="99" t="n">
        <x:v>0.088889</x:v>
      </x:c>
      <x:c r="D106" s="100" t="n">
        <x:v>5.5237081111111115</x:v>
      </x:c>
      <x:c r="E106" s="100" t="n">
        <x:v>12.741130777777776</x:v>
      </x:c>
      <x:c r="F106" s="99" t="n">
        <x:v>0.1790328888888889</x:v>
      </x:c>
      <x:c r="G106" s="99" t="n">
        <x:v>-0.005497888888888898</x:v>
      </x:c>
      <x:c r="H106" s="101" t="n">
        <x:v>10515182</x:v>
      </x:c>
      <x:c r="I106" s="99" t="n">
        <x:v>-0.1733408996292335</x:v>
      </x:c>
      <x:c r="J106" s="100" t="n">
        <x:v>-16.333333333333332</x:v>
      </x:c>
      <x:c r="K106" s="100"/>
      <x:c r="L106" s="99" t="n">
        <x:v>0.5664444444444444</x:v>
      </x:c>
      <x:c r="M106" s="99" t="n">
        <x:v>0.6344444444444445</x:v>
      </x:c>
      <x:c r="N106" s="99"/>
      <x:c r="O106" s="99" t="n">
        <x:v>0.3944698888888889</x:v>
      </x:c>
      <x:c r="P106" s="99" t="n">
        <x:v>0.03775755555555556</x:v>
      </x:c>
      <x:c r="Q106" s="99" t="n">
        <x:v>0.07424744444444444</x:v>
      </x:c>
      <x:c r="R106" s="99" t="n">
        <x:v>-0.09788911111111112</x:v>
      </x:c>
      <x:c r="S106" s="45"/>
      <x:c r="T106" s="45"/>
      <x:c r="U106" s="51" t="d">
        <x:v>2026-09-30T00:00:00.000Z</x:v>
      </x:c>
      <x:c r="V106" s="51" t="d">
        <x:v>2026-09-30T00:00:00.000Z</x:v>
      </x:c>
      <x:c r="W106" s="109" t="n">
        <x:v>9</x:v>
      </x:c>
      <x:c r="X106" s="109" t="n">
        <x:v>9</x:v>
      </x:c>
      <x:c r="Y106" s="45" t="str">
        <x:v>sbx-mex/Perfil_Tienda_DM</x:v>
      </x:c>
      <x:c r="Z106" s="45" t="str">
        <x:v>2a6b0d21379739482f0b4c7be9b0f9a022e15f5b</x:v>
      </x:c>
      <x:c r="AA106" s="45" t="str">
        <x:v>8456a41c5e02d454e70a2531577ffb2e29f73e57e44a7762de681d568aa4227a</x:v>
      </x:c>
    </x:row>
    <x:row r="107" ht="23" customHeight="1">
      <x:c r="A107" s="50" t="str">
        <x:v>38379</x:v>
      </x:c>
      <x:c r="B107" s="51" t="d">
        <x:v>2026-09-30T00:00:00.000Z</x:v>
      </x:c>
      <x:c r="C107" s="99" t="n">
        <x:v>0.682927</x:v>
      </x:c>
      <x:c r="D107" s="100" t="n">
        <x:v>7.536597666666667</x:v>
      </x:c>
      <x:c r="E107" s="100" t="n">
        <x:v>16.031952</x:v>
      </x:c>
      <x:c r="F107" s="99" t="n">
        <x:v>0.13341822222222222</x:v>
      </x:c>
      <x:c r="G107" s="99" t="n">
        <x:v>-0.0010245555555555578</x:v>
      </x:c>
      <x:c r="H107" s="101" t="n">
        <x:v>23033038</x:v>
      </x:c>
      <x:c r="I107" s="99" t="n">
        <x:v>0.07178678242008107</x:v>
      </x:c>
      <x:c r="J107" s="100" t="n">
        <x:v>71.11111111111111</x:v>
      </x:c>
      <x:c r="K107" s="100"/>
      <x:c r="L107" s="99" t="n">
        <x:v>0.41133333333333333</x:v>
      </x:c>
      <x:c r="M107" s="99" t="n">
        <x:v>0.5677777777777778</x:v>
      </x:c>
      <x:c r="N107" s="99"/>
      <x:c r="O107" s="99" t="n">
        <x:v>0.35932533333333333</x:v>
      </x:c>
      <x:c r="P107" s="99" t="n">
        <x:v>0.021486999999999992</x:v>
      </x:c>
      <x:c r="Q107" s="99" t="n">
        <x:v>0.26457966666666666</x:v>
      </x:c>
      <x:c r="R107" s="99" t="n">
        <x:v>-0.02299433333333333</x:v>
      </x:c>
      <x:c r="S107" s="45"/>
      <x:c r="T107" s="45"/>
      <x:c r="U107" s="51" t="d">
        <x:v>2026-09-30T00:00:00.000Z</x:v>
      </x:c>
      <x:c r="V107" s="51" t="d">
        <x:v>2026-09-30T00:00:00.000Z</x:v>
      </x:c>
      <x:c r="W107" s="109" t="n">
        <x:v>9</x:v>
      </x:c>
      <x:c r="X107" s="109" t="n">
        <x:v>9</x:v>
      </x:c>
      <x:c r="Y107" s="45" t="str">
        <x:v>sbx-mex/Perfil_Tienda_DM</x:v>
      </x:c>
      <x:c r="Z107" s="45" t="str">
        <x:v>2a6b0d21379739482f0b4c7be9b0f9a022e15f5b</x:v>
      </x:c>
      <x:c r="AA107" s="45" t="str">
        <x:v>8456a41c5e02d454e70a2531577ffb2e29f73e57e44a7762de681d568aa4227a</x:v>
      </x:c>
    </x:row>
    <x:row r="108" ht="23" customHeight="1">
      <x:c r="A108" s="50" t="str">
        <x:v>38393</x:v>
      </x:c>
      <x:c r="B108" s="51" t="d">
        <x:v>2026-09-30T00:00:00.000Z</x:v>
      </x:c>
      <x:c r="C108" s="99" t="n">
        <x:v>0.458599</x:v>
      </x:c>
      <x:c r="D108" s="100" t="n">
        <x:v>6.268465444444445</x:v>
      </x:c>
      <x:c r="E108" s="100" t="n">
        <x:v>14.916084111111111</x:v>
      </x:c>
      <x:c r="F108" s="99" t="n">
        <x:v>0.16095833333333334</x:v>
      </x:c>
      <x:c r="G108" s="99" t="n">
        <x:v>-0.00002288888888888711</x:v>
      </x:c>
      <x:c r="H108" s="101" t="n">
        <x:v>12876345</x:v>
      </x:c>
      <x:c r="I108" s="99" t="n">
        <x:v>-0.03230206329369001</x:v>
      </x:c>
      <x:c r="J108" s="100" t="n">
        <x:v>-13.555555555555555</x:v>
      </x:c>
      <x:c r="K108" s="100"/>
      <x:c r="L108" s="99" t="n">
        <x:v>0.48355555555555557</x:v>
      </x:c>
      <x:c r="M108" s="99" t="n">
        <x:v>0.6211111111111111</x:v>
      </x:c>
      <x:c r="N108" s="99"/>
      <x:c r="O108" s="99" t="n">
        <x:v>0.399535</x:v>
      </x:c>
      <x:c r="P108" s="99" t="n">
        <x:v>0.051365000000000015</x:v>
      </x:c>
      <x:c r="Q108" s="99" t="n">
        <x:v>0.21360055555555554</x:v>
      </x:c>
      <x:c r="R108" s="99" t="n">
        <x:v>-0.055787</x:v>
      </x:c>
      <x:c r="S108" s="45"/>
      <x:c r="T108" s="45"/>
      <x:c r="U108" s="51" t="d">
        <x:v>2026-09-30T00:00:00.000Z</x:v>
      </x:c>
      <x:c r="V108" s="51" t="d">
        <x:v>2026-09-30T00:00:00.000Z</x:v>
      </x:c>
      <x:c r="W108" s="109" t="n">
        <x:v>9</x:v>
      </x:c>
      <x:c r="X108" s="109" t="n">
        <x:v>9</x:v>
      </x:c>
      <x:c r="Y108" s="45" t="str">
        <x:v>sbx-mex/Perfil_Tienda_DM</x:v>
      </x:c>
      <x:c r="Z108" s="45" t="str">
        <x:v>2a6b0d21379739482f0b4c7be9b0f9a022e15f5b</x:v>
      </x:c>
      <x:c r="AA108" s="45" t="str">
        <x:v>8456a41c5e02d454e70a2531577ffb2e29f73e57e44a7762de681d568aa4227a</x:v>
      </x:c>
    </x:row>
    <x:row r="109" ht="23" customHeight="1">
      <x:c r="A109" s="50" t="str">
        <x:v>38469</x:v>
      </x:c>
      <x:c r="B109" s="51" t="d">
        <x:v>2026-09-30T00:00:00.000Z</x:v>
      </x:c>
      <x:c r="C109" s="99" t="n">
        <x:v>0.246154</x:v>
      </x:c>
      <x:c r="D109" s="100" t="n">
        <x:v>6.428444333333333</x:v>
      </x:c>
      <x:c r="E109" s="100" t="n">
        <x:v>14.734481222222222</x:v>
      </x:c>
      <x:c r="F109" s="99" t="n">
        <x:v>0.14569944444444444</x:v>
      </x:c>
      <x:c r="G109" s="99" t="n">
        <x:v>-0.006263555555555556</x:v>
      </x:c>
      <x:c r="H109" s="101" t="n">
        <x:v>17340683</x:v>
      </x:c>
      <x:c r="I109" s="99" t="n">
        <x:v>-0.07443944190245422</x:v>
      </x:c>
      <x:c r="J109" s="100" t="n">
        <x:v>-28.666666666666668</x:v>
      </x:c>
      <x:c r="K109" s="100"/>
      <x:c r="L109" s="99" t="n">
        <x:v>0.49011111111111105</x:v>
      </x:c>
      <x:c r="M109" s="99" t="n">
        <x:v>0.6355555555555555</x:v>
      </x:c>
      <x:c r="N109" s="99"/>
      <x:c r="O109" s="99" t="n">
        <x:v>0.3589351111111111</x:v>
      </x:c>
      <x:c r="P109" s="99" t="n">
        <x:v>0.04464255555555555</x:v>
      </x:c>
      <x:c r="Q109" s="99" t="n">
        <x:v>0.24961877777777777</x:v>
      </x:c>
      <x:c r="R109" s="99" t="n">
        <x:v>-0.04154733333333334</x:v>
      </x:c>
      <x:c r="S109" s="45"/>
      <x:c r="T109" s="45"/>
      <x:c r="U109" s="51" t="d">
        <x:v>2026-09-30T00:00:00.000Z</x:v>
      </x:c>
      <x:c r="V109" s="51" t="d">
        <x:v>2026-09-30T00:00:00.000Z</x:v>
      </x:c>
      <x:c r="W109" s="109" t="n">
        <x:v>9</x:v>
      </x:c>
      <x:c r="X109" s="109" t="n">
        <x:v>9</x:v>
      </x:c>
      <x:c r="Y109" s="45" t="str">
        <x:v>sbx-mex/Perfil_Tienda_DM</x:v>
      </x:c>
      <x:c r="Z109" s="45" t="str">
        <x:v>2a6b0d21379739482f0b4c7be9b0f9a022e15f5b</x:v>
      </x:c>
      <x:c r="AA109" s="45" t="str">
        <x:v>8456a41c5e02d454e70a2531577ffb2e29f73e57e44a7762de681d568aa4227a</x:v>
      </x:c>
    </x:row>
    <x:row r="110" ht="23" customHeight="1">
      <x:c r="A110" s="50" t="str">
        <x:v>38471</x:v>
      </x:c>
      <x:c r="B110" s="51" t="d">
        <x:v>2026-09-30T00:00:00.000Z</x:v>
      </x:c>
      <x:c r="C110" s="99" t="n">
        <x:v>0.41958</x:v>
      </x:c>
      <x:c r="D110" s="100" t="n">
        <x:v>6.845604666666667</x:v>
      </x:c>
      <x:c r="E110" s="100" t="n">
        <x:v>15.160087</x:v>
      </x:c>
      <x:c r="F110" s="99" t="n">
        <x:v>0.15880544444444444</x:v>
      </x:c>
      <x:c r="G110" s="99" t="n">
        <x:v>0.00542611111111111</x:v>
      </x:c>
      <x:c r="H110" s="101" t="n">
        <x:v>12637851</x:v>
      </x:c>
      <x:c r="I110" s="99" t="n">
        <x:v>-0.021896908429118733</x:v>
      </x:c>
      <x:c r="J110" s="100" t="n">
        <x:v>-7.111111111111111</x:v>
      </x:c>
      <x:c r="K110" s="100"/>
      <x:c r="L110" s="99" t="n">
        <x:v>0.5597777777777778</x:v>
      </x:c>
      <x:c r="M110" s="99" t="n">
        <x:v>0.6733333333333333</x:v>
      </x:c>
      <x:c r="N110" s="99"/>
      <x:c r="O110" s="99" t="n">
        <x:v>0.37365699999999996</x:v>
      </x:c>
      <x:c r="P110" s="99" t="n">
        <x:v>-0.014798222222222225</x:v>
      </x:c>
      <x:c r="Q110" s="99" t="n">
        <x:v>0.157834</x:v>
      </x:c>
      <x:c r="R110" s="99" t="n">
        <x:v>0.030227888888888894</x:v>
      </x:c>
      <x:c r="S110" s="45"/>
      <x:c r="T110" s="45"/>
      <x:c r="U110" s="51" t="d">
        <x:v>2026-09-30T00:00:00.000Z</x:v>
      </x:c>
      <x:c r="V110" s="51" t="d">
        <x:v>2026-09-30T00:00:00.000Z</x:v>
      </x:c>
      <x:c r="W110" s="109" t="n">
        <x:v>9</x:v>
      </x:c>
      <x:c r="X110" s="109" t="n">
        <x:v>9</x:v>
      </x:c>
      <x:c r="Y110" s="45" t="str">
        <x:v>sbx-mex/Perfil_Tienda_DM</x:v>
      </x:c>
      <x:c r="Z110" s="45" t="str">
        <x:v>2a6b0d21379739482f0b4c7be9b0f9a022e15f5b</x:v>
      </x:c>
      <x:c r="AA110" s="45" t="str">
        <x:v>8456a41c5e02d454e70a2531577ffb2e29f73e57e44a7762de681d568aa4227a</x:v>
      </x:c>
    </x:row>
    <x:row r="111" ht="23" customHeight="1">
      <x:c r="A111" s="50" t="str">
        <x:v>38472</x:v>
      </x:c>
      <x:c r="B111" s="51" t="d">
        <x:v>2026-09-30T00:00:00.000Z</x:v>
      </x:c>
      <x:c r="C111" s="99" t="n">
        <x:v>0.135849</x:v>
      </x:c>
      <x:c r="D111" s="100" t="n">
        <x:v>6.860152555555555</x:v>
      </x:c>
      <x:c r="E111" s="100" t="n">
        <x:v>16.538851666666666</x:v>
      </x:c>
      <x:c r="F111" s="99" t="n">
        <x:v>0.1346352222222222</x:v>
      </x:c>
      <x:c r="G111" s="99" t="n">
        <x:v>0.008410777777777777</x:v>
      </x:c>
      <x:c r="H111" s="101" t="n">
        <x:v>26045514</x:v>
      </x:c>
      <x:c r="I111" s="99" t="n">
        <x:v>-0.01907561985123607</x:v>
      </x:c>
      <x:c r="J111" s="100" t="n">
        <x:v>-4.222222222222222</x:v>
      </x:c>
      <x:c r="K111" s="100"/>
      <x:c r="L111" s="99" t="n">
        <x:v>0.5172222222222222</x:v>
      </x:c>
      <x:c r="M111" s="99" t="n">
        <x:v>0.63</x:v>
      </x:c>
      <x:c r="N111" s="99"/>
      <x:c r="O111" s="99" t="n">
        <x:v>0.370049</x:v>
      </x:c>
      <x:c r="P111" s="99" t="n">
        <x:v>0.024477222222222223</x:v>
      </x:c>
      <x:c r="Q111" s="99" t="n">
        <x:v>0.27154255555555556</x:v>
      </x:c>
      <x:c r="R111" s="99" t="n">
        <x:v>-0.04108522222222222</x:v>
      </x:c>
      <x:c r="S111" s="45" t="str">
        <x:v>01:32</x:v>
      </x:c>
      <x:c r="T111" s="45" t="str">
        <x:v>01:29</x:v>
      </x:c>
      <x:c r="U111" s="51" t="d">
        <x:v>2026-09-30T00:00:00.000Z</x:v>
      </x:c>
      <x:c r="V111" s="51" t="d">
        <x:v>2026-09-30T00:00:00.000Z</x:v>
      </x:c>
      <x:c r="W111" s="109" t="n">
        <x:v>9</x:v>
      </x:c>
      <x:c r="X111" s="109" t="n">
        <x:v>9</x:v>
      </x:c>
      <x:c r="Y111" s="45" t="str">
        <x:v>sbx-mex/Perfil_Tienda_DM</x:v>
      </x:c>
      <x:c r="Z111" s="45" t="str">
        <x:v>2a6b0d21379739482f0b4c7be9b0f9a022e15f5b</x:v>
      </x:c>
      <x:c r="AA111" s="45" t="str">
        <x:v>8456a41c5e02d454e70a2531577ffb2e29f73e57e44a7762de681d568aa4227a</x:v>
      </x:c>
    </x:row>
    <x:row r="112" ht="23" customHeight="1">
      <x:c r="A112" s="50" t="str">
        <x:v>38494</x:v>
      </x:c>
      <x:c r="B112" s="51" t="d">
        <x:v>2026-09-30T00:00:00.000Z</x:v>
      </x:c>
      <x:c r="C112" s="99" t="n">
        <x:v>0.197802</x:v>
      </x:c>
      <x:c r="D112" s="100" t="n">
        <x:v>6.425826777777778</x:v>
      </x:c>
      <x:c r="E112" s="100" t="n">
        <x:v>15.799128666666668</x:v>
      </x:c>
      <x:c r="F112" s="99" t="n">
        <x:v>0.1471821111111111</x:v>
      </x:c>
      <x:c r="G112" s="99" t="n">
        <x:v>-0.06114833333333333</x:v>
      </x:c>
      <x:c r="H112" s="101" t="n">
        <x:v>15154676</x:v>
      </x:c>
      <x:c r="I112" s="99" t="n">
        <x:v>0.13147340056424484</x:v>
      </x:c>
      <x:c r="J112" s="100" t="n">
        <x:v>4.777777777777778</x:v>
      </x:c>
      <x:c r="K112" s="100"/>
      <x:c r="L112" s="99" t="n">
        <x:v>0.5348888888888889</x:v>
      </x:c>
      <x:c r="M112" s="99" t="n">
        <x:v>0.6522222222222223</x:v>
      </x:c>
      <x:c r="N112" s="99"/>
      <x:c r="O112" s="99" t="n">
        <x:v>0.3957571111111111</x:v>
      </x:c>
      <x:c r="P112" s="99" t="n">
        <x:v>0.020365555555555543</x:v>
      </x:c>
      <x:c r="Q112" s="99" t="n">
        <x:v>0.18811711111111112</x:v>
      </x:c>
      <x:c r="R112" s="99" t="n">
        <x:v>0.09919499999999999</x:v>
      </x:c>
      <x:c r="S112" s="45"/>
      <x:c r="T112" s="45"/>
      <x:c r="U112" s="51" t="d">
        <x:v>2026-09-30T00:00:00.000Z</x:v>
      </x:c>
      <x:c r="V112" s="51" t="d">
        <x:v>2026-09-30T00:00:00.000Z</x:v>
      </x:c>
      <x:c r="W112" s="109" t="n">
        <x:v>9</x:v>
      </x:c>
      <x:c r="X112" s="109" t="n">
        <x:v>9</x:v>
      </x:c>
      <x:c r="Y112" s="45" t="str">
        <x:v>sbx-mex/Perfil_Tienda_DM</x:v>
      </x:c>
      <x:c r="Z112" s="45" t="str">
        <x:v>2a6b0d21379739482f0b4c7be9b0f9a022e15f5b</x:v>
      </x:c>
      <x:c r="AA112" s="45" t="str">
        <x:v>8456a41c5e02d454e70a2531577ffb2e29f73e57e44a7762de681d568aa4227a</x:v>
      </x:c>
    </x:row>
    <x:row r="113" ht="23" customHeight="1">
      <x:c r="A113" s="50" t="str">
        <x:v>38637</x:v>
      </x:c>
      <x:c r="B113" s="51" t="d">
        <x:v>2026-09-30T00:00:00.000Z</x:v>
      </x:c>
      <x:c r="C113" s="99" t="n">
        <x:v>0.648649</x:v>
      </x:c>
      <x:c r="D113" s="100" t="n">
        <x:v>7.424349666666667</x:v>
      </x:c>
      <x:c r="E113" s="100" t="n">
        <x:v>16.361429666666666</x:v>
      </x:c>
      <x:c r="F113" s="99" t="n">
        <x:v>0.14985322222222222</x:v>
      </x:c>
      <x:c r="G113" s="99" t="n">
        <x:v>0.01821977777777778</x:v>
      </x:c>
      <x:c r="H113" s="101" t="n">
        <x:v>15297529</x:v>
      </x:c>
      <x:c r="I113" s="99" t="n">
        <x:v>-0.1263338389054729</x:v>
      </x:c>
      <x:c r="J113" s="100" t="n">
        <x:v>-43.888888888888886</x:v>
      </x:c>
      <x:c r="K113" s="100"/>
      <x:c r="L113" s="99" t="n">
        <x:v>0.5152222222222221</x:v>
      </x:c>
      <x:c r="M113" s="99" t="n">
        <x:v>0.6255555555555555</x:v>
      </x:c>
      <x:c r="N113" s="99"/>
      <x:c r="O113" s="99" t="n">
        <x:v>0.3844331111111111</x:v>
      </x:c>
      <x:c r="P113" s="99" t="n">
        <x:v>0.01939366666666666</x:v>
      </x:c>
      <x:c r="Q113" s="99" t="n">
        <x:v>0.20489988888888888</x:v>
      </x:c>
      <x:c r="R113" s="99" t="n">
        <x:v>-0.05952844444444443</x:v>
      </x:c>
      <x:c r="S113" s="45"/>
      <x:c r="T113" s="45"/>
      <x:c r="U113" s="51" t="d">
        <x:v>2026-09-30T00:00:00.000Z</x:v>
      </x:c>
      <x:c r="V113" s="51" t="d">
        <x:v>2026-09-30T00:00:00.000Z</x:v>
      </x:c>
      <x:c r="W113" s="109" t="n">
        <x:v>9</x:v>
      </x:c>
      <x:c r="X113" s="109" t="n">
        <x:v>9</x:v>
      </x:c>
      <x:c r="Y113" s="45" t="str">
        <x:v>sbx-mex/Perfil_Tienda_DM</x:v>
      </x:c>
      <x:c r="Z113" s="45" t="str">
        <x:v>2a6b0d21379739482f0b4c7be9b0f9a022e15f5b</x:v>
      </x:c>
      <x:c r="AA113" s="45" t="str">
        <x:v>8456a41c5e02d454e70a2531577ffb2e29f73e57e44a7762de681d568aa4227a</x:v>
      </x:c>
    </x:row>
    <x:row r="114" ht="23" customHeight="1">
      <x:c r="A114" s="50" t="str">
        <x:v>38817</x:v>
      </x:c>
      <x:c r="B114" s="51" t="d">
        <x:v>2026-09-30T00:00:00.000Z</x:v>
      </x:c>
      <x:c r="C114" s="99" t="n">
        <x:v>0.110092</x:v>
      </x:c>
      <x:c r="D114" s="100" t="n">
        <x:v>8.157781888888888</x:v>
      </x:c>
      <x:c r="E114" s="100" t="n">
        <x:v>13.635347888888889</x:v>
      </x:c>
      <x:c r="F114" s="99" t="n">
        <x:v>0.23022322222222222</x:v>
      </x:c>
      <x:c r="G114" s="99" t="n">
        <x:v>-0.06154322222222223</x:v>
      </x:c>
      <x:c r="H114" s="101" t="n">
        <x:v>7704779</x:v>
      </x:c>
      <x:c r="I114" s="99" t="n">
        <x:v>0.24209185352650264</x:v>
      </x:c>
      <x:c r="J114" s="100" t="n">
        <x:v>-1.1111111111111112</x:v>
      </x:c>
      <x:c r="K114" s="100"/>
      <x:c r="L114" s="99" t="n">
        <x:v>0.5954444444444444</x:v>
      </x:c>
      <x:c r="M114" s="99" t="n">
        <x:v>0.5777777777777778</x:v>
      </x:c>
      <x:c r="N114" s="99"/>
      <x:c r="O114" s="99" t="n">
        <x:v>0.34696666666666665</x:v>
      </x:c>
      <x:c r="P114" s="99" t="n">
        <x:v>-0.07892644444444444</x:v>
      </x:c>
      <x:c r="Q114" s="99" t="n">
        <x:v>0.13328155555555554</x:v>
      </x:c>
      <x:c r="R114" s="99" t="n">
        <x:v>0.15615122222222222</x:v>
      </x:c>
      <x:c r="S114" s="45"/>
      <x:c r="T114" s="45"/>
      <x:c r="U114" s="51" t="d">
        <x:v>2026-09-30T00:00:00.000Z</x:v>
      </x:c>
      <x:c r="V114" s="51" t="d">
        <x:v>2026-09-30T00:00:00.000Z</x:v>
      </x:c>
      <x:c r="W114" s="109" t="n">
        <x:v>9</x:v>
      </x:c>
      <x:c r="X114" s="109" t="n">
        <x:v>9</x:v>
      </x:c>
      <x:c r="Y114" s="45" t="str">
        <x:v>sbx-mex/Perfil_Tienda_DM</x:v>
      </x:c>
      <x:c r="Z114" s="45" t="str">
        <x:v>2a6b0d21379739482f0b4c7be9b0f9a022e15f5b</x:v>
      </x:c>
      <x:c r="AA114" s="45" t="str">
        <x:v>8456a41c5e02d454e70a2531577ffb2e29f73e57e44a7762de681d568aa4227a</x:v>
      </x:c>
    </x:row>
    <x:row r="115" ht="23" customHeight="1">
      <x:c r="A115" s="50" t="str">
        <x:v>38964</x:v>
      </x:c>
      <x:c r="B115" s="51" t="d">
        <x:v>2026-09-30T00:00:00.000Z</x:v>
      </x:c>
      <x:c r="C115" s="99" t="n">
        <x:v>0.272727</x:v>
      </x:c>
      <x:c r="D115" s="100" t="n">
        <x:v>7.058518222222222</x:v>
      </x:c>
      <x:c r="E115" s="100" t="n">
        <x:v>11.778307666666667</x:v>
      </x:c>
      <x:c r="F115" s="99" t="n">
        <x:v>0.19119488888888891</x:v>
      </x:c>
      <x:c r="G115" s="99" t="n">
        <x:v>-0.21454566666666663</x:v>
      </x:c>
      <x:c r="H115" s="101" t="n">
        <x:v>9215875</x:v>
      </x:c>
      <x:c r="I115" s="99" t="n">
        <x:v>1.0672895082889697</x:v>
      </x:c>
      <x:c r="J115" s="100" t="n">
        <x:v>48.666666666666664</x:v>
      </x:c>
      <x:c r="K115" s="100"/>
      <x:c r="L115" s="99" t="n">
        <x:v>0.6906666666666667</x:v>
      </x:c>
      <x:c r="M115" s="99" t="n">
        <x:v>0.6844444444444444</x:v>
      </x:c>
      <x:c r="N115" s="99"/>
      <x:c r="O115" s="99" t="n">
        <x:v>0.3790745555555556</x:v>
      </x:c>
      <x:c r="P115" s="99" t="n">
        <x:v>-0.018887666666666674</x:v>
      </x:c>
      <x:c r="Q115" s="99" t="n">
        <x:v>0.1972208888888889</x:v>
      </x:c>
      <x:c r="R115" s="99" t="n">
        <x:v>0.4253524444444444</x:v>
      </x:c>
      <x:c r="S115" s="45"/>
      <x:c r="T115" s="45"/>
      <x:c r="U115" s="51" t="d">
        <x:v>2026-09-30T00:00:00.000Z</x:v>
      </x:c>
      <x:c r="V115" s="51" t="d">
        <x:v>2026-09-30T00:00:00.000Z</x:v>
      </x:c>
      <x:c r="W115" s="109" t="n">
        <x:v>9</x:v>
      </x:c>
      <x:c r="X115" s="109" t="n">
        <x:v>9</x:v>
      </x:c>
      <x:c r="Y115" s="45" t="str">
        <x:v>sbx-mex/Perfil_Tienda_DM</x:v>
      </x:c>
      <x:c r="Z115" s="45" t="str">
        <x:v>2a6b0d21379739482f0b4c7be9b0f9a022e15f5b</x:v>
      </x:c>
      <x:c r="AA115" s="45" t="str">
        <x:v>8456a41c5e02d454e70a2531577ffb2e29f73e57e44a7762de681d568aa4227a</x:v>
      </x:c>
    </x:row>
    <x:row r="116" ht="23" customHeight="1">
      <x:c r="A116" s="50" t="str">
        <x:v>38131</x:v>
      </x:c>
      <x:c r="B116" s="51" t="d">
        <x:v>2026-09-30T00:00:00.000Z</x:v>
      </x:c>
      <x:c r="C116" s="99" t="n">
        <x:v>0.53202</x:v>
      </x:c>
      <x:c r="D116" s="100" t="n">
        <x:v>8.142950777777777</x:v>
      </x:c>
      <x:c r="E116" s="100" t="n">
        <x:v>19.432763333333334</x:v>
      </x:c>
      <x:c r="F116" s="99" t="n">
        <x:v>0.11760266666666667</x:v>
      </x:c>
      <x:c r="G116" s="99" t="n">
        <x:v>-0.017367999999999995</x:v>
      </x:c>
      <x:c r="H116" s="101" t="n">
        <x:v>19900558</x:v>
      </x:c>
      <x:c r="I116" s="99" t="n">
        <x:v>-0.0005111789953700097</x:v>
      </x:c>
      <x:c r="J116" s="100" t="n">
        <x:v>-6.333333333333333</x:v>
      </x:c>
      <x:c r="K116" s="100"/>
      <x:c r="L116" s="99" t="n">
        <x:v>0.49944444444444447</x:v>
      </x:c>
      <x:c r="M116" s="99" t="n">
        <x:v>0.58</x:v>
      </x:c>
      <x:c r="N116" s="99"/>
      <x:c r="O116" s="99" t="n">
        <x:v>0.38673888888888885</x:v>
      </x:c>
      <x:c r="P116" s="99" t="n">
        <x:v>0.03924477777777777</x:v>
      </x:c>
      <x:c r="Q116" s="99" t="n">
        <x:v>0.24341922222222223</x:v>
      </x:c>
      <x:c r="R116" s="99" t="n">
        <x:v>-0.01757233333333334</x:v>
      </x:c>
      <x:c r="S116" s="45"/>
      <x:c r="T116" s="45"/>
      <x:c r="U116" s="51" t="d">
        <x:v>2026-09-30T00:00:00.000Z</x:v>
      </x:c>
      <x:c r="V116" s="51" t="d">
        <x:v>2026-09-30T00:00:00.000Z</x:v>
      </x:c>
      <x:c r="W116" s="109" t="n">
        <x:v>9</x:v>
      </x:c>
      <x:c r="X116" s="109" t="n">
        <x:v>9</x:v>
      </x:c>
      <x:c r="Y116" s="45" t="str">
        <x:v>sbx-mex/Perfil_Tienda_DM</x:v>
      </x:c>
      <x:c r="Z116" s="45" t="str">
        <x:v>2a6b0d21379739482f0b4c7be9b0f9a022e15f5b</x:v>
      </x:c>
      <x:c r="AA116" s="45" t="str">
        <x:v>8456a41c5e02d454e70a2531577ffb2e29f73e57e44a7762de681d568aa4227a</x:v>
      </x:c>
    </x:row>
    <x:row r="117" ht="23" customHeight="1">
      <x:c r="A117" s="50" t="str">
        <x:v>38172</x:v>
      </x:c>
      <x:c r="B117" s="51" t="d">
        <x:v>2026-09-30T00:00:00.000Z</x:v>
      </x:c>
      <x:c r="C117" s="99" t="n">
        <x:v>0.79558</x:v>
      </x:c>
      <x:c r="D117" s="100" t="n">
        <x:v>7.888618777777777</x:v>
      </x:c>
      <x:c r="E117" s="100" t="n">
        <x:v>17.67942488888889</x:v>
      </x:c>
      <x:c r="F117" s="99" t="n">
        <x:v>0.1456991111111111</x:v>
      </x:c>
      <x:c r="G117" s="99" t="n">
        <x:v>0.013088875</x:v>
      </x:c>
      <x:c r="H117" s="101" t="n">
        <x:v>16077122</x:v>
      </x:c>
      <x:c r="I117" s="99" t="n">
        <x:v>-0.06785397025628548</x:v>
      </x:c>
      <x:c r="J117" s="100" t="n">
        <x:v>-8.11111111111111</x:v>
      </x:c>
      <x:c r="K117" s="100"/>
      <x:c r="L117" s="99" t="n">
        <x:v>0.5697777777777778</x:v>
      </x:c>
      <x:c r="M117" s="99" t="n">
        <x:v>0.63</x:v>
      </x:c>
      <x:c r="N117" s="99"/>
      <x:c r="O117" s="99" t="n">
        <x:v>0.3852116666666667</x:v>
      </x:c>
      <x:c r="P117" s="99" t="n">
        <x:v>0.018686374999999998</x:v>
      </x:c>
      <x:c r="Q117" s="99" t="n">
        <x:v>0.21874911111111112</x:v>
      </x:c>
      <x:c r="R117" s="99" t="n">
        <x:v>-0.02482750000000001</x:v>
      </x:c>
      <x:c r="S117" s="45"/>
      <x:c r="T117" s="45"/>
      <x:c r="U117" s="51" t="d">
        <x:v>2026-09-30T00:00:00.000Z</x:v>
      </x:c>
      <x:c r="V117" s="51" t="d">
        <x:v>2026-09-30T00:00:00.000Z</x:v>
      </x:c>
      <x:c r="W117" s="109" t="n">
        <x:v>9</x:v>
      </x:c>
      <x:c r="X117" s="109" t="n">
        <x:v>9</x:v>
      </x:c>
      <x:c r="Y117" s="45" t="str">
        <x:v>sbx-mex/Perfil_Tienda_DM</x:v>
      </x:c>
      <x:c r="Z117" s="45" t="str">
        <x:v>2a6b0d21379739482f0b4c7be9b0f9a022e15f5b</x:v>
      </x:c>
      <x:c r="AA117" s="45" t="str">
        <x:v>8456a41c5e02d454e70a2531577ffb2e29f73e57e44a7762de681d568aa4227a</x:v>
      </x:c>
    </x:row>
    <x:row r="118" ht="23" customHeight="1">
      <x:c r="A118" s="50" t="str">
        <x:v>38402</x:v>
      </x:c>
      <x:c r="B118" s="51" t="d">
        <x:v>2026-09-30T00:00:00.000Z</x:v>
      </x:c>
      <x:c r="C118" s="99" t="n">
        <x:v>0.513158</x:v>
      </x:c>
      <x:c r="D118" s="100" t="n">
        <x:v>7.624738333333334</x:v>
      </x:c>
      <x:c r="E118" s="100" t="n">
        <x:v>17.181457777777776</x:v>
      </x:c>
      <x:c r="F118" s="99" t="n">
        <x:v>0.12551966666666667</x:v>
      </x:c>
      <x:c r="G118" s="99" t="n">
        <x:v>-0.007912666666666665</x:v>
      </x:c>
      <x:c r="H118" s="101" t="n">
        <x:v>31222796</x:v>
      </x:c>
      <x:c r="I118" s="99" t="n">
        <x:v>0.03998412482822733</x:v>
      </x:c>
      <x:c r="J118" s="100" t="n">
        <x:v>18.22222222222222</x:v>
      </x:c>
      <x:c r="K118" s="100"/>
      <x:c r="L118" s="99" t="n">
        <x:v>0.41488888888888886</x:v>
      </x:c>
      <x:c r="M118" s="99" t="n">
        <x:v>0.5666666666666668</x:v>
      </x:c>
      <x:c r="N118" s="99"/>
      <x:c r="O118" s="99" t="n">
        <x:v>0.3578428888888889</x:v>
      </x:c>
      <x:c r="P118" s="99" t="n">
        <x:v>0.029574888888888904</x:v>
      </x:c>
      <x:c r="Q118" s="99" t="n">
        <x:v>0.2392292222222222</x:v>
      </x:c>
      <x:c r="R118" s="99" t="n">
        <x:v>-0.012844777777777773</x:v>
      </x:c>
      <x:c r="S118" s="45"/>
      <x:c r="T118" s="45"/>
      <x:c r="U118" s="51" t="d">
        <x:v>2026-09-30T00:00:00.000Z</x:v>
      </x:c>
      <x:c r="V118" s="51" t="d">
        <x:v>2026-09-30T00:00:00.000Z</x:v>
      </x:c>
      <x:c r="W118" s="109" t="n">
        <x:v>9</x:v>
      </x:c>
      <x:c r="X118" s="109" t="n">
        <x:v>9</x:v>
      </x:c>
      <x:c r="Y118" s="45" t="str">
        <x:v>sbx-mex/Perfil_Tienda_DM</x:v>
      </x:c>
      <x:c r="Z118" s="45" t="str">
        <x:v>2a6b0d21379739482f0b4c7be9b0f9a022e15f5b</x:v>
      </x:c>
      <x:c r="AA118" s="45" t="str">
        <x:v>8456a41c5e02d454e70a2531577ffb2e29f73e57e44a7762de681d568aa4227a</x:v>
      </x:c>
    </x:row>
    <x:row r="119" ht="23" customHeight="1">
      <x:c r="A119" s="50" t="str">
        <x:v>38406</x:v>
      </x:c>
      <x:c r="B119" s="51" t="d">
        <x:v>2026-09-30T00:00:00.000Z</x:v>
      </x:c>
      <x:c r="C119" s="99" t="n">
        <x:v>0.477612</x:v>
      </x:c>
      <x:c r="D119" s="100" t="n">
        <x:v>6.894050888888889</x:v>
      </x:c>
      <x:c r="E119" s="100" t="n">
        <x:v>14.58954988888889</x:v>
      </x:c>
      <x:c r="F119" s="99" t="n">
        <x:v>0.15976833333333335</x:v>
      </x:c>
      <x:c r="G119" s="99" t="n">
        <x:v>-0.011900444444444444</x:v>
      </x:c>
      <x:c r="H119" s="101" t="n">
        <x:v>17274230</x:v>
      </x:c>
      <x:c r="I119" s="99" t="n">
        <x:v>-0.0016593669513632614</x:v>
      </x:c>
      <x:c r="J119" s="100" t="n">
        <x:v>-12.25</x:v>
      </x:c>
      <x:c r="K119" s="100"/>
      <x:c r="L119" s="99" t="n">
        <x:v>0.4855555555555556</x:v>
      </x:c>
      <x:c r="M119" s="99" t="n">
        <x:v>0.5788888888888889</x:v>
      </x:c>
      <x:c r="N119" s="99"/>
      <x:c r="O119" s="99" t="n">
        <x:v>0.384443</x:v>
      </x:c>
      <x:c r="P119" s="99" t="n">
        <x:v>0.04284522222222222</x:v>
      </x:c>
      <x:c r="Q119" s="99" t="n">
        <x:v>0.2320268888888889</x:v>
      </x:c>
      <x:c r="R119" s="99" t="n">
        <x:v>-0.01159411111111112</x:v>
      </x:c>
      <x:c r="S119" s="45"/>
      <x:c r="T119" s="45"/>
      <x:c r="U119" s="51" t="d">
        <x:v>2026-09-30T00:00:00.000Z</x:v>
      </x:c>
      <x:c r="V119" s="51" t="d">
        <x:v>2026-09-30T00:00:00.000Z</x:v>
      </x:c>
      <x:c r="W119" s="109" t="n">
        <x:v>9</x:v>
      </x:c>
      <x:c r="X119" s="109" t="n">
        <x:v>9</x:v>
      </x:c>
      <x:c r="Y119" s="45" t="str">
        <x:v>sbx-mex/Perfil_Tienda_DM</x:v>
      </x:c>
      <x:c r="Z119" s="45" t="str">
        <x:v>2a6b0d21379739482f0b4c7be9b0f9a022e15f5b</x:v>
      </x:c>
      <x:c r="AA119" s="45" t="str">
        <x:v>8456a41c5e02d454e70a2531577ffb2e29f73e57e44a7762de681d568aa4227a</x:v>
      </x:c>
    </x:row>
    <x:row r="120" ht="23" customHeight="1">
      <x:c r="A120" s="50" t="str">
        <x:v>38543</x:v>
      </x:c>
      <x:c r="B120" s="51" t="d">
        <x:v>2026-09-30T00:00:00.000Z</x:v>
      </x:c>
      <x:c r="C120" s="99" t="n">
        <x:v>0.172662</x:v>
      </x:c>
      <x:c r="D120" s="100" t="n">
        <x:v>7.291230333333333</x:v>
      </x:c>
      <x:c r="E120" s="100" t="n">
        <x:v>15.686913222222223</x:v>
      </x:c>
      <x:c r="F120" s="99" t="n">
        <x:v>0.151604</x:v>
      </x:c>
      <x:c r="G120" s="99" t="n">
        <x:v>0.003758999999999995</x:v>
      </x:c>
      <x:c r="H120" s="101" t="n">
        <x:v>12528900</x:v>
      </x:c>
      <x:c r="I120" s="99" t="n">
        <x:v>-0.02472582133925738</x:v>
      </x:c>
      <x:c r="J120" s="100" t="n">
        <x:v>-24.11111111111111</x:v>
      </x:c>
      <x:c r="K120" s="100"/>
      <x:c r="L120" s="99" t="n">
        <x:v>0.48055555555555557</x:v>
      </x:c>
      <x:c r="M120" s="99" t="n">
        <x:v>0.548888888888889</x:v>
      </x:c>
      <x:c r="N120" s="99"/>
      <x:c r="O120" s="99" t="n">
        <x:v>0.3706922222222222</x:v>
      </x:c>
      <x:c r="P120" s="99" t="n">
        <x:v>0.026825625000000006</x:v>
      </x:c>
      <x:c r="Q120" s="99" t="n">
        <x:v>0.21713077777777778</x:v>
      </x:c>
      <x:c r="R120" s="99" t="n">
        <x:v>-0.046109</x:v>
      </x:c>
      <x:c r="S120" s="45"/>
      <x:c r="T120" s="45"/>
      <x:c r="U120" s="51" t="d">
        <x:v>2026-09-30T00:00:00.000Z</x:v>
      </x:c>
      <x:c r="V120" s="51" t="d">
        <x:v>2026-09-30T00:00:00.000Z</x:v>
      </x:c>
      <x:c r="W120" s="109" t="n">
        <x:v>9</x:v>
      </x:c>
      <x:c r="X120" s="109" t="n">
        <x:v>9</x:v>
      </x:c>
      <x:c r="Y120" s="45" t="str">
        <x:v>sbx-mex/Perfil_Tienda_DM</x:v>
      </x:c>
      <x:c r="Z120" s="45" t="str">
        <x:v>2a6b0d21379739482f0b4c7be9b0f9a022e15f5b</x:v>
      </x:c>
      <x:c r="AA120" s="45" t="str">
        <x:v>8456a41c5e02d454e70a2531577ffb2e29f73e57e44a7762de681d568aa4227a</x:v>
      </x:c>
    </x:row>
    <x:row r="121" ht="23" customHeight="1">
      <x:c r="A121" s="50" t="str">
        <x:v>38560</x:v>
      </x:c>
      <x:c r="B121" s="51" t="d">
        <x:v>2026-09-30T00:00:00.000Z</x:v>
      </x:c>
      <x:c r="C121" s="99" t="n">
        <x:v>0.907563</x:v>
      </x:c>
      <x:c r="D121" s="100" t="n">
        <x:v>5.235515777777778</x:v>
      </x:c>
      <x:c r="E121" s="100" t="n">
        <x:v>11.688584777777779</x:v>
      </x:c>
      <x:c r="F121" s="99" t="n">
        <x:v>0.1975977777777778</x:v>
      </x:c>
      <x:c r="G121" s="99" t="n">
        <x:v>-0.004597666666666667</x:v>
      </x:c>
      <x:c r="H121" s="101" t="n">
        <x:v>8960890</x:v>
      </x:c>
      <x:c r="I121" s="99" t="n">
        <x:v>-0.13344553576880525</x:v>
      </x:c>
      <x:c r="J121" s="100" t="n">
        <x:v>-15.88888888888889</x:v>
      </x:c>
      <x:c r="K121" s="100"/>
      <x:c r="L121" s="99" t="n">
        <x:v>0.7318888888888888</x:v>
      </x:c>
      <x:c r="M121" s="99" t="n">
        <x:v>0.7711111111111112</x:v>
      </x:c>
      <x:c r="N121" s="99"/>
      <x:c r="O121" s="99" t="n">
        <x:v>0.40160055555555557</x:v>
      </x:c>
      <x:c r="P121" s="99" t="n">
        <x:v>0.01585366666666667</x:v>
      </x:c>
      <x:c r="Q121" s="99" t="n">
        <x:v>0.11495222222222222</x:v>
      </x:c>
      <x:c r="R121" s="99" t="n">
        <x:v>-0.0020344444444444438</x:v>
      </x:c>
      <x:c r="S121" s="45"/>
      <x:c r="T121" s="45"/>
      <x:c r="U121" s="51" t="d">
        <x:v>2026-09-30T00:00:00.000Z</x:v>
      </x:c>
      <x:c r="V121" s="51" t="d">
        <x:v>2026-09-30T00:00:00.000Z</x:v>
      </x:c>
      <x:c r="W121" s="109" t="n">
        <x:v>9</x:v>
      </x:c>
      <x:c r="X121" s="109" t="n">
        <x:v>9</x:v>
      </x:c>
      <x:c r="Y121" s="45" t="str">
        <x:v>sbx-mex/Perfil_Tienda_DM</x:v>
      </x:c>
      <x:c r="Z121" s="45" t="str">
        <x:v>2a6b0d21379739482f0b4c7be9b0f9a022e15f5b</x:v>
      </x:c>
      <x:c r="AA121" s="45" t="str">
        <x:v>8456a41c5e02d454e70a2531577ffb2e29f73e57e44a7762de681d568aa4227a</x:v>
      </x:c>
    </x:row>
    <x:row r="122" ht="23" customHeight="1">
      <x:c r="A122" s="50" t="str">
        <x:v>38605</x:v>
      </x:c>
      <x:c r="B122" s="51" t="d">
        <x:v>2026-09-30T00:00:00.000Z</x:v>
      </x:c>
      <x:c r="C122" s="99" t="n">
        <x:v>0.230769</x:v>
      </x:c>
      <x:c r="D122" s="100" t="n">
        <x:v>5.799190444444445</x:v>
      </x:c>
      <x:c r="E122" s="100" t="n">
        <x:v>12.852451555555556</x:v>
      </x:c>
      <x:c r="F122" s="99" t="n">
        <x:v>0.17039700000000002</x:v>
      </x:c>
      <x:c r="G122" s="99" t="n">
        <x:v>0.017590333333333333</x:v>
      </x:c>
      <x:c r="H122" s="101" t="n">
        <x:v>12422646</x:v>
      </x:c>
      <x:c r="I122" s="99" t="n">
        <x:v>-0.10873090177337308</x:v>
      </x:c>
      <x:c r="J122" s="100" t="n">
        <x:v>-2.5555555555555554</x:v>
      </x:c>
      <x:c r="K122" s="100"/>
      <x:c r="L122" s="99" t="n">
        <x:v>0.5710000000000001</x:v>
      </x:c>
      <x:c r="M122" s="99" t="n">
        <x:v>0.6444444444444444</x:v>
      </x:c>
      <x:c r="N122" s="99"/>
      <x:c r="O122" s="99" t="n">
        <x:v>0.37657433333333334</x:v>
      </x:c>
      <x:c r="P122" s="99" t="n">
        <x:v>0.05353311111111111</x:v>
      </x:c>
      <x:c r="Q122" s="99" t="n">
        <x:v>0.17444044444444443</x:v>
      </x:c>
      <x:c r="R122" s="99" t="n">
        <x:v>-0.06975444444444445</x:v>
      </x:c>
      <x:c r="S122" s="45"/>
      <x:c r="T122" s="45"/>
      <x:c r="U122" s="51" t="d">
        <x:v>2026-09-30T00:00:00.000Z</x:v>
      </x:c>
      <x:c r="V122" s="51" t="d">
        <x:v>2026-09-30T00:00:00.000Z</x:v>
      </x:c>
      <x:c r="W122" s="109" t="n">
        <x:v>9</x:v>
      </x:c>
      <x:c r="X122" s="109" t="n">
        <x:v>9</x:v>
      </x:c>
      <x:c r="Y122" s="45" t="str">
        <x:v>sbx-mex/Perfil_Tienda_DM</x:v>
      </x:c>
      <x:c r="Z122" s="45" t="str">
        <x:v>2a6b0d21379739482f0b4c7be9b0f9a022e15f5b</x:v>
      </x:c>
      <x:c r="AA122" s="45" t="str">
        <x:v>8456a41c5e02d454e70a2531577ffb2e29f73e57e44a7762de681d568aa4227a</x:v>
      </x:c>
    </x:row>
    <x:row r="123" ht="23" customHeight="1">
      <x:c r="A123" s="50" t="str">
        <x:v>38625</x:v>
      </x:c>
      <x:c r="B123" s="51" t="d">
        <x:v>2026-09-30T00:00:00.000Z</x:v>
      </x:c>
      <x:c r="C123" s="99" t="n">
        <x:v>0.294118</x:v>
      </x:c>
      <x:c r="D123" s="100" t="n">
        <x:v>6.333735555555555</x:v>
      </x:c>
      <x:c r="E123" s="100" t="n">
        <x:v>14.874828666666666</x:v>
      </x:c>
      <x:c r="F123" s="99" t="n">
        <x:v>0.14981933333333333</x:v>
      </x:c>
      <x:c r="G123" s="99" t="n">
        <x:v>0.0002931111111111144</x:v>
      </x:c>
      <x:c r="H123" s="101" t="n">
        <x:v>17391427</x:v>
      </x:c>
      <x:c r="I123" s="99" t="n">
        <x:v>-0.05797068988744314</x:v>
      </x:c>
      <x:c r="J123" s="100" t="n">
        <x:v>-4.444444444444445</x:v>
      </x:c>
      <x:c r="K123" s="100"/>
      <x:c r="L123" s="99" t="n">
        <x:v>0.49444444444444446</x:v>
      </x:c>
      <x:c r="M123" s="99" t="n">
        <x:v>0.5777777777777778</x:v>
      </x:c>
      <x:c r="N123" s="99"/>
      <x:c r="O123" s="99" t="n">
        <x:v>0.38583655555555557</x:v>
      </x:c>
      <x:c r="P123" s="99" t="n">
        <x:v>0.03903977777777779</x:v>
      </x:c>
      <x:c r="Q123" s="99" t="n">
        <x:v>0.18999744444444444</x:v>
      </x:c>
      <x:c r="R123" s="99" t="n">
        <x:v>-0.05207833333333334</x:v>
      </x:c>
      <x:c r="S123" s="45" t="str">
        <x:v>01:28</x:v>
      </x:c>
      <x:c r="T123" s="45" t="str">
        <x:v>01:16</x:v>
      </x:c>
      <x:c r="U123" s="51" t="d">
        <x:v>2026-09-30T00:00:00.000Z</x:v>
      </x:c>
      <x:c r="V123" s="51" t="d">
        <x:v>2026-09-30T00:00:00.000Z</x:v>
      </x:c>
      <x:c r="W123" s="109" t="n">
        <x:v>9</x:v>
      </x:c>
      <x:c r="X123" s="109" t="n">
        <x:v>9</x:v>
      </x:c>
      <x:c r="Y123" s="45" t="str">
        <x:v>sbx-mex/Perfil_Tienda_DM</x:v>
      </x:c>
      <x:c r="Z123" s="45" t="str">
        <x:v>2a6b0d21379739482f0b4c7be9b0f9a022e15f5b</x:v>
      </x:c>
      <x:c r="AA123" s="45" t="str">
        <x:v>8456a41c5e02d454e70a2531577ffb2e29f73e57e44a7762de681d568aa4227a</x:v>
      </x:c>
    </x:row>
    <x:row r="124" ht="23" customHeight="1">
      <x:c r="A124" s="50" t="str">
        <x:v>38771</x:v>
      </x:c>
      <x:c r="B124" s="51"/>
      <x:c r="C124" s="99"/>
      <x:c r="D124" s="100"/>
      <x:c r="E124" s="100"/>
      <x:c r="F124" s="99"/>
      <x:c r="G124" s="99"/>
      <x:c r="H124" s="101"/>
      <x:c r="I124" s="99"/>
      <x:c r="J124" s="100"/>
      <x:c r="K124" s="100"/>
      <x:c r="L124" s="99"/>
      <x:c r="M124" s="99"/>
      <x:c r="N124" s="99"/>
      <x:c r="O124" s="99"/>
      <x:c r="P124" s="99"/>
      <x:c r="Q124" s="99"/>
      <x:c r="R124" s="99"/>
      <x:c r="S124" s="45"/>
      <x:c r="T124" s="45"/>
      <x:c r="U124" s="51"/>
      <x:c r="V124" s="51"/>
      <x:c r="W124" s="109" t="n">
        <x:v>0</x:v>
      </x:c>
      <x:c r="X124" s="109" t="n">
        <x:v>0</x:v>
      </x:c>
      <x:c r="Y124" s="45"/>
      <x:c r="Z124" s="45"/>
      <x:c r="AA124" s="45"/>
    </x:row>
    <x:row r="125" ht="23" customHeight="1">
      <x:c r="A125" s="50" t="str">
        <x:v>38784</x:v>
      </x:c>
      <x:c r="B125" s="51" t="d">
        <x:v>2026-09-30T00:00:00.000Z</x:v>
      </x:c>
      <x:c r="C125" s="99" t="n">
        <x:v>0.53012</x:v>
      </x:c>
      <x:c r="D125" s="100" t="n">
        <x:v>6.574604777777778</x:v>
      </x:c>
      <x:c r="E125" s="100" t="n">
        <x:v>13.581217333333335</x:v>
      </x:c>
      <x:c r="F125" s="99" t="n">
        <x:v>0.15690377777777778</x:v>
      </x:c>
      <x:c r="G125" s="99" t="n">
        <x:v>-0.006616888888888888</x:v>
      </x:c>
      <x:c r="H125" s="101" t="n">
        <x:v>19314481</x:v>
      </x:c>
      <x:c r="I125" s="99" t="n">
        <x:v>-0.10524038008714487</x:v>
      </x:c>
      <x:c r="J125" s="100" t="n">
        <x:v>-35.55555555555556</x:v>
      </x:c>
      <x:c r="K125" s="100"/>
      <x:c r="L125" s="99" t="n">
        <x:v>0.5113333333333334</x:v>
      </x:c>
      <x:c r="M125" s="99" t="n">
        <x:v>0.6022222222222222</x:v>
      </x:c>
      <x:c r="N125" s="99"/>
      <x:c r="O125" s="99" t="n">
        <x:v>0.4047578888888889</x:v>
      </x:c>
      <x:c r="P125" s="99" t="n">
        <x:v>0.05258877777777777</x:v>
      </x:c>
      <x:c r="Q125" s="99" t="n">
        <x:v>0.1530976666666667</x:v>
      </x:c>
      <x:c r="R125" s="99" t="n">
        <x:v>0.053135555555555554</x:v>
      </x:c>
      <x:c r="S125" s="45"/>
      <x:c r="T125" s="45"/>
      <x:c r="U125" s="51" t="d">
        <x:v>2026-09-30T00:00:00.000Z</x:v>
      </x:c>
      <x:c r="V125" s="51" t="d">
        <x:v>2026-09-30T00:00:00.000Z</x:v>
      </x:c>
      <x:c r="W125" s="109" t="n">
        <x:v>9</x:v>
      </x:c>
      <x:c r="X125" s="109" t="n">
        <x:v>9</x:v>
      </x:c>
      <x:c r="Y125" s="45" t="str">
        <x:v>sbx-mex/Perfil_Tienda_DM</x:v>
      </x:c>
      <x:c r="Z125" s="45" t="str">
        <x:v>2a6b0d21379739482f0b4c7be9b0f9a022e15f5b</x:v>
      </x:c>
      <x:c r="AA125" s="45" t="str">
        <x:v>8456a41c5e02d454e70a2531577ffb2e29f73e57e44a7762de681d568aa4227a</x:v>
      </x:c>
    </x:row>
    <x:row r="126" ht="23" customHeight="1">
      <x:c r="A126" s="50" t="str">
        <x:v>38791</x:v>
      </x:c>
      <x:c r="B126" s="51" t="d">
        <x:v>2026-09-30T00:00:00.000Z</x:v>
      </x:c>
      <x:c r="C126" s="99" t="n">
        <x:v>0.352941</x:v>
      </x:c>
      <x:c r="D126" s="100" t="n">
        <x:v>6.326179</x:v>
      </x:c>
      <x:c r="E126" s="100" t="n">
        <x:v>12.513630222222222</x:v>
      </x:c>
      <x:c r="F126" s="99" t="n">
        <x:v>0.17842122222222223</x:v>
      </x:c>
      <x:c r="G126" s="99" t="n">
        <x:v>0.01247044444444445</x:v>
      </x:c>
      <x:c r="H126" s="101" t="n">
        <x:v>12158237</x:v>
      </x:c>
      <x:c r="I126" s="99" t="n">
        <x:v>-0.17452570645322485</x:v>
      </x:c>
      <x:c r="J126" s="100" t="n">
        <x:v>-6.777777777777778</x:v>
      </x:c>
      <x:c r="K126" s="100"/>
      <x:c r="L126" s="99" t="n">
        <x:v>0.5138888888888888</x:v>
      </x:c>
      <x:c r="M126" s="99" t="n">
        <x:v>0.6377777777777778</x:v>
      </x:c>
      <x:c r="N126" s="99"/>
      <x:c r="O126" s="99" t="n">
        <x:v>0.38880466666666663</x:v>
      </x:c>
      <x:c r="P126" s="99" t="n">
        <x:v>0.016871777777777777</x:v>
      </x:c>
      <x:c r="Q126" s="99" t="n">
        <x:v>0.005338333333333333</x:v>
      </x:c>
      <x:c r="R126" s="99" t="n">
        <x:v>-0.056455</x:v>
      </x:c>
      <x:c r="S126" s="45"/>
      <x:c r="T126" s="45"/>
      <x:c r="U126" s="51" t="d">
        <x:v>2026-09-30T00:00:00.000Z</x:v>
      </x:c>
      <x:c r="V126" s="51" t="d">
        <x:v>2026-09-30T00:00:00.000Z</x:v>
      </x:c>
      <x:c r="W126" s="109" t="n">
        <x:v>9</x:v>
      </x:c>
      <x:c r="X126" s="109" t="n">
        <x:v>9</x:v>
      </x:c>
      <x:c r="Y126" s="45" t="str">
        <x:v>sbx-mex/Perfil_Tienda_DM</x:v>
      </x:c>
      <x:c r="Z126" s="45" t="str">
        <x:v>2a6b0d21379739482f0b4c7be9b0f9a022e15f5b</x:v>
      </x:c>
      <x:c r="AA126" s="45" t="str">
        <x:v>8456a41c5e02d454e70a2531577ffb2e29f73e57e44a7762de681d568aa4227a</x:v>
      </x:c>
    </x:row>
    <x:row r="127" ht="23" customHeight="1">
      <x:c r="A127" s="50" t="str">
        <x:v>38806</x:v>
      </x:c>
      <x:c r="B127" s="51" t="d">
        <x:v>2026-09-30T00:00:00.000Z</x:v>
      </x:c>
      <x:c r="C127" s="99" t="n">
        <x:v>0.528302</x:v>
      </x:c>
      <x:c r="D127" s="100" t="n">
        <x:v>7.994916</x:v>
      </x:c>
      <x:c r="E127" s="100" t="n">
        <x:v>17.388841444444445</x:v>
      </x:c>
      <x:c r="F127" s="99" t="n">
        <x:v>0.15134144444444445</x:v>
      </x:c>
      <x:c r="G127" s="99" t="n">
        <x:v>0.006698222222222226</x:v>
      </x:c>
      <x:c r="H127" s="101" t="n">
        <x:v>13959468</x:v>
      </x:c>
      <x:c r="I127" s="99" t="n">
        <x:v>-0.07763707158902367</x:v>
      </x:c>
      <x:c r="J127" s="100" t="n">
        <x:v>10.222222222222221</x:v>
      </x:c>
      <x:c r="K127" s="100"/>
      <x:c r="L127" s="99" t="n">
        <x:v>0.5983333333333333</x:v>
      </x:c>
      <x:c r="M127" s="99" t="n">
        <x:v>0.6755555555555556</x:v>
      </x:c>
      <x:c r="N127" s="99"/>
      <x:c r="O127" s="99" t="n">
        <x:v>0.3957567777777778</x:v>
      </x:c>
      <x:c r="P127" s="99" t="n">
        <x:v>0.02122077777777778</x:v>
      </x:c>
      <x:c r="Q127" s="99" t="n">
        <x:v>0.1871367777777778</x:v>
      </x:c>
      <x:c r="R127" s="99" t="n">
        <x:v>-0.035248111111111105</x:v>
      </x:c>
      <x:c r="S127" s="45"/>
      <x:c r="T127" s="45"/>
      <x:c r="U127" s="51" t="d">
        <x:v>2026-09-30T00:00:00.000Z</x:v>
      </x:c>
      <x:c r="V127" s="51" t="d">
        <x:v>2026-09-30T00:00:00.000Z</x:v>
      </x:c>
      <x:c r="W127" s="109" t="n">
        <x:v>9</x:v>
      </x:c>
      <x:c r="X127" s="109" t="n">
        <x:v>9</x:v>
      </x:c>
      <x:c r="Y127" s="45" t="str">
        <x:v>sbx-mex/Perfil_Tienda_DM</x:v>
      </x:c>
      <x:c r="Z127" s="45" t="str">
        <x:v>2a6b0d21379739482f0b4c7be9b0f9a022e15f5b</x:v>
      </x:c>
      <x:c r="AA127" s="45" t="str">
        <x:v>8456a41c5e02d454e70a2531577ffb2e29f73e57e44a7762de681d568aa4227a</x:v>
      </x:c>
    </x:row>
    <x:row r="128" ht="23" customHeight="1">
      <x:c r="A128" s="50" t="str">
        <x:v>38866</x:v>
      </x:c>
      <x:c r="B128" s="51" t="d">
        <x:v>2026-09-30T00:00:00.000Z</x:v>
      </x:c>
      <x:c r="C128" s="99" t="n">
        <x:v>0.189474</x:v>
      </x:c>
      <x:c r="D128" s="100" t="n">
        <x:v>5.440066</x:v>
      </x:c>
      <x:c r="E128" s="100" t="n">
        <x:v>12.331659333333333</x:v>
      </x:c>
      <x:c r="F128" s="99" t="n">
        <x:v>0.15675033333333332</x:v>
      </x:c>
      <x:c r="G128" s="99" t="n">
        <x:v>0.006780333333333333</x:v>
      </x:c>
      <x:c r="H128" s="101" t="n">
        <x:v>15264726</x:v>
      </x:c>
      <x:c r="I128" s="99" t="n">
        <x:v>-0.1712443169210236</x:v>
      </x:c>
      <x:c r="J128" s="100" t="n">
        <x:v>-9.88888888888889</x:v>
      </x:c>
      <x:c r="K128" s="100"/>
      <x:c r="L128" s="99" t="n">
        <x:v>0.5063333333333334</x:v>
      </x:c>
      <x:c r="M128" s="99" t="n">
        <x:v>0.6166666666666667</x:v>
      </x:c>
      <x:c r="N128" s="99"/>
      <x:c r="O128" s="99" t="n">
        <x:v>0.3968801111111111</x:v>
      </x:c>
      <x:c r="P128" s="99" t="n">
        <x:v>0.024639999999999995</x:v>
      </x:c>
      <x:c r="Q128" s="99" t="n">
        <x:v>0.174737</x:v>
      </x:c>
      <x:c r="R128" s="99" t="n">
        <x:v>-0.05882922222222223</x:v>
      </x:c>
      <x:c r="S128" s="45"/>
      <x:c r="T128" s="45"/>
      <x:c r="U128" s="51" t="d">
        <x:v>2026-09-30T00:00:00.000Z</x:v>
      </x:c>
      <x:c r="V128" s="51" t="d">
        <x:v>2026-09-30T00:00:00.000Z</x:v>
      </x:c>
      <x:c r="W128" s="109" t="n">
        <x:v>9</x:v>
      </x:c>
      <x:c r="X128" s="109" t="n">
        <x:v>9</x:v>
      </x:c>
      <x:c r="Y128" s="45" t="str">
        <x:v>sbx-mex/Perfil_Tienda_DM</x:v>
      </x:c>
      <x:c r="Z128" s="45" t="str">
        <x:v>2a6b0d21379739482f0b4c7be9b0f9a022e15f5b</x:v>
      </x:c>
      <x:c r="AA128" s="45" t="str">
        <x:v>8456a41c5e02d454e70a2531577ffb2e29f73e57e44a7762de681d568aa4227a</x:v>
      </x:c>
    </x:row>
    <x:row r="129" ht="23" customHeight="1">
      <x:c r="A129" s="50" t="str">
        <x:v>38113</x:v>
      </x:c>
      <x:c r="B129" s="51" t="d">
        <x:v>2026-09-30T00:00:00.000Z</x:v>
      </x:c>
      <x:c r="C129" s="99" t="n">
        <x:v>0.214286</x:v>
      </x:c>
      <x:c r="D129" s="100" t="n">
        <x:v>6.660052444444444</x:v>
      </x:c>
      <x:c r="E129" s="100" t="n">
        <x:v>14.218153777777777</x:v>
      </x:c>
      <x:c r="F129" s="99" t="n">
        <x:v>0.164956</x:v>
      </x:c>
      <x:c r="G129" s="99"/>
      <x:c r="H129" s="101" t="n">
        <x:v>9303942</x:v>
      </x:c>
      <x:c r="I129" s="99"/>
      <x:c r="J129" s="100" t="n">
        <x:v>-18.22222222222222</x:v>
      </x:c>
      <x:c r="K129" s="100"/>
      <x:c r="L129" s="99" t="n">
        <x:v>0.6106666666666666</x:v>
      </x:c>
      <x:c r="M129" s="99" t="n">
        <x:v>0.61</x:v>
      </x:c>
      <x:c r="N129" s="99"/>
      <x:c r="O129" s="99" t="n">
        <x:v>0.4113091111111111</x:v>
      </x:c>
      <x:c r="P129" s="99"/>
      <x:c r="Q129" s="99" t="n">
        <x:v>0.042043</x:v>
      </x:c>
      <x:c r="R129" s="99"/>
      <x:c r="S129" s="45"/>
      <x:c r="T129" s="45"/>
      <x:c r="U129" s="51" t="d">
        <x:v>2026-09-30T00:00:00.000Z</x:v>
      </x:c>
      <x:c r="V129" s="51" t="d">
        <x:v>2026-09-30T00:00:00.000Z</x:v>
      </x:c>
      <x:c r="W129" s="109" t="n">
        <x:v>9</x:v>
      </x:c>
      <x:c r="X129" s="109" t="n">
        <x:v>9</x:v>
      </x:c>
      <x:c r="Y129" s="45" t="str">
        <x:v>sbx-mex/Perfil_Tienda_DM</x:v>
      </x:c>
      <x:c r="Z129" s="45" t="str">
        <x:v>2a6b0d21379739482f0b4c7be9b0f9a022e15f5b</x:v>
      </x:c>
      <x:c r="AA129" s="45" t="str">
        <x:v>8456a41c5e02d454e70a2531577ffb2e29f73e57e44a7762de681d568aa4227a</x:v>
      </x:c>
    </x:row>
    <x:row r="130" ht="23" customHeight="1">
      <x:c r="A130" s="50" t="str">
        <x:v>38139</x:v>
      </x:c>
      <x:c r="B130" s="51" t="d">
        <x:v>2026-09-30T00:00:00.000Z</x:v>
      </x:c>
      <x:c r="C130" s="99" t="n">
        <x:v>0.282353</x:v>
      </x:c>
      <x:c r="D130" s="100" t="n">
        <x:v>7.014267777777778</x:v>
      </x:c>
      <x:c r="E130" s="100" t="n">
        <x:v>13.527476222222223</x:v>
      </x:c>
      <x:c r="F130" s="99" t="n">
        <x:v>0.1702581111111111</x:v>
      </x:c>
      <x:c r="G130" s="99" t="n">
        <x:v>-0.12670811111111113</x:v>
      </x:c>
      <x:c r="H130" s="101" t="n">
        <x:v>12250292</x:v>
      </x:c>
      <x:c r="I130" s="99" t="n">
        <x:v>-0.02852144814924118</x:v>
      </x:c>
      <x:c r="J130" s="100" t="n">
        <x:v>-18.22222222222222</x:v>
      </x:c>
      <x:c r="K130" s="100"/>
      <x:c r="L130" s="99" t="n">
        <x:v>0.4876666666666667</x:v>
      </x:c>
      <x:c r="M130" s="99" t="n">
        <x:v>0.5633333333333334</x:v>
      </x:c>
      <x:c r="N130" s="99"/>
      <x:c r="O130" s="99" t="n">
        <x:v>0.4076358888888889</x:v>
      </x:c>
      <x:c r="P130" s="99" t="n">
        <x:v>0.04512455555555555</x:v>
      </x:c>
      <x:c r="Q130" s="99" t="n">
        <x:v>0.06955177777777778</x:v>
      </x:c>
      <x:c r="R130" s="99" t="n">
        <x:v>0.2187118888888889</x:v>
      </x:c>
      <x:c r="S130" s="45"/>
      <x:c r="T130" s="45"/>
      <x:c r="U130" s="51" t="d">
        <x:v>2026-09-30T00:00:00.000Z</x:v>
      </x:c>
      <x:c r="V130" s="51" t="d">
        <x:v>2026-09-30T00:00:00.000Z</x:v>
      </x:c>
      <x:c r="W130" s="109" t="n">
        <x:v>9</x:v>
      </x:c>
      <x:c r="X130" s="109" t="n">
        <x:v>9</x:v>
      </x:c>
      <x:c r="Y130" s="45" t="str">
        <x:v>sbx-mex/Perfil_Tienda_DM</x:v>
      </x:c>
      <x:c r="Z130" s="45" t="str">
        <x:v>2a6b0d21379739482f0b4c7be9b0f9a022e15f5b</x:v>
      </x:c>
      <x:c r="AA130" s="45" t="str">
        <x:v>8456a41c5e02d454e70a2531577ffb2e29f73e57e44a7762de681d568aa4227a</x:v>
      </x:c>
    </x:row>
    <x:row r="131" ht="23" customHeight="1">
      <x:c r="A131" s="50" t="str">
        <x:v>38152</x:v>
      </x:c>
      <x:c r="B131" s="51" t="d">
        <x:v>2026-09-30T00:00:00.000Z</x:v>
      </x:c>
      <x:c r="C131" s="99" t="n">
        <x:v>0.397351</x:v>
      </x:c>
      <x:c r="D131" s="100" t="n">
        <x:v>7.0074105555555555</x:v>
      </x:c>
      <x:c r="E131" s="100" t="n">
        <x:v>14.71517988888889</x:v>
      </x:c>
      <x:c r="F131" s="99" t="n">
        <x:v>0.16728933333333332</x:v>
      </x:c>
      <x:c r="G131" s="99" t="n">
        <x:v>0.009213777777777772</x:v>
      </x:c>
      <x:c r="H131" s="101" t="n">
        <x:v>11911642</x:v>
      </x:c>
      <x:c r="I131" s="99" t="n">
        <x:v>-0.0998567243502696</x:v>
      </x:c>
      <x:c r="J131" s="100" t="n">
        <x:v>-15.555555555555555</x:v>
      </x:c>
      <x:c r="K131" s="100"/>
      <x:c r="L131" s="99" t="n">
        <x:v>0.5801111111111111</x:v>
      </x:c>
      <x:c r="M131" s="99" t="n">
        <x:v>0.5988888888888888</x:v>
      </x:c>
      <x:c r="N131" s="99"/>
      <x:c r="O131" s="99" t="n">
        <x:v>0.3975755555555555</x:v>
      </x:c>
      <x:c r="P131" s="99" t="n">
        <x:v>0.037261999999999997</x:v>
      </x:c>
      <x:c r="Q131" s="99" t="n">
        <x:v>0.09452988888888889</x:v>
      </x:c>
      <x:c r="R131" s="99" t="n">
        <x:v>-0.06868388888888889</x:v>
      </x:c>
      <x:c r="S131" s="45"/>
      <x:c r="T131" s="45"/>
      <x:c r="U131" s="51" t="d">
        <x:v>2026-09-30T00:00:00.000Z</x:v>
      </x:c>
      <x:c r="V131" s="51" t="d">
        <x:v>2026-09-30T00:00:00.000Z</x:v>
      </x:c>
      <x:c r="W131" s="109" t="n">
        <x:v>9</x:v>
      </x:c>
      <x:c r="X131" s="109" t="n">
        <x:v>9</x:v>
      </x:c>
      <x:c r="Y131" s="45" t="str">
        <x:v>sbx-mex/Perfil_Tienda_DM</x:v>
      </x:c>
      <x:c r="Z131" s="45" t="str">
        <x:v>2a6b0d21379739482f0b4c7be9b0f9a022e15f5b</x:v>
      </x:c>
      <x:c r="AA131" s="45" t="str">
        <x:v>8456a41c5e02d454e70a2531577ffb2e29f73e57e44a7762de681d568aa4227a</x:v>
      </x:c>
    </x:row>
    <x:row r="132" ht="23" customHeight="1">
      <x:c r="A132" s="50" t="str">
        <x:v>38208</x:v>
      </x:c>
      <x:c r="B132" s="51" t="d">
        <x:v>2026-09-30T00:00:00.000Z</x:v>
      </x:c>
      <x:c r="C132" s="99" t="n">
        <x:v>0.105263</x:v>
      </x:c>
      <x:c r="D132" s="100" t="n">
        <x:v>5.821471666666667</x:v>
      </x:c>
      <x:c r="E132" s="100" t="n">
        <x:v>13.117214777777779</x:v>
      </x:c>
      <x:c r="F132" s="99" t="n">
        <x:v>0.17863922222222223</x:v>
      </x:c>
      <x:c r="G132" s="99" t="n">
        <x:v>-0.010916333333333333</x:v>
      </x:c>
      <x:c r="H132" s="101" t="n">
        <x:v>8999301</x:v>
      </x:c>
      <x:c r="I132" s="99" t="n">
        <x:v>-0.11539222749645262</x:v>
      </x:c>
      <x:c r="J132" s="100" t="n">
        <x:v>-11.222222222222221</x:v>
      </x:c>
      <x:c r="K132" s="100"/>
      <x:c r="L132" s="99" t="n">
        <x:v>0.6541111111111112</x:v>
      </x:c>
      <x:c r="M132" s="99" t="n">
        <x:v>0.7488888888888889</x:v>
      </x:c>
      <x:c r="N132" s="99"/>
      <x:c r="O132" s="99" t="n">
        <x:v>0.42738011111111107</x:v>
      </x:c>
      <x:c r="P132" s="99" t="n">
        <x:v>0.070551</x:v>
      </x:c>
      <x:c r="Q132" s="99" t="n">
        <x:v>0.07210755555555555</x:v>
      </x:c>
      <x:c r="R132" s="99" t="n">
        <x:v>-0.05562444444444444</x:v>
      </x:c>
      <x:c r="S132" s="45"/>
      <x:c r="T132" s="45"/>
      <x:c r="U132" s="51" t="d">
        <x:v>2026-09-30T00:00:00.000Z</x:v>
      </x:c>
      <x:c r="V132" s="51" t="d">
        <x:v>2026-09-30T00:00:00.000Z</x:v>
      </x:c>
      <x:c r="W132" s="109" t="n">
        <x:v>9</x:v>
      </x:c>
      <x:c r="X132" s="109" t="n">
        <x:v>9</x:v>
      </x:c>
      <x:c r="Y132" s="45" t="str">
        <x:v>sbx-mex/Perfil_Tienda_DM</x:v>
      </x:c>
      <x:c r="Z132" s="45" t="str">
        <x:v>2a6b0d21379739482f0b4c7be9b0f9a022e15f5b</x:v>
      </x:c>
      <x:c r="AA132" s="45" t="str">
        <x:v>8456a41c5e02d454e70a2531577ffb2e29f73e57e44a7762de681d568aa4227a</x:v>
      </x:c>
    </x:row>
    <x:row r="133" ht="23" customHeight="1">
      <x:c r="A133" s="50" t="str">
        <x:v>38239</x:v>
      </x:c>
      <x:c r="B133" s="51" t="d">
        <x:v>2026-09-30T00:00:00.000Z</x:v>
      </x:c>
      <x:c r="C133" s="99" t="n">
        <x:v>0.431655</x:v>
      </x:c>
      <x:c r="D133" s="100" t="n">
        <x:v>7.830684777777778</x:v>
      </x:c>
      <x:c r="E133" s="100" t="n">
        <x:v>16.039153777777777</x:v>
      </x:c>
      <x:c r="F133" s="99" t="n">
        <x:v>0.17962722222222224</x:v>
      </x:c>
      <x:c r="G133" s="99" t="n">
        <x:v>0.0024541111111111105</x:v>
      </x:c>
      <x:c r="H133" s="101" t="n">
        <x:v>10162437</x:v>
      </x:c>
      <x:c r="I133" s="99" t="n">
        <x:v>-0.11228600613057294</x:v>
      </x:c>
      <x:c r="J133" s="100" t="n">
        <x:v>-12.222222222222221</x:v>
      </x:c>
      <x:c r="K133" s="100"/>
      <x:c r="L133" s="99" t="n">
        <x:v>0.5965555555555555</x:v>
      </x:c>
      <x:c r="M133" s="99" t="n">
        <x:v>0.6688888888888889</x:v>
      </x:c>
      <x:c r="N133" s="99"/>
      <x:c r="O133" s="99" t="n">
        <x:v>0.41215755555555555</x:v>
      </x:c>
      <x:c r="P133" s="99" t="n">
        <x:v>0.03911322222222223</x:v>
      </x:c>
      <x:c r="Q133" s="99" t="n">
        <x:v>0.10792355555555555</x:v>
      </x:c>
      <x:c r="R133" s="99" t="n">
        <x:v>-0.027674333333333332</x:v>
      </x:c>
      <x:c r="S133" s="45"/>
      <x:c r="T133" s="45"/>
      <x:c r="U133" s="51" t="d">
        <x:v>2026-09-30T00:00:00.000Z</x:v>
      </x:c>
      <x:c r="V133" s="51" t="d">
        <x:v>2026-09-30T00:00:00.000Z</x:v>
      </x:c>
      <x:c r="W133" s="109" t="n">
        <x:v>9</x:v>
      </x:c>
      <x:c r="X133" s="109" t="n">
        <x:v>9</x:v>
      </x:c>
      <x:c r="Y133" s="45" t="str">
        <x:v>sbx-mex/Perfil_Tienda_DM</x:v>
      </x:c>
      <x:c r="Z133" s="45" t="str">
        <x:v>2a6b0d21379739482f0b4c7be9b0f9a022e15f5b</x:v>
      </x:c>
      <x:c r="AA133" s="45" t="str">
        <x:v>8456a41c5e02d454e70a2531577ffb2e29f73e57e44a7762de681d568aa4227a</x:v>
      </x:c>
    </x:row>
    <x:row r="134" ht="23" customHeight="1">
      <x:c r="A134" s="50" t="str">
        <x:v>38365</x:v>
      </x:c>
      <x:c r="B134" s="51" t="d">
        <x:v>2026-09-30T00:00:00.000Z</x:v>
      </x:c>
      <x:c r="C134" s="99" t="n">
        <x:v>0.418605</x:v>
      </x:c>
      <x:c r="D134" s="100" t="n">
        <x:v>7.129538</x:v>
      </x:c>
      <x:c r="E134" s="100" t="n">
        <x:v>15.14872011111111</x:v>
      </x:c>
      <x:c r="F134" s="99" t="n">
        <x:v>0.14465933333333336</x:v>
      </x:c>
      <x:c r="G134" s="99" t="n">
        <x:v>-0.012209888888888888</x:v>
      </x:c>
      <x:c r="H134" s="101" t="n">
        <x:v>16993459</x:v>
      </x:c>
      <x:c r="I134" s="99" t="n">
        <x:v>-0.017969035987103976</x:v>
      </x:c>
      <x:c r="J134" s="100" t="n">
        <x:v>-2.111111111111111</x:v>
      </x:c>
      <x:c r="K134" s="100"/>
      <x:c r="L134" s="99" t="n">
        <x:v>0.5076666666666667</x:v>
      </x:c>
      <x:c r="M134" s="99" t="n">
        <x:v>0.6155555555555555</x:v>
      </x:c>
      <x:c r="N134" s="99"/>
      <x:c r="O134" s="99" t="n">
        <x:v>0.3640251111111111</x:v>
      </x:c>
      <x:c r="P134" s="99" t="n">
        <x:v>0.008580888888888897</x:v>
      </x:c>
      <x:c r="Q134" s="99" t="n">
        <x:v>0.17823422222222224</x:v>
      </x:c>
      <x:c r="R134" s="99" t="n">
        <x:v>-0.010395444444444445</x:v>
      </x:c>
      <x:c r="S134" s="45"/>
      <x:c r="T134" s="45"/>
      <x:c r="U134" s="51" t="d">
        <x:v>2026-09-30T00:00:00.000Z</x:v>
      </x:c>
      <x:c r="V134" s="51" t="d">
        <x:v>2026-09-30T00:00:00.000Z</x:v>
      </x:c>
      <x:c r="W134" s="109" t="n">
        <x:v>9</x:v>
      </x:c>
      <x:c r="X134" s="109" t="n">
        <x:v>9</x:v>
      </x:c>
      <x:c r="Y134" s="45" t="str">
        <x:v>sbx-mex/Perfil_Tienda_DM</x:v>
      </x:c>
      <x:c r="Z134" s="45" t="str">
        <x:v>2a6b0d21379739482f0b4c7be9b0f9a022e15f5b</x:v>
      </x:c>
      <x:c r="AA134" s="45" t="str">
        <x:v>8456a41c5e02d454e70a2531577ffb2e29f73e57e44a7762de681d568aa4227a</x:v>
      </x:c>
    </x:row>
    <x:row r="135" ht="23" customHeight="1">
      <x:c r="A135" s="50" t="str">
        <x:v>38417</x:v>
      </x:c>
      <x:c r="B135" s="51" t="d">
        <x:v>2026-09-30T00:00:00.000Z</x:v>
      </x:c>
      <x:c r="C135" s="99" t="n">
        <x:v>0.294479</x:v>
      </x:c>
      <x:c r="D135" s="100" t="n">
        <x:v>6.251613</x:v>
      </x:c>
      <x:c r="E135" s="100" t="n">
        <x:v>12.850185222222223</x:v>
      </x:c>
      <x:c r="F135" s="99" t="n">
        <x:v>0.1776178888888889</x:v>
      </x:c>
      <x:c r="G135" s="99" t="n">
        <x:v>-0.018003666666666664</x:v>
      </x:c>
      <x:c r="H135" s="101" t="n">
        <x:v>12297961</x:v>
      </x:c>
      <x:c r="I135" s="99" t="n">
        <x:v>0.029599747923578557</x:v>
      </x:c>
      <x:c r="J135" s="100" t="n">
        <x:v>-3.4444444444444446</x:v>
      </x:c>
      <x:c r="K135" s="100"/>
      <x:c r="L135" s="99" t="n">
        <x:v>0.644888888888889</x:v>
      </x:c>
      <x:c r="M135" s="99" t="n">
        <x:v>0.6888888888888889</x:v>
      </x:c>
      <x:c r="N135" s="99"/>
      <x:c r="O135" s="99" t="n">
        <x:v>0.37938622222222224</x:v>
      </x:c>
      <x:c r="P135" s="99" t="n">
        <x:v>0.03688855555555556</x:v>
      </x:c>
      <x:c r="Q135" s="99" t="n">
        <x:v>0.2037761111111111</x:v>
      </x:c>
      <x:c r="R135" s="99" t="n">
        <x:v>0.003827999999999998</x:v>
      </x:c>
      <x:c r="S135" s="45"/>
      <x:c r="T135" s="45"/>
      <x:c r="U135" s="51" t="d">
        <x:v>2026-09-30T00:00:00.000Z</x:v>
      </x:c>
      <x:c r="V135" s="51" t="d">
        <x:v>2026-09-30T00:00:00.000Z</x:v>
      </x:c>
      <x:c r="W135" s="109" t="n">
        <x:v>9</x:v>
      </x:c>
      <x:c r="X135" s="109" t="n">
        <x:v>9</x:v>
      </x:c>
      <x:c r="Y135" s="45" t="str">
        <x:v>sbx-mex/Perfil_Tienda_DM</x:v>
      </x:c>
      <x:c r="Z135" s="45" t="str">
        <x:v>2a6b0d21379739482f0b4c7be9b0f9a022e15f5b</x:v>
      </x:c>
      <x:c r="AA135" s="45" t="str">
        <x:v>8456a41c5e02d454e70a2531577ffb2e29f73e57e44a7762de681d568aa4227a</x:v>
      </x:c>
    </x:row>
    <x:row r="136" ht="23" customHeight="1">
      <x:c r="A136" s="50" t="str">
        <x:v>38430</x:v>
      </x:c>
      <x:c r="B136" s="51" t="d">
        <x:v>2026-09-30T00:00:00.000Z</x:v>
      </x:c>
      <x:c r="C136" s="99" t="n">
        <x:v>0.233766</x:v>
      </x:c>
      <x:c r="D136" s="100" t="n">
        <x:v>7.3393942222222215</x:v>
      </x:c>
      <x:c r="E136" s="100" t="n">
        <x:v>14.423475555555557</x:v>
      </x:c>
      <x:c r="F136" s="99" t="n">
        <x:v>0.174067</x:v>
      </x:c>
      <x:c r="G136" s="99" t="n">
        <x:v>0.0031718888888888877</x:v>
      </x:c>
      <x:c r="H136" s="101" t="n">
        <x:v>11628210</x:v>
      </x:c>
      <x:c r="I136" s="99" t="n">
        <x:v>-0.17181153316111075</x:v>
      </x:c>
      <x:c r="J136" s="100" t="n">
        <x:v>-46.55555555555556</x:v>
      </x:c>
      <x:c r="K136" s="100"/>
      <x:c r="L136" s="99" t="n">
        <x:v>0.5581111111111111</x:v>
      </x:c>
      <x:c r="M136" s="99" t="n">
        <x:v>0.6266666666666666</x:v>
      </x:c>
      <x:c r="N136" s="99"/>
      <x:c r="O136" s="99" t="n">
        <x:v>0.4005404444444445</x:v>
      </x:c>
      <x:c r="P136" s="99" t="n">
        <x:v>0.026077666666666673</x:v>
      </x:c>
      <x:c r="Q136" s="99" t="n">
        <x:v>0.17628888888888888</x:v>
      </x:c>
      <x:c r="R136" s="99" t="n">
        <x:v>-0.04504377777777778</x:v>
      </x:c>
      <x:c r="S136" s="45"/>
      <x:c r="T136" s="45"/>
      <x:c r="U136" s="51" t="d">
        <x:v>2026-09-30T00:00:00.000Z</x:v>
      </x:c>
      <x:c r="V136" s="51" t="d">
        <x:v>2026-09-30T00:00:00.000Z</x:v>
      </x:c>
      <x:c r="W136" s="109" t="n">
        <x:v>9</x:v>
      </x:c>
      <x:c r="X136" s="109" t="n">
        <x:v>9</x:v>
      </x:c>
      <x:c r="Y136" s="45" t="str">
        <x:v>sbx-mex/Perfil_Tienda_DM</x:v>
      </x:c>
      <x:c r="Z136" s="45" t="str">
        <x:v>2a6b0d21379739482f0b4c7be9b0f9a022e15f5b</x:v>
      </x:c>
      <x:c r="AA136" s="45" t="str">
        <x:v>8456a41c5e02d454e70a2531577ffb2e29f73e57e44a7762de681d568aa4227a</x:v>
      </x:c>
    </x:row>
    <x:row r="137" ht="23" customHeight="1">
      <x:c r="A137" s="50" t="str">
        <x:v>38484</x:v>
      </x:c>
      <x:c r="B137" s="51" t="d">
        <x:v>2026-09-30T00:00:00.000Z</x:v>
      </x:c>
      <x:c r="C137" s="99" t="n">
        <x:v>0.098361</x:v>
      </x:c>
      <x:c r="D137" s="100" t="n">
        <x:v>6.448776777777777</x:v>
      </x:c>
      <x:c r="E137" s="100" t="n">
        <x:v>13.358613777777778</x:v>
      </x:c>
      <x:c r="F137" s="99" t="n">
        <x:v>0.1997282222222222</x:v>
      </x:c>
      <x:c r="G137" s="99" t="n">
        <x:v>-0.000248888888888888</x:v>
      </x:c>
      <x:c r="H137" s="101" t="n">
        <x:v>8928379</x:v>
      </x:c>
      <x:c r="I137" s="99" t="n">
        <x:v>-0.04674695938774309</x:v>
      </x:c>
      <x:c r="J137" s="100" t="n">
        <x:v>-11.777777777777779</x:v>
      </x:c>
      <x:c r="K137" s="100"/>
      <x:c r="L137" s="99" t="n">
        <x:v>0.5686666666666667</x:v>
      </x:c>
      <x:c r="M137" s="99" t="n">
        <x:v>0.62</x:v>
      </x:c>
      <x:c r="N137" s="99"/>
      <x:c r="O137" s="99" t="n">
        <x:v>0.40844244444444444</x:v>
      </x:c>
      <x:c r="P137" s="99" t="n">
        <x:v>0.036147666666666675</x:v>
      </x:c>
      <x:c r="Q137" s="99" t="n">
        <x:v>0.07789255555555556</x:v>
      </x:c>
      <x:c r="R137" s="99" t="n">
        <x:v>-0.025760222222222223</x:v>
      </x:c>
      <x:c r="S137" s="45"/>
      <x:c r="T137" s="45"/>
      <x:c r="U137" s="51" t="d">
        <x:v>2026-09-30T00:00:00.000Z</x:v>
      </x:c>
      <x:c r="V137" s="51" t="d">
        <x:v>2026-09-30T00:00:00.000Z</x:v>
      </x:c>
      <x:c r="W137" s="109" t="n">
        <x:v>9</x:v>
      </x:c>
      <x:c r="X137" s="109" t="n">
        <x:v>9</x:v>
      </x:c>
      <x:c r="Y137" s="45" t="str">
        <x:v>sbx-mex/Perfil_Tienda_DM</x:v>
      </x:c>
      <x:c r="Z137" s="45" t="str">
        <x:v>2a6b0d21379739482f0b4c7be9b0f9a022e15f5b</x:v>
      </x:c>
      <x:c r="AA137" s="45" t="str">
        <x:v>8456a41c5e02d454e70a2531577ffb2e29f73e57e44a7762de681d568aa4227a</x:v>
      </x:c>
    </x:row>
    <x:row r="138" ht="23" customHeight="1">
      <x:c r="A138" s="50" t="str">
        <x:v>38585</x:v>
      </x:c>
      <x:c r="B138" s="51" t="d">
        <x:v>2026-09-30T00:00:00.000Z</x:v>
      </x:c>
      <x:c r="C138" s="99" t="n">
        <x:v>0.358209</x:v>
      </x:c>
      <x:c r="D138" s="100" t="n">
        <x:v>7.138415777777778</x:v>
      </x:c>
      <x:c r="E138" s="100" t="n">
        <x:v>15.006217666666666</x:v>
      </x:c>
      <x:c r="F138" s="99" t="n">
        <x:v>0.15666066666666667</x:v>
      </x:c>
      <x:c r="G138" s="99" t="n">
        <x:v>-0.029725444444444433</x:v>
      </x:c>
      <x:c r="H138" s="101" t="n">
        <x:v>10654961</x:v>
      </x:c>
      <x:c r="I138" s="99" t="n">
        <x:v>-0.038481397643577275</x:v>
      </x:c>
      <x:c r="J138" s="100" t="n">
        <x:v>-11.11111111111111</x:v>
      </x:c>
      <x:c r="K138" s="100"/>
      <x:c r="L138" s="99" t="n">
        <x:v>0.48511111111111105</x:v>
      </x:c>
      <x:c r="M138" s="99" t="n">
        <x:v>0.64</x:v>
      </x:c>
      <x:c r="N138" s="99"/>
      <x:c r="O138" s="99" t="n">
        <x:v>0.38404955555555553</x:v>
      </x:c>
      <x:c r="P138" s="99" t="n">
        <x:v>0.036539999999999996</x:v>
      </x:c>
      <x:c r="Q138" s="99" t="n">
        <x:v>0.12163833333333335</x:v>
      </x:c>
      <x:c r="R138" s="99" t="n">
        <x:v>0.006475111111111112</x:v>
      </x:c>
      <x:c r="S138" s="45"/>
      <x:c r="T138" s="45"/>
      <x:c r="U138" s="51" t="d">
        <x:v>2026-09-30T00:00:00.000Z</x:v>
      </x:c>
      <x:c r="V138" s="51" t="d">
        <x:v>2026-09-30T00:00:00.000Z</x:v>
      </x:c>
      <x:c r="W138" s="109" t="n">
        <x:v>9</x:v>
      </x:c>
      <x:c r="X138" s="109" t="n">
        <x:v>9</x:v>
      </x:c>
      <x:c r="Y138" s="45" t="str">
        <x:v>sbx-mex/Perfil_Tienda_DM</x:v>
      </x:c>
      <x:c r="Z138" s="45" t="str">
        <x:v>2a6b0d21379739482f0b4c7be9b0f9a022e15f5b</x:v>
      </x:c>
      <x:c r="AA138" s="45" t="str">
        <x:v>8456a41c5e02d454e70a2531577ffb2e29f73e57e44a7762de681d568aa4227a</x:v>
      </x:c>
    </x:row>
    <x:row r="139" ht="23" customHeight="1">
      <x:c r="A139" s="50" t="str">
        <x:v>38620</x:v>
      </x:c>
      <x:c r="B139" s="51" t="d">
        <x:v>2026-09-30T00:00:00.000Z</x:v>
      </x:c>
      <x:c r="C139" s="99" t="n">
        <x:v>0.674157</x:v>
      </x:c>
      <x:c r="D139" s="100" t="n">
        <x:v>8.375647777777779</x:v>
      </x:c>
      <x:c r="E139" s="100" t="n">
        <x:v>16.772215555555555</x:v>
      </x:c>
      <x:c r="F139" s="99" t="n">
        <x:v>0.1510438888888889</x:v>
      </x:c>
      <x:c r="G139" s="99" t="n">
        <x:v>0.004097222222222226</x:v>
      </x:c>
      <x:c r="H139" s="101" t="n">
        <x:v>15414371</x:v>
      </x:c>
      <x:c r="I139" s="99" t="n">
        <x:v>-0.04991733564466139</x:v>
      </x:c>
      <x:c r="J139" s="100" t="n">
        <x:v>-16.444444444444443</x:v>
      </x:c>
      <x:c r="K139" s="100"/>
      <x:c r="L139" s="99" t="n">
        <x:v>0.4232222222222222</x:v>
      </x:c>
      <x:c r="M139" s="99" t="n">
        <x:v>0.5488888888888889</x:v>
      </x:c>
      <x:c r="N139" s="99"/>
      <x:c r="O139" s="99" t="n">
        <x:v>0.3991741111111111</x:v>
      </x:c>
      <x:c r="P139" s="99" t="n">
        <x:v>0.03139255555555555</x:v>
      </x:c>
      <x:c r="Q139" s="99" t="n">
        <x:v>0.16596166666666667</x:v>
      </x:c>
      <x:c r="R139" s="99" t="n">
        <x:v>-0.05600322222222223</x:v>
      </x:c>
      <x:c r="S139" s="45"/>
      <x:c r="T139" s="45"/>
      <x:c r="U139" s="51" t="d">
        <x:v>2026-09-30T00:00:00.000Z</x:v>
      </x:c>
      <x:c r="V139" s="51" t="d">
        <x:v>2026-09-30T00:00:00.000Z</x:v>
      </x:c>
      <x:c r="W139" s="109" t="n">
        <x:v>9</x:v>
      </x:c>
      <x:c r="X139" s="109" t="n">
        <x:v>9</x:v>
      </x:c>
      <x:c r="Y139" s="45" t="str">
        <x:v>sbx-mex/Perfil_Tienda_DM</x:v>
      </x:c>
      <x:c r="Z139" s="45" t="str">
        <x:v>2a6b0d21379739482f0b4c7be9b0f9a022e15f5b</x:v>
      </x:c>
      <x:c r="AA139" s="45" t="str">
        <x:v>8456a41c5e02d454e70a2531577ffb2e29f73e57e44a7762de681d568aa4227a</x:v>
      </x:c>
    </x:row>
    <x:row r="140" ht="23" customHeight="1">
      <x:c r="A140" s="50" t="str">
        <x:v>38663</x:v>
      </x:c>
      <x:c r="B140" s="51" t="d">
        <x:v>2026-09-30T00:00:00.000Z</x:v>
      </x:c>
      <x:c r="C140" s="99" t="n">
        <x:v>0.72</x:v>
      </x:c>
      <x:c r="D140" s="100" t="n">
        <x:v>6.433885555555555</x:v>
      </x:c>
      <x:c r="E140" s="100" t="n">
        <x:v>15.395763</x:v>
      </x:c>
      <x:c r="F140" s="99" t="n">
        <x:v>0.1522038888888889</x:v>
      </x:c>
      <x:c r="G140" s="99" t="n">
        <x:v>-0.005853333333333337</x:v>
      </x:c>
      <x:c r="H140" s="101" t="n">
        <x:v>13032875</x:v>
      </x:c>
      <x:c r="I140" s="99" t="n">
        <x:v>-0.061499514898682994</x:v>
      </x:c>
      <x:c r="J140" s="100" t="n">
        <x:v>-4.333333333333333</x:v>
      </x:c>
      <x:c r="K140" s="100"/>
      <x:c r="L140" s="99" t="n">
        <x:v>0.5664444444444444</x:v>
      </x:c>
      <x:c r="M140" s="99" t="n">
        <x:v>0.67</x:v>
      </x:c>
      <x:c r="N140" s="99"/>
      <x:c r="O140" s="99" t="n">
        <x:v>0.3996657777777778</x:v>
      </x:c>
      <x:c r="P140" s="99" t="n">
        <x:v>0.03181222222222223</x:v>
      </x:c>
      <x:c r="Q140" s="99" t="n">
        <x:v>0.17570233333333332</x:v>
      </x:c>
      <x:c r="R140" s="99" t="n">
        <x:v>-0.027961</x:v>
      </x:c>
      <x:c r="S140" s="45"/>
      <x:c r="T140" s="45"/>
      <x:c r="U140" s="51" t="d">
        <x:v>2026-09-30T00:00:00.000Z</x:v>
      </x:c>
      <x:c r="V140" s="51" t="d">
        <x:v>2026-09-30T00:00:00.000Z</x:v>
      </x:c>
      <x:c r="W140" s="109" t="n">
        <x:v>9</x:v>
      </x:c>
      <x:c r="X140" s="109" t="n">
        <x:v>9</x:v>
      </x:c>
      <x:c r="Y140" s="45" t="str">
        <x:v>sbx-mex/Perfil_Tienda_DM</x:v>
      </x:c>
      <x:c r="Z140" s="45" t="str">
        <x:v>2a6b0d21379739482f0b4c7be9b0f9a022e15f5b</x:v>
      </x:c>
      <x:c r="AA140" s="45" t="str">
        <x:v>8456a41c5e02d454e70a2531577ffb2e29f73e57e44a7762de681d568aa4227a</x:v>
      </x:c>
    </x:row>
    <x:row r="141" ht="23" customHeight="1">
      <x:c r="A141" s="50" t="str">
        <x:v>43025</x:v>
      </x:c>
      <x:c r="B141" s="51" t="d">
        <x:v>2026-09-30T00:00:00.000Z</x:v>
      </x:c>
      <x:c r="C141" s="99" t="n">
        <x:v>0.631579</x:v>
      </x:c>
      <x:c r="D141" s="100" t="n">
        <x:v>7.457784333333333</x:v>
      </x:c>
      <x:c r="E141" s="100" t="n">
        <x:v>15.231036999999999</x:v>
      </x:c>
      <x:c r="F141" s="99" t="n">
        <x:v>0.13953222222222222</x:v>
      </x:c>
      <x:c r="G141" s="99" t="n">
        <x:v>-0.007008888888888878</x:v>
      </x:c>
      <x:c r="H141" s="101" t="n">
        <x:v>13159154</x:v>
      </x:c>
      <x:c r="I141" s="99" t="n">
        <x:v>-0.13546819964964563</x:v>
      </x:c>
      <x:c r="J141" s="100" t="n">
        <x:v>-22.333333333333332</x:v>
      </x:c>
      <x:c r="K141" s="100"/>
      <x:c r="L141" s="99" t="n">
        <x:v>0.4701111111111111</x:v>
      </x:c>
      <x:c r="M141" s="99" t="n">
        <x:v>0.6066666666666667</x:v>
      </x:c>
      <x:c r="N141" s="99"/>
      <x:c r="O141" s="99" t="n">
        <x:v>0.3731466666666667</x:v>
      </x:c>
      <x:c r="P141" s="99" t="n">
        <x:v>0.04163122222222222</x:v>
      </x:c>
      <x:c r="Q141" s="99" t="n">
        <x:v>0.26775533333333335</x:v>
      </x:c>
      <x:c r="R141" s="99" t="n">
        <x:v>-0.03756777777777778</x:v>
      </x:c>
      <x:c r="S141" s="45"/>
      <x:c r="T141" s="45"/>
      <x:c r="U141" s="51" t="d">
        <x:v>2026-09-30T00:00:00.000Z</x:v>
      </x:c>
      <x:c r="V141" s="51" t="d">
        <x:v>2026-09-30T00:00:00.000Z</x:v>
      </x:c>
      <x:c r="W141" s="109" t="n">
        <x:v>9</x:v>
      </x:c>
      <x:c r="X141" s="109" t="n">
        <x:v>9</x:v>
      </x:c>
      <x:c r="Y141" s="45" t="str">
        <x:v>sbx-mex/Perfil_Tienda_DM</x:v>
      </x:c>
      <x:c r="Z141" s="45" t="str">
        <x:v>2a6b0d21379739482f0b4c7be9b0f9a022e15f5b</x:v>
      </x:c>
      <x:c r="AA141" s="45" t="str">
        <x:v>8456a41c5e02d454e70a2531577ffb2e29f73e57e44a7762de681d568aa4227a</x:v>
      </x:c>
    </x:row>
    <x:row r="142" ht="23" customHeight="1">
      <x:c r="A142" s="50" t="str">
        <x:v>38502</x:v>
      </x:c>
      <x:c r="B142" s="51" t="d">
        <x:v>2026-09-30T00:00:00.000Z</x:v>
      </x:c>
      <x:c r="C142" s="99" t="n">
        <x:v>0.4</x:v>
      </x:c>
      <x:c r="D142" s="100" t="n">
        <x:v>5.123117</x:v>
      </x:c>
      <x:c r="E142" s="100" t="n">
        <x:v>15.40846822222222</x:v>
      </x:c>
      <x:c r="F142" s="99" t="n">
        <x:v>0.13152722222222224</x:v>
      </x:c>
      <x:c r="G142" s="99" t="n">
        <x:v>-0.0016178888888888894</x:v>
      </x:c>
      <x:c r="H142" s="101" t="n">
        <x:v>17253851</x:v>
      </x:c>
      <x:c r="I142" s="99" t="n">
        <x:v>-0.07690307103539595</x:v>
      </x:c>
      <x:c r="J142" s="100" t="n">
        <x:v>-15.88888888888889</x:v>
      </x:c>
      <x:c r="K142" s="100"/>
      <x:c r="L142" s="99" t="n">
        <x:v>0.3894444444444444</x:v>
      </x:c>
      <x:c r="M142" s="99" t="n">
        <x:v>0.56</x:v>
      </x:c>
      <x:c r="N142" s="99"/>
      <x:c r="O142" s="99" t="n">
        <x:v>0.3740632222222222</x:v>
      </x:c>
      <x:c r="P142" s="99" t="n">
        <x:v>0.010514111111111106</x:v>
      </x:c>
      <x:c r="Q142" s="99" t="n">
        <x:v>0.192884</x:v>
      </x:c>
      <x:c r="R142" s="99" t="n">
        <x:v>-0.022464999999999995</x:v>
      </x:c>
      <x:c r="S142" s="45" t="str">
        <x:v>01:31</x:v>
      </x:c>
      <x:c r="T142" s="45" t="str">
        <x:v>01:18</x:v>
      </x:c>
      <x:c r="U142" s="51" t="d">
        <x:v>2026-09-30T00:00:00.000Z</x:v>
      </x:c>
      <x:c r="V142" s="51" t="d">
        <x:v>2026-09-30T00:00:00.000Z</x:v>
      </x:c>
      <x:c r="W142" s="109" t="n">
        <x:v>9</x:v>
      </x:c>
      <x:c r="X142" s="109" t="n">
        <x:v>9</x:v>
      </x:c>
      <x:c r="Y142" s="45" t="str">
        <x:v>sbx-mex/Perfil_Tienda_DM</x:v>
      </x:c>
      <x:c r="Z142" s="45" t="str">
        <x:v>2a6b0d21379739482f0b4c7be9b0f9a022e15f5b</x:v>
      </x:c>
      <x:c r="AA142" s="45" t="str">
        <x:v>8456a41c5e02d454e70a2531577ffb2e29f73e57e44a7762de681d568aa4227a</x:v>
      </x:c>
    </x:row>
    <x:row r="143" ht="23" customHeight="1">
      <x:c r="A143" s="50" t="str">
        <x:v>38594</x:v>
      </x:c>
      <x:c r="B143" s="51" t="d">
        <x:v>2026-09-30T00:00:00.000Z</x:v>
      </x:c>
      <x:c r="C143" s="99" t="n">
        <x:v>0.382166</x:v>
      </x:c>
      <x:c r="D143" s="100" t="n">
        <x:v>5.201983333333334</x:v>
      </x:c>
      <x:c r="E143" s="100" t="n">
        <x:v>14.247729999999999</x:v>
      </x:c>
      <x:c r="F143" s="99" t="n">
        <x:v>0.15672522222222224</x:v>
      </x:c>
      <x:c r="G143" s="99" t="n">
        <x:v>0.0026410000000000014</x:v>
      </x:c>
      <x:c r="H143" s="101" t="n">
        <x:v>14587434</x:v>
      </x:c>
      <x:c r="I143" s="99" t="n">
        <x:v>-0.027397174428892113</x:v>
      </x:c>
      <x:c r="J143" s="100" t="n">
        <x:v>2.6666666666666665</x:v>
      </x:c>
      <x:c r="K143" s="100"/>
      <x:c r="L143" s="99" t="n">
        <x:v>0.5825555555555556</x:v>
      </x:c>
      <x:c r="M143" s="99" t="n">
        <x:v>0.6944444444444444</x:v>
      </x:c>
      <x:c r="N143" s="99"/>
      <x:c r="O143" s="99" t="n">
        <x:v>0.3563221111111111</x:v>
      </x:c>
      <x:c r="P143" s="99" t="n">
        <x:v>-0.040682</x:v>
      </x:c>
      <x:c r="Q143" s="99" t="n">
        <x:v>0.235748</x:v>
      </x:c>
      <x:c r="R143" s="99" t="n">
        <x:v>0.07302633333333335</x:v>
      </x:c>
      <x:c r="S143" s="45" t="str">
        <x:v>01:44</x:v>
      </x:c>
      <x:c r="T143" s="45" t="str">
        <x:v>01:23</x:v>
      </x:c>
      <x:c r="U143" s="51" t="d">
        <x:v>2026-09-30T00:00:00.000Z</x:v>
      </x:c>
      <x:c r="V143" s="51" t="d">
        <x:v>2026-09-30T00:00:00.000Z</x:v>
      </x:c>
      <x:c r="W143" s="109" t="n">
        <x:v>9</x:v>
      </x:c>
      <x:c r="X143" s="109" t="n">
        <x:v>9</x:v>
      </x:c>
      <x:c r="Y143" s="45" t="str">
        <x:v>sbx-mex/Perfil_Tienda_DM</x:v>
      </x:c>
      <x:c r="Z143" s="45" t="str">
        <x:v>2a6b0d21379739482f0b4c7be9b0f9a022e15f5b</x:v>
      </x:c>
      <x:c r="AA143" s="45" t="str">
        <x:v>8456a41c5e02d454e70a2531577ffb2e29f73e57e44a7762de681d568aa4227a</x:v>
      </x:c>
    </x:row>
    <x:row r="144" ht="23" customHeight="1">
      <x:c r="A144" s="50" t="str">
        <x:v>38657</x:v>
      </x:c>
      <x:c r="B144" s="51" t="d">
        <x:v>2026-09-30T00:00:00.000Z</x:v>
      </x:c>
      <x:c r="C144" s="99" t="n">
        <x:v>0.816327</x:v>
      </x:c>
      <x:c r="D144" s="100" t="n">
        <x:v>6.785618333333334</x:v>
      </x:c>
      <x:c r="E144" s="100" t="n">
        <x:v>15.764685222222223</x:v>
      </x:c>
      <x:c r="F144" s="99" t="n">
        <x:v>0.15273677777777778</x:v>
      </x:c>
      <x:c r="G144" s="99" t="n">
        <x:v>0.0013473333333333362</x:v>
      </x:c>
      <x:c r="H144" s="101" t="n">
        <x:v>13308311</x:v>
      </x:c>
      <x:c r="I144" s="99" t="n">
        <x:v>-0.05224704691464399</x:v>
      </x:c>
      <x:c r="J144" s="100" t="n">
        <x:v>0.3333333333333333</x:v>
      </x:c>
      <x:c r="K144" s="100"/>
      <x:c r="L144" s="99" t="n">
        <x:v>0.508</x:v>
      </x:c>
      <x:c r="M144" s="99" t="n">
        <x:v>0.6333333333333333</x:v>
      </x:c>
      <x:c r="N144" s="99"/>
      <x:c r="O144" s="99" t="n">
        <x:v>0.3887733333333333</x:v>
      </x:c>
      <x:c r="P144" s="99" t="n">
        <x:v>0.04122544444444445</x:v>
      </x:c>
      <x:c r="Q144" s="99" t="n">
        <x:v>0.14638</x:v>
      </x:c>
      <x:c r="R144" s="99" t="n">
        <x:v>0.02402322222222222</x:v>
      </x:c>
      <x:c r="S144" s="45"/>
      <x:c r="T144" s="45"/>
      <x:c r="U144" s="51" t="d">
        <x:v>2026-09-30T00:00:00.000Z</x:v>
      </x:c>
      <x:c r="V144" s="51" t="d">
        <x:v>2026-09-30T00:00:00.000Z</x:v>
      </x:c>
      <x:c r="W144" s="109" t="n">
        <x:v>9</x:v>
      </x:c>
      <x:c r="X144" s="109" t="n">
        <x:v>9</x:v>
      </x:c>
      <x:c r="Y144" s="45" t="str">
        <x:v>sbx-mex/Perfil_Tienda_DM</x:v>
      </x:c>
      <x:c r="Z144" s="45" t="str">
        <x:v>2a6b0d21379739482f0b4c7be9b0f9a022e15f5b</x:v>
      </x:c>
      <x:c r="AA144" s="45" t="str">
        <x:v>8456a41c5e02d454e70a2531577ffb2e29f73e57e44a7762de681d568aa4227a</x:v>
      </x:c>
    </x:row>
    <x:row r="145" ht="23" customHeight="1">
      <x:c r="A145" s="50" t="str">
        <x:v>38659</x:v>
      </x:c>
      <x:c r="B145" s="51" t="d">
        <x:v>2026-09-30T00:00:00.000Z</x:v>
      </x:c>
      <x:c r="C145" s="99" t="n">
        <x:v>0.586957</x:v>
      </x:c>
      <x:c r="D145" s="100" t="n">
        <x:v>7.196136</x:v>
      </x:c>
      <x:c r="E145" s="100" t="n">
        <x:v>18.768961</x:v>
      </x:c>
      <x:c r="F145" s="99" t="n">
        <x:v>0.10781155555555556</x:v>
      </x:c>
      <x:c r="G145" s="99" t="n">
        <x:v>-0.016910555555555554</x:v>
      </x:c>
      <x:c r="H145" s="101" t="n">
        <x:v>22395754</x:v>
      </x:c>
      <x:c r="I145" s="99" t="n">
        <x:v>-0.031118795738037885</x:v>
      </x:c>
      <x:c r="J145" s="100" t="n">
        <x:v>-40.77777777777778</x:v>
      </x:c>
      <x:c r="K145" s="100"/>
      <x:c r="L145" s="99" t="n">
        <x:v>0.4794444444444445</x:v>
      </x:c>
      <x:c r="M145" s="99" t="n">
        <x:v>0.6166666666666667</x:v>
      </x:c>
      <x:c r="N145" s="99"/>
      <x:c r="O145" s="99" t="n">
        <x:v>0.3528871111111111</x:v>
      </x:c>
      <x:c r="P145" s="99" t="n">
        <x:v>-0.34459233333333333</x:v>
      </x:c>
      <x:c r="Q145" s="99" t="n">
        <x:v>0.32813944444444443</x:v>
      </x:c>
      <x:c r="R145" s="99" t="n">
        <x:v>0.3558737777777778</x:v>
      </x:c>
      <x:c r="S145" s="45"/>
      <x:c r="T145" s="45"/>
      <x:c r="U145" s="51" t="d">
        <x:v>2026-09-30T00:00:00.000Z</x:v>
      </x:c>
      <x:c r="V145" s="51" t="d">
        <x:v>2026-09-30T00:00:00.000Z</x:v>
      </x:c>
      <x:c r="W145" s="109" t="n">
        <x:v>9</x:v>
      </x:c>
      <x:c r="X145" s="109" t="n">
        <x:v>9</x:v>
      </x:c>
      <x:c r="Y145" s="45" t="str">
        <x:v>sbx-mex/Perfil_Tienda_DM</x:v>
      </x:c>
      <x:c r="Z145" s="45" t="str">
        <x:v>2a6b0d21379739482f0b4c7be9b0f9a022e15f5b</x:v>
      </x:c>
      <x:c r="AA145" s="45" t="str">
        <x:v>8456a41c5e02d454e70a2531577ffb2e29f73e57e44a7762de681d568aa4227a</x:v>
      </x:c>
    </x:row>
    <x:row r="146" ht="23" customHeight="1">
      <x:c r="A146" s="50" t="str">
        <x:v>38800</x:v>
      </x:c>
      <x:c r="B146" s="51" t="d">
        <x:v>2026-09-30T00:00:00.000Z</x:v>
      </x:c>
      <x:c r="C146" s="99" t="n">
        <x:v>0.238411</x:v>
      </x:c>
      <x:c r="D146" s="100" t="n">
        <x:v>6.728913333333334</x:v>
      </x:c>
      <x:c r="E146" s="100" t="n">
        <x:v>16.176885444444444</x:v>
      </x:c>
      <x:c r="F146" s="99" t="n">
        <x:v>0.14382455555555557</x:v>
      </x:c>
      <x:c r="G146" s="99" t="n">
        <x:v>0.011509333333333337</x:v>
      </x:c>
      <x:c r="H146" s="101" t="n">
        <x:v>14498799</x:v>
      </x:c>
      <x:c r="I146" s="99" t="n">
        <x:v>-0.08077005541361537</x:v>
      </x:c>
      <x:c r="J146" s="100" t="n">
        <x:v>3.111111111111111</x:v>
      </x:c>
      <x:c r="K146" s="100"/>
      <x:c r="L146" s="99" t="n">
        <x:v>0.539</x:v>
      </x:c>
      <x:c r="M146" s="99" t="n">
        <x:v>0.68</x:v>
      </x:c>
      <x:c r="N146" s="99"/>
      <x:c r="O146" s="99" t="n">
        <x:v>0.36187544444444447</x:v>
      </x:c>
      <x:c r="P146" s="99" t="n">
        <x:v>0.04003466666666666</x:v>
      </x:c>
      <x:c r="Q146" s="99" t="n">
        <x:v>0.19261022222222224</x:v>
      </x:c>
      <x:c r="R146" s="99" t="n">
        <x:v>-0.06634377777777778</x:v>
      </x:c>
      <x:c r="S146" s="45"/>
      <x:c r="T146" s="45"/>
      <x:c r="U146" s="51" t="d">
        <x:v>2026-09-30T00:00:00.000Z</x:v>
      </x:c>
      <x:c r="V146" s="51" t="d">
        <x:v>2026-09-30T00:00:00.000Z</x:v>
      </x:c>
      <x:c r="W146" s="109" t="n">
        <x:v>9</x:v>
      </x:c>
      <x:c r="X146" s="109" t="n">
        <x:v>9</x:v>
      </x:c>
      <x:c r="Y146" s="45" t="str">
        <x:v>sbx-mex/Perfil_Tienda_DM</x:v>
      </x:c>
      <x:c r="Z146" s="45" t="str">
        <x:v>2a6b0d21379739482f0b4c7be9b0f9a022e15f5b</x:v>
      </x:c>
      <x:c r="AA146" s="45" t="str">
        <x:v>8456a41c5e02d454e70a2531577ffb2e29f73e57e44a7762de681d568aa4227a</x:v>
      </x:c>
    </x:row>
    <x:row r="147" ht="23" customHeight="1">
      <x:c r="A147" s="50" t="str">
        <x:v>38801</x:v>
      </x:c>
      <x:c r="B147" s="51" t="d">
        <x:v>2026-09-30T00:00:00.000Z</x:v>
      </x:c>
      <x:c r="C147" s="99" t="n">
        <x:v>0.449198</x:v>
      </x:c>
      <x:c r="D147" s="100" t="n">
        <x:v>6.317208888888889</x:v>
      </x:c>
      <x:c r="E147" s="100" t="n">
        <x:v>15.563480444444444</x:v>
      </x:c>
      <x:c r="F147" s="99" t="n">
        <x:v>0.14296833333333334</x:v>
      </x:c>
      <x:c r="G147" s="99" t="n">
        <x:v>0.0008776666666666655</x:v>
      </x:c>
      <x:c r="H147" s="101" t="n">
        <x:v>17907522</x:v>
      </x:c>
      <x:c r="I147" s="99" t="n">
        <x:v>-0.04529527570448144</x:v>
      </x:c>
      <x:c r="J147" s="100" t="n">
        <x:v>-7.333333333333333</x:v>
      </x:c>
      <x:c r="K147" s="100"/>
      <x:c r="L147" s="99" t="n">
        <x:v>0.4664444444444445</x:v>
      </x:c>
      <x:c r="M147" s="99" t="n">
        <x:v>0.5988888888888888</x:v>
      </x:c>
      <x:c r="N147" s="99"/>
      <x:c r="O147" s="99" t="n">
        <x:v>0.3780657777777778</x:v>
      </x:c>
      <x:c r="P147" s="99" t="n">
        <x:v>0.04151477777777776</x:v>
      </x:c>
      <x:c r="Q147" s="99" t="n">
        <x:v>0.2110466666666667</x:v>
      </x:c>
      <x:c r="R147" s="99" t="n">
        <x:v>-0.054299999999999994</x:v>
      </x:c>
      <x:c r="S147" s="45"/>
      <x:c r="T147" s="45"/>
      <x:c r="U147" s="51" t="d">
        <x:v>2026-09-30T00:00:00.000Z</x:v>
      </x:c>
      <x:c r="V147" s="51" t="d">
        <x:v>2026-09-30T00:00:00.000Z</x:v>
      </x:c>
      <x:c r="W147" s="109" t="n">
        <x:v>9</x:v>
      </x:c>
      <x:c r="X147" s="109" t="n">
        <x:v>9</x:v>
      </x:c>
      <x:c r="Y147" s="45" t="str">
        <x:v>sbx-mex/Perfil_Tienda_DM</x:v>
      </x:c>
      <x:c r="Z147" s="45" t="str">
        <x:v>2a6b0d21379739482f0b4c7be9b0f9a022e15f5b</x:v>
      </x:c>
      <x:c r="AA147" s="45" t="str">
        <x:v>8456a41c5e02d454e70a2531577ffb2e29f73e57e44a7762de681d568aa4227a</x:v>
      </x:c>
    </x:row>
    <x:row r="148" ht="23" customHeight="1">
      <x:c r="A148" s="50" t="str">
        <x:v>38855</x:v>
      </x:c>
      <x:c r="B148" s="51" t="d">
        <x:v>2026-09-30T00:00:00.000Z</x:v>
      </x:c>
      <x:c r="C148" s="99" t="n">
        <x:v>0.548571</x:v>
      </x:c>
      <x:c r="D148" s="100" t="n">
        <x:v>6.411907555555556</x:v>
      </x:c>
      <x:c r="E148" s="100" t="n">
        <x:v>16.120461555555558</x:v>
      </x:c>
      <x:c r="F148" s="99" t="n">
        <x:v>0.13759222222222223</x:v>
      </x:c>
      <x:c r="G148" s="99" t="n">
        <x:v>-0.012454999999999997</x:v>
      </x:c>
      <x:c r="H148" s="101" t="n">
        <x:v>18579630</x:v>
      </x:c>
      <x:c r="I148" s="99" t="n">
        <x:v>0.017882720252498707</x:v>
      </x:c>
      <x:c r="J148" s="100" t="n">
        <x:v>9.222222222222221</x:v>
      </x:c>
      <x:c r="K148" s="100"/>
      <x:c r="L148" s="99" t="n">
        <x:v>0.5766666666666667</x:v>
      </x:c>
      <x:c r="M148" s="99" t="n">
        <x:v>0.6366666666666667</x:v>
      </x:c>
      <x:c r="N148" s="99"/>
      <x:c r="O148" s="99" t="n">
        <x:v>0.36013333333333336</x:v>
      </x:c>
      <x:c r="P148" s="99" t="n">
        <x:v>0.021841555555555565</x:v>
      </x:c>
      <x:c r="Q148" s="99" t="n">
        <x:v>0.211306</x:v>
      </x:c>
      <x:c r="R148" s="99" t="n">
        <x:v>-0.006378666666666668</x:v>
      </x:c>
      <x:c r="S148" s="45" t="str">
        <x:v>02:15</x:v>
      </x:c>
      <x:c r="T148" s="45" t="str">
        <x:v>01:54</x:v>
      </x:c>
      <x:c r="U148" s="51" t="d">
        <x:v>2026-09-30T00:00:00.000Z</x:v>
      </x:c>
      <x:c r="V148" s="51" t="d">
        <x:v>2026-09-30T00:00:00.000Z</x:v>
      </x:c>
      <x:c r="W148" s="109" t="n">
        <x:v>9</x:v>
      </x:c>
      <x:c r="X148" s="109" t="n">
        <x:v>9</x:v>
      </x:c>
      <x:c r="Y148" s="45" t="str">
        <x:v>sbx-mex/Perfil_Tienda_DM</x:v>
      </x:c>
      <x:c r="Z148" s="45" t="str">
        <x:v>2a6b0d21379739482f0b4c7be9b0f9a022e15f5b</x:v>
      </x:c>
      <x:c r="AA148" s="45" t="str">
        <x:v>8456a41c5e02d454e70a2531577ffb2e29f73e57e44a7762de681d568aa4227a</x:v>
      </x:c>
    </x:row>
    <x:row r="149" ht="23" customHeight="1">
      <x:c r="A149" s="50" t="str">
        <x:v>43026</x:v>
      </x:c>
      <x:c r="B149" s="51" t="d">
        <x:v>2026-09-30T00:00:00.000Z</x:v>
      </x:c>
      <x:c r="C149" s="99" t="n">
        <x:v>0.068571</x:v>
      </x:c>
      <x:c r="D149" s="100" t="n">
        <x:v>6.514124555555556</x:v>
      </x:c>
      <x:c r="E149" s="100" t="n">
        <x:v>16.08021911111111</x:v>
      </x:c>
      <x:c r="F149" s="99" t="n">
        <x:v>0.13507533333333333</x:v>
      </x:c>
      <x:c r="G149" s="99" t="n">
        <x:v>-0.0009064444444444428</x:v>
      </x:c>
      <x:c r="H149" s="101" t="n">
        <x:v>17548636</x:v>
      </x:c>
      <x:c r="I149" s="99" t="n">
        <x:v>-0.03522206591696497</x:v>
      </x:c>
      <x:c r="J149" s="100" t="n">
        <x:v>-32.22222222222222</x:v>
      </x:c>
      <x:c r="K149" s="100"/>
      <x:c r="L149" s="99" t="n">
        <x:v>0.5152222222222222</x:v>
      </x:c>
      <x:c r="M149" s="99" t="n">
        <x:v>0.6522222222222223</x:v>
      </x:c>
      <x:c r="N149" s="99"/>
      <x:c r="O149" s="99" t="n">
        <x:v>0.3671831111111111</x:v>
      </x:c>
      <x:c r="P149" s="99" t="n">
        <x:v>0.03322233333333335</x:v>
      </x:c>
      <x:c r="Q149" s="99" t="n">
        <x:v>0.2295192222222222</x:v>
      </x:c>
      <x:c r="R149" s="99" t="n">
        <x:v>-0.005737777777777774</x:v>
      </x:c>
      <x:c r="S149" s="45"/>
      <x:c r="T149" s="45" t="str">
        <x:v>01:33</x:v>
      </x:c>
      <x:c r="U149" s="51" t="d">
        <x:v>2026-09-30T00:00:00.000Z</x:v>
      </x:c>
      <x:c r="V149" s="51" t="d">
        <x:v>2026-09-30T00:00:00.000Z</x:v>
      </x:c>
      <x:c r="W149" s="109" t="n">
        <x:v>9</x:v>
      </x:c>
      <x:c r="X149" s="109" t="n">
        <x:v>9</x:v>
      </x:c>
      <x:c r="Y149" s="45" t="str">
        <x:v>sbx-mex/Perfil_Tienda_DM</x:v>
      </x:c>
      <x:c r="Z149" s="45" t="str">
        <x:v>2a6b0d21379739482f0b4c7be9b0f9a022e15f5b</x:v>
      </x:c>
      <x:c r="AA149" s="45" t="str">
        <x:v>8456a41c5e02d454e70a2531577ffb2e29f73e57e44a7762de681d568aa4227a</x:v>
      </x:c>
    </x:row>
    <x:row r="150" ht="23" customHeight="1">
      <x:c r="A150" s="50" t="str">
        <x:v>43163</x:v>
      </x:c>
      <x:c r="B150" s="51" t="d">
        <x:v>2026-09-30T00:00:00.000Z</x:v>
      </x:c>
      <x:c r="C150" s="99" t="n">
        <x:v>0.214286</x:v>
      </x:c>
      <x:c r="D150" s="100" t="n">
        <x:v>5.309612111111111</x:v>
      </x:c>
      <x:c r="E150" s="100" t="n">
        <x:v>14.040721777777778</x:v>
      </x:c>
      <x:c r="F150" s="99" t="n">
        <x:v>0.158815</x:v>
      </x:c>
      <x:c r="G150" s="99" t="n">
        <x:v>-0.015498000000000003</x:v>
      </x:c>
      <x:c r="H150" s="101" t="n">
        <x:v>15682971</x:v>
      </x:c>
      <x:c r="I150" s="99" t="n">
        <x:v>0.050281176187064514</x:v>
      </x:c>
      <x:c r="J150" s="100"/>
      <x:c r="K150" s="100"/>
      <x:c r="L150" s="99" t="n">
        <x:v>0.5941111111111111</x:v>
      </x:c>
      <x:c r="M150" s="99" t="n">
        <x:v>0.7222222222222222</x:v>
      </x:c>
      <x:c r="N150" s="99"/>
      <x:c r="O150" s="99" t="n">
        <x:v>0.34600233333333336</x:v>
      </x:c>
      <x:c r="P150" s="99" t="n">
        <x:v>0.011104222222222213</x:v>
      </x:c>
      <x:c r="Q150" s="99" t="n">
        <x:v>0.2527566666666667</x:v>
      </x:c>
      <x:c r="R150" s="99" t="n">
        <x:v>-0.03461633333333334</x:v>
      </x:c>
      <x:c r="S150" s="45" t="str">
        <x:v>01:21</x:v>
      </x:c>
      <x:c r="T150" s="45"/>
      <x:c r="U150" s="51" t="d">
        <x:v>2026-09-30T00:00:00.000Z</x:v>
      </x:c>
      <x:c r="V150" s="51" t="d">
        <x:v>2026-09-30T00:00:00.000Z</x:v>
      </x:c>
      <x:c r="W150" s="109" t="n">
        <x:v>9</x:v>
      </x:c>
      <x:c r="X150" s="109" t="n">
        <x:v>9</x:v>
      </x:c>
      <x:c r="Y150" s="45" t="str">
        <x:v>sbx-mex/Perfil_Tienda_DM</x:v>
      </x:c>
      <x:c r="Z150" s="45" t="str">
        <x:v>2a6b0d21379739482f0b4c7be9b0f9a022e15f5b</x:v>
      </x:c>
      <x:c r="AA150" s="45" t="str">
        <x:v>8456a41c5e02d454e70a2531577ffb2e29f73e57e44a7762de681d568aa4227a</x:v>
      </x:c>
    </x:row>
    <x:row r="151" ht="23" customHeight="1">
      <x:c r="A151" s="50" t="str">
        <x:v>43169</x:v>
      </x:c>
      <x:c r="B151" s="51" t="d">
        <x:v>2026-09-30T00:00:00.000Z</x:v>
      </x:c>
      <x:c r="C151" s="99" t="n">
        <x:v>0.068966</x:v>
      </x:c>
      <x:c r="D151" s="100" t="n">
        <x:v>6.558372111111111</x:v>
      </x:c>
      <x:c r="E151" s="100" t="n">
        <x:v>16.970662666666666</x:v>
      </x:c>
      <x:c r="F151" s="99" t="n">
        <x:v>0.11753866666666665</x:v>
      </x:c>
      <x:c r="G151" s="99" t="n">
        <x:v>0.018836</x:v>
      </x:c>
      <x:c r="H151" s="101" t="n">
        <x:v>20191344</x:v>
      </x:c>
      <x:c r="I151" s="99" t="n">
        <x:v>0.027010411084587238</x:v>
      </x:c>
      <x:c r="J151" s="100" t="n">
        <x:v>37</x:v>
      </x:c>
      <x:c r="K151" s="100"/>
      <x:c r="L151" s="99" t="n">
        <x:v>0.5867777777777777</x:v>
      </x:c>
      <x:c r="M151" s="99" t="n">
        <x:v>0.6477777777777778</x:v>
      </x:c>
      <x:c r="N151" s="99"/>
      <x:c r="O151" s="99" t="n">
        <x:v>0.3374751111111111</x:v>
      </x:c>
      <x:c r="P151" s="99" t="n">
        <x:v>0.024128444444444435</x:v>
      </x:c>
      <x:c r="Q151" s="99" t="n">
        <x:v>0.3303083333333333</x:v>
      </x:c>
      <x:c r="R151" s="99" t="n">
        <x:v>-0.0999977777777778</x:v>
      </x:c>
      <x:c r="S151" s="45"/>
      <x:c r="T151" s="45"/>
      <x:c r="U151" s="51" t="d">
        <x:v>2026-09-30T00:00:00.000Z</x:v>
      </x:c>
      <x:c r="V151" s="51" t="d">
        <x:v>2026-09-30T00:00:00.000Z</x:v>
      </x:c>
      <x:c r="W151" s="109" t="n">
        <x:v>9</x:v>
      </x:c>
      <x:c r="X151" s="109" t="n">
        <x:v>9</x:v>
      </x:c>
      <x:c r="Y151" s="45" t="str">
        <x:v>sbx-mex/Perfil_Tienda_DM</x:v>
      </x:c>
      <x:c r="Z151" s="45" t="str">
        <x:v>2a6b0d21379739482f0b4c7be9b0f9a022e15f5b</x:v>
      </x:c>
      <x:c r="AA151" s="45" t="str">
        <x:v>8456a41c5e02d454e70a2531577ffb2e29f73e57e44a7762de681d568aa4227a</x:v>
      </x:c>
    </x:row>
    <x:row r="152" ht="23" customHeight="1">
      <x:c r="A152" s="50" t="str">
        <x:v>38134</x:v>
      </x:c>
      <x:c r="B152" s="51" t="d">
        <x:v>2026-09-30T00:00:00.000Z</x:v>
      </x:c>
      <x:c r="C152" s="99" t="n">
        <x:v>0.484848</x:v>
      </x:c>
      <x:c r="D152" s="100" t="n">
        <x:v>7.639938444444444</x:v>
      </x:c>
      <x:c r="E152" s="100" t="n">
        <x:v>16.39864222222222</x:v>
      </x:c>
      <x:c r="F152" s="99" t="n">
        <x:v>0.14942511111111112</x:v>
      </x:c>
      <x:c r="G152" s="99" t="n">
        <x:v>0.016571555555555555</x:v>
      </x:c>
      <x:c r="H152" s="101" t="n">
        <x:v>26719348</x:v>
      </x:c>
      <x:c r="I152" s="99" t="n">
        <x:v>-0.1532504268032554</x:v>
      </x:c>
      <x:c r="J152" s="100" t="n">
        <x:v>-20.11111111111111</x:v>
      </x:c>
      <x:c r="K152" s="100"/>
      <x:c r="L152" s="99" t="n">
        <x:v>0.37611111111111106</x:v>
      </x:c>
      <x:c r="M152" s="99" t="n">
        <x:v>0.581111111111111</x:v>
      </x:c>
      <x:c r="N152" s="99"/>
      <x:c r="O152" s="99" t="n">
        <x:v>0.3808041111111111</x:v>
      </x:c>
      <x:c r="P152" s="99" t="n">
        <x:v>0.031014666666666666</x:v>
      </x:c>
      <x:c r="Q152" s="99" t="n">
        <x:v>0.24179377777777777</x:v>
      </x:c>
      <x:c r="R152" s="99" t="n">
        <x:v>-0.06034222222222222</x:v>
      </x:c>
      <x:c r="S152" s="45" t="str">
        <x:v>01:44</x:v>
      </x:c>
      <x:c r="T152" s="45" t="str">
        <x:v>01:37</x:v>
      </x:c>
      <x:c r="U152" s="51" t="d">
        <x:v>2026-09-30T00:00:00.000Z</x:v>
      </x:c>
      <x:c r="V152" s="51" t="d">
        <x:v>2026-09-30T00:00:00.000Z</x:v>
      </x:c>
      <x:c r="W152" s="109" t="n">
        <x:v>9</x:v>
      </x:c>
      <x:c r="X152" s="109" t="n">
        <x:v>9</x:v>
      </x:c>
      <x:c r="Y152" s="45" t="str">
        <x:v>sbx-mex/Perfil_Tienda_DM</x:v>
      </x:c>
      <x:c r="Z152" s="45" t="str">
        <x:v>2a6b0d21379739482f0b4c7be9b0f9a022e15f5b</x:v>
      </x:c>
      <x:c r="AA152" s="45" t="str">
        <x:v>8456a41c5e02d454e70a2531577ffb2e29f73e57e44a7762de681d568aa4227a</x:v>
      </x:c>
    </x:row>
    <x:row r="153" ht="23" customHeight="1">
      <x:c r="A153" s="50" t="str">
        <x:v>38260</x:v>
      </x:c>
      <x:c r="B153" s="51" t="d">
        <x:v>2026-09-30T00:00:00.000Z</x:v>
      </x:c>
      <x:c r="C153" s="99" t="n">
        <x:v>0.41958</x:v>
      </x:c>
      <x:c r="D153" s="100" t="n">
        <x:v>6.456813666666666</x:v>
      </x:c>
      <x:c r="E153" s="100" t="n">
        <x:v>13.768124444444444</x:v>
      </x:c>
      <x:c r="F153" s="99" t="n">
        <x:v>0.1682778888888889</x:v>
      </x:c>
      <x:c r="G153" s="99" t="n">
        <x:v>0.011572222222222222</x:v>
      </x:c>
      <x:c r="H153" s="101" t="n">
        <x:v>11756712</x:v>
      </x:c>
      <x:c r="I153" s="99" t="n">
        <x:v>-0.22754125654593016</x:v>
      </x:c>
      <x:c r="J153" s="100" t="n">
        <x:v>-49.111111111111114</x:v>
      </x:c>
      <x:c r="K153" s="100"/>
      <x:c r="L153" s="99" t="n">
        <x:v>0.5298888888888889</x:v>
      </x:c>
      <x:c r="M153" s="99" t="n">
        <x:v>0.6033333333333333</x:v>
      </x:c>
      <x:c r="N153" s="99"/>
      <x:c r="O153" s="99" t="n">
        <x:v>0.42900733333333335</x:v>
      </x:c>
      <x:c r="P153" s="99" t="n">
        <x:v>0.05470444444444445</x:v>
      </x:c>
      <x:c r="Q153" s="99" t="n">
        <x:v>0.09027444444444445</x:v>
      </x:c>
      <x:c r="R153" s="99" t="n">
        <x:v>-0.09903755555555556</x:v>
      </x:c>
      <x:c r="S153" s="45"/>
      <x:c r="T153" s="45"/>
      <x:c r="U153" s="51" t="d">
        <x:v>2026-09-30T00:00:00.000Z</x:v>
      </x:c>
      <x:c r="V153" s="51" t="d">
        <x:v>2026-09-30T00:00:00.000Z</x:v>
      </x:c>
      <x:c r="W153" s="109" t="n">
        <x:v>9</x:v>
      </x:c>
      <x:c r="X153" s="109" t="n">
        <x:v>9</x:v>
      </x:c>
      <x:c r="Y153" s="45" t="str">
        <x:v>sbx-mex/Perfil_Tienda_DM</x:v>
      </x:c>
      <x:c r="Z153" s="45" t="str">
        <x:v>2a6b0d21379739482f0b4c7be9b0f9a022e15f5b</x:v>
      </x:c>
      <x:c r="AA153" s="45" t="str">
        <x:v>8456a41c5e02d454e70a2531577ffb2e29f73e57e44a7762de681d568aa4227a</x:v>
      </x:c>
    </x:row>
    <x:row r="154" ht="23" customHeight="1">
      <x:c r="A154" s="50" t="str">
        <x:v>38340</x:v>
      </x:c>
      <x:c r="B154" s="51" t="d">
        <x:v>2026-09-30T00:00:00.000Z</x:v>
      </x:c>
      <x:c r="C154" s="99" t="n">
        <x:v>0.685714</x:v>
      </x:c>
      <x:c r="D154" s="100" t="n">
        <x:v>6.943176444444444</x:v>
      </x:c>
      <x:c r="E154" s="100" t="n">
        <x:v>16.02644411111111</x:v>
      </x:c>
      <x:c r="F154" s="99" t="n">
        <x:v>0.16290811111111111</x:v>
      </x:c>
      <x:c r="G154" s="99" t="n">
        <x:v>-0.012030777777777776</x:v>
      </x:c>
      <x:c r="H154" s="101" t="n">
        <x:v>11990395</x:v>
      </x:c>
      <x:c r="I154" s="99" t="n">
        <x:v>0.029766656739836916</x:v>
      </x:c>
      <x:c r="J154" s="100" t="n">
        <x:v>0.6666666666666666</x:v>
      </x:c>
      <x:c r="K154" s="100"/>
      <x:c r="L154" s="99" t="n">
        <x:v>0.47244444444444444</x:v>
      </x:c>
      <x:c r="M154" s="99" t="n">
        <x:v>0.5566666666666666</x:v>
      </x:c>
      <x:c r="N154" s="99"/>
      <x:c r="O154" s="99" t="n">
        <x:v>0.4087798888888889</x:v>
      </x:c>
      <x:c r="P154" s="99" t="n">
        <x:v>0.06166566666666667</x:v>
      </x:c>
      <x:c r="Q154" s="99" t="n">
        <x:v>0.06833588888888889</x:v>
      </x:c>
      <x:c r="R154" s="99" t="n">
        <x:v>-0.027183555555555558</x:v>
      </x:c>
      <x:c r="S154" s="45"/>
      <x:c r="T154" s="45"/>
      <x:c r="U154" s="51" t="d">
        <x:v>2026-09-30T00:00:00.000Z</x:v>
      </x:c>
      <x:c r="V154" s="51" t="d">
        <x:v>2026-09-30T00:00:00.000Z</x:v>
      </x:c>
      <x:c r="W154" s="109" t="n">
        <x:v>9</x:v>
      </x:c>
      <x:c r="X154" s="109" t="n">
        <x:v>9</x:v>
      </x:c>
      <x:c r="Y154" s="45" t="str">
        <x:v>sbx-mex/Perfil_Tienda_DM</x:v>
      </x:c>
      <x:c r="Z154" s="45" t="str">
        <x:v>2a6b0d21379739482f0b4c7be9b0f9a022e15f5b</x:v>
      </x:c>
      <x:c r="AA154" s="45" t="str">
        <x:v>8456a41c5e02d454e70a2531577ffb2e29f73e57e44a7762de681d568aa4227a</x:v>
      </x:c>
    </x:row>
    <x:row r="155" ht="23" customHeight="1">
      <x:c r="A155" s="50" t="str">
        <x:v>38464</x:v>
      </x:c>
      <x:c r="B155" s="51" t="d">
        <x:v>2026-09-30T00:00:00.000Z</x:v>
      </x:c>
      <x:c r="C155" s="99" t="n">
        <x:v>0.205128</x:v>
      </x:c>
      <x:c r="D155" s="100" t="n">
        <x:v>5.3125800000000005</x:v>
      </x:c>
      <x:c r="E155" s="100" t="n">
        <x:v>11.616634444444445</x:v>
      </x:c>
      <x:c r="F155" s="99" t="n">
        <x:v>0.21669877777777777</x:v>
      </x:c>
      <x:c r="G155" s="99" t="n">
        <x:v>-0.0006405555555555547</x:v>
      </x:c>
      <x:c r="H155" s="101" t="n">
        <x:v>8531802</x:v>
      </x:c>
      <x:c r="I155" s="99" t="n">
        <x:v>-0.05214891515392517</x:v>
      </x:c>
      <x:c r="J155" s="100" t="n">
        <x:v>-9.444444444444445</x:v>
      </x:c>
      <x:c r="K155" s="100"/>
      <x:c r="L155" s="99" t="n">
        <x:v>0.6968888888888889</x:v>
      </x:c>
      <x:c r="M155" s="99" t="n">
        <x:v>0.7522222222222221</x:v>
      </x:c>
      <x:c r="N155" s="99"/>
      <x:c r="O155" s="99" t="n">
        <x:v>0.4178036666666667</x:v>
      </x:c>
      <x:c r="P155" s="99" t="n">
        <x:v>0.04026922222222223</x:v>
      </x:c>
      <x:c r="Q155" s="99" t="n">
        <x:v>0.06382166666666667</x:v>
      </x:c>
      <x:c r="R155" s="99" t="n">
        <x:v>-0.036797555555555556</x:v>
      </x:c>
      <x:c r="S155" s="45"/>
      <x:c r="T155" s="45"/>
      <x:c r="U155" s="51" t="d">
        <x:v>2026-09-30T00:00:00.000Z</x:v>
      </x:c>
      <x:c r="V155" s="51" t="d">
        <x:v>2026-09-30T00:00:00.000Z</x:v>
      </x:c>
      <x:c r="W155" s="109" t="n">
        <x:v>9</x:v>
      </x:c>
      <x:c r="X155" s="109" t="n">
        <x:v>9</x:v>
      </x:c>
      <x:c r="Y155" s="45" t="str">
        <x:v>sbx-mex/Perfil_Tienda_DM</x:v>
      </x:c>
      <x:c r="Z155" s="45" t="str">
        <x:v>2a6b0d21379739482f0b4c7be9b0f9a022e15f5b</x:v>
      </x:c>
      <x:c r="AA155" s="45" t="str">
        <x:v>8456a41c5e02d454e70a2531577ffb2e29f73e57e44a7762de681d568aa4227a</x:v>
      </x:c>
    </x:row>
    <x:row r="156" ht="23" customHeight="1">
      <x:c r="A156" s="50" t="str">
        <x:v>38482</x:v>
      </x:c>
      <x:c r="B156" s="51" t="d">
        <x:v>2026-09-30T00:00:00.000Z</x:v>
      </x:c>
      <x:c r="C156" s="99" t="n">
        <x:v>0.255319</x:v>
      </x:c>
      <x:c r="D156" s="100" t="n">
        <x:v>7.127097</x:v>
      </x:c>
      <x:c r="E156" s="100" t="n">
        <x:v>14.561391444444446</x:v>
      </x:c>
      <x:c r="F156" s="99" t="n">
        <x:v>0.16369066666666668</x:v>
      </x:c>
      <x:c r="G156" s="99" t="n">
        <x:v>-0.17193744444444445</x:v>
      </x:c>
      <x:c r="H156" s="101" t="n">
        <x:v>11884098</x:v>
      </x:c>
      <x:c r="I156" s="99" t="n">
        <x:v>0.07109076596606578</x:v>
      </x:c>
      <x:c r="J156" s="100" t="n">
        <x:v>-14</x:v>
      </x:c>
      <x:c r="K156" s="100"/>
      <x:c r="L156" s="99" t="n">
        <x:v>0.5084444444444444</x:v>
      </x:c>
      <x:c r="M156" s="99" t="n">
        <x:v>0.6277777777777778</x:v>
      </x:c>
      <x:c r="N156" s="99"/>
      <x:c r="O156" s="99" t="n">
        <x:v>0.38795644444444444</x:v>
      </x:c>
      <x:c r="P156" s="99" t="n">
        <x:v>0.024406</x:v>
      </x:c>
      <x:c r="Q156" s="99" t="n">
        <x:v>0.14219888888888887</x:v>
      </x:c>
      <x:c r="R156" s="99" t="n">
        <x:v>0.3112457777777778</x:v>
      </x:c>
      <x:c r="S156" s="45"/>
      <x:c r="T156" s="45"/>
      <x:c r="U156" s="51" t="d">
        <x:v>2026-09-30T00:00:00.000Z</x:v>
      </x:c>
      <x:c r="V156" s="51" t="d">
        <x:v>2026-09-30T00:00:00.000Z</x:v>
      </x:c>
      <x:c r="W156" s="109" t="n">
        <x:v>9</x:v>
      </x:c>
      <x:c r="X156" s="109" t="n">
        <x:v>9</x:v>
      </x:c>
      <x:c r="Y156" s="45" t="str">
        <x:v>sbx-mex/Perfil_Tienda_DM</x:v>
      </x:c>
      <x:c r="Z156" s="45" t="str">
        <x:v>2a6b0d21379739482f0b4c7be9b0f9a022e15f5b</x:v>
      </x:c>
      <x:c r="AA156" s="45" t="str">
        <x:v>8456a41c5e02d454e70a2531577ffb2e29f73e57e44a7762de681d568aa4227a</x:v>
      </x:c>
    </x:row>
    <x:row r="157" ht="23" customHeight="1">
      <x:c r="A157" s="50" t="str">
        <x:v>38501</x:v>
      </x:c>
      <x:c r="B157" s="51" t="d">
        <x:v>2026-09-30T00:00:00.000Z</x:v>
      </x:c>
      <x:c r="C157" s="99" t="n">
        <x:v>0.695652</x:v>
      </x:c>
      <x:c r="D157" s="100" t="n">
        <x:v>7.121222666666666</x:v>
      </x:c>
      <x:c r="E157" s="100" t="n">
        <x:v>14.847697000000002</x:v>
      </x:c>
      <x:c r="F157" s="99" t="n">
        <x:v>0.16523055555555555</x:v>
      </x:c>
      <x:c r="G157" s="99" t="n">
        <x:v>-0.08298333333333334</x:v>
      </x:c>
      <x:c r="H157" s="101" t="n">
        <x:v>11306585</x:v>
      </x:c>
      <x:c r="I157" s="99" t="n">
        <x:v>0.06320210205525822</x:v>
      </x:c>
      <x:c r="J157" s="100" t="n">
        <x:v>0.3333333333333333</x:v>
      </x:c>
      <x:c r="K157" s="100"/>
      <x:c r="L157" s="99" t="n">
        <x:v>0.573111111111111</x:v>
      </x:c>
      <x:c r="M157" s="99" t="n">
        <x:v>0.71</x:v>
      </x:c>
      <x:c r="N157" s="99"/>
      <x:c r="O157" s="99" t="n">
        <x:v>0.42831977777777774</x:v>
      </x:c>
      <x:c r="P157" s="99" t="n">
        <x:v>0.059689555555555565</x:v>
      </x:c>
      <x:c r="Q157" s="99" t="n">
        <x:v>0.10343844444444444</x:v>
      </x:c>
      <x:c r="R157" s="99" t="n">
        <x:v>0.14070355555555558</x:v>
      </x:c>
      <x:c r="S157" s="45"/>
      <x:c r="T157" s="45"/>
      <x:c r="U157" s="51" t="d">
        <x:v>2026-09-30T00:00:00.000Z</x:v>
      </x:c>
      <x:c r="V157" s="51" t="d">
        <x:v>2026-09-30T00:00:00.000Z</x:v>
      </x:c>
      <x:c r="W157" s="109" t="n">
        <x:v>9</x:v>
      </x:c>
      <x:c r="X157" s="109" t="n">
        <x:v>9</x:v>
      </x:c>
      <x:c r="Y157" s="45" t="str">
        <x:v>sbx-mex/Perfil_Tienda_DM</x:v>
      </x:c>
      <x:c r="Z157" s="45" t="str">
        <x:v>2a6b0d21379739482f0b4c7be9b0f9a022e15f5b</x:v>
      </x:c>
      <x:c r="AA157" s="45" t="str">
        <x:v>8456a41c5e02d454e70a2531577ffb2e29f73e57e44a7762de681d568aa4227a</x:v>
      </x:c>
    </x:row>
    <x:row r="158" ht="23" customHeight="1">
      <x:c r="A158" s="50" t="str">
        <x:v>38513</x:v>
      </x:c>
      <x:c r="B158" s="51" t="d">
        <x:v>2026-09-30T00:00:00.000Z</x:v>
      </x:c>
      <x:c r="C158" s="99" t="n">
        <x:v>0.66055</x:v>
      </x:c>
      <x:c r="D158" s="100" t="n">
        <x:v>7.174686777777778</x:v>
      </x:c>
      <x:c r="E158" s="100" t="n">
        <x:v>13.882726</x:v>
      </x:c>
      <x:c r="F158" s="99" t="n">
        <x:v>0.21207666666666666</x:v>
      </x:c>
      <x:c r="G158" s="99" t="n">
        <x:v>0.006549000000000003</x:v>
      </x:c>
      <x:c r="H158" s="101" t="n">
        <x:v>6310442</x:v>
      </x:c>
      <x:c r="I158" s="99" t="n">
        <x:v>-0.23308701266669096</x:v>
      </x:c>
      <x:c r="J158" s="100" t="n">
        <x:v>-52.111111111111114</x:v>
      </x:c>
      <x:c r="K158" s="100"/>
      <x:c r="L158" s="99" t="n">
        <x:v>0.5018888888888889</x:v>
      </x:c>
      <x:c r="M158" s="99" t="n">
        <x:v>0.6033333333333333</x:v>
      </x:c>
      <x:c r="N158" s="99"/>
      <x:c r="O158" s="99" t="n">
        <x:v>0.41371833333333335</x:v>
      </x:c>
      <x:c r="P158" s="99" t="n">
        <x:v>0.04371711111111111</x:v>
      </x:c>
      <x:c r="Q158" s="99" t="n">
        <x:v>0.007568333333333334</x:v>
      </x:c>
      <x:c r="R158" s="99" t="n">
        <x:v>-0.0878648888888889</x:v>
      </x:c>
      <x:c r="S158" s="45"/>
      <x:c r="T158" s="45"/>
      <x:c r="U158" s="51" t="d">
        <x:v>2026-09-30T00:00:00.000Z</x:v>
      </x:c>
      <x:c r="V158" s="51" t="d">
        <x:v>2026-09-30T00:00:00.000Z</x:v>
      </x:c>
      <x:c r="W158" s="109" t="n">
        <x:v>9</x:v>
      </x:c>
      <x:c r="X158" s="109" t="n">
        <x:v>9</x:v>
      </x:c>
      <x:c r="Y158" s="45" t="str">
        <x:v>sbx-mex/Perfil_Tienda_DM</x:v>
      </x:c>
      <x:c r="Z158" s="45" t="str">
        <x:v>2a6b0d21379739482f0b4c7be9b0f9a022e15f5b</x:v>
      </x:c>
      <x:c r="AA158" s="45" t="str">
        <x:v>8456a41c5e02d454e70a2531577ffb2e29f73e57e44a7762de681d568aa4227a</x:v>
      </x:c>
    </x:row>
    <x:row r="159" ht="23" customHeight="1">
      <x:c r="A159" s="50" t="str">
        <x:v>38526</x:v>
      </x:c>
      <x:c r="B159" s="51" t="d">
        <x:v>2026-09-30T00:00:00.000Z</x:v>
      </x:c>
      <x:c r="C159" s="99" t="n">
        <x:v>0.587413</x:v>
      </x:c>
      <x:c r="D159" s="100" t="n">
        <x:v>7.925111333333334</x:v>
      </x:c>
      <x:c r="E159" s="100" t="n">
        <x:v>15.693369777777779</x:v>
      </x:c>
      <x:c r="F159" s="99" t="n">
        <x:v>0.14962144444444445</x:v>
      </x:c>
      <x:c r="G159" s="99" t="n">
        <x:v>-0.019213333333333336</x:v>
      </x:c>
      <x:c r="H159" s="101" t="n">
        <x:v>13299553</x:v>
      </x:c>
      <x:c r="I159" s="99" t="n">
        <x:v>0.0426617553086408</x:v>
      </x:c>
      <x:c r="J159" s="100" t="n">
        <x:v>8</x:v>
      </x:c>
      <x:c r="K159" s="100"/>
      <x:c r="L159" s="99" t="n">
        <x:v>0.39355555555555555</x:v>
      </x:c>
      <x:c r="M159" s="99" t="n">
        <x:v>0.5444444444444445</x:v>
      </x:c>
      <x:c r="N159" s="99"/>
      <x:c r="O159" s="99" t="n">
        <x:v>0.3980895555555556</x:v>
      </x:c>
      <x:c r="P159" s="99" t="n">
        <x:v>0.01666744444444444</x:v>
      </x:c>
      <x:c r="Q159" s="99" t="n">
        <x:v>0.19534722222222223</x:v>
      </x:c>
      <x:c r="R159" s="99" t="n">
        <x:v>-0.011391999999999998</x:v>
      </x:c>
      <x:c r="S159" s="45"/>
      <x:c r="T159" s="45"/>
      <x:c r="U159" s="51" t="d">
        <x:v>2026-09-30T00:00:00.000Z</x:v>
      </x:c>
      <x:c r="V159" s="51" t="d">
        <x:v>2026-09-30T00:00:00.000Z</x:v>
      </x:c>
      <x:c r="W159" s="109" t="n">
        <x:v>9</x:v>
      </x:c>
      <x:c r="X159" s="109" t="n">
        <x:v>9</x:v>
      </x:c>
      <x:c r="Y159" s="45" t="str">
        <x:v>sbx-mex/Perfil_Tienda_DM</x:v>
      </x:c>
      <x:c r="Z159" s="45" t="str">
        <x:v>2a6b0d21379739482f0b4c7be9b0f9a022e15f5b</x:v>
      </x:c>
      <x:c r="AA159" s="45" t="str">
        <x:v>8456a41c5e02d454e70a2531577ffb2e29f73e57e44a7762de681d568aa4227a</x:v>
      </x:c>
    </x:row>
    <x:row r="160" ht="23" customHeight="1">
      <x:c r="A160" s="50" t="str">
        <x:v>38569</x:v>
      </x:c>
      <x:c r="B160" s="51" t="d">
        <x:v>2026-09-30T00:00:00.000Z</x:v>
      </x:c>
      <x:c r="C160" s="99" t="n">
        <x:v>0.507042</x:v>
      </x:c>
      <x:c r="D160" s="100" t="n">
        <x:v>7.310002777777778</x:v>
      </x:c>
      <x:c r="E160" s="100" t="n">
        <x:v>15.370444666666666</x:v>
      </x:c>
      <x:c r="F160" s="99" t="n">
        <x:v>0.17281611111111111</x:v>
      </x:c>
      <x:c r="G160" s="99" t="n">
        <x:v>-0.020675</x:v>
      </x:c>
      <x:c r="H160" s="101" t="n">
        <x:v>11082120</x:v>
      </x:c>
      <x:c r="I160" s="99" t="n">
        <x:v>-0.020525551308264167</x:v>
      </x:c>
      <x:c r="J160" s="100" t="n">
        <x:v>-18</x:v>
      </x:c>
      <x:c r="K160" s="100"/>
      <x:c r="L160" s="99" t="n">
        <x:v>0.4343333333333333</x:v>
      </x:c>
      <x:c r="M160" s="99" t="n">
        <x:v>0.6066666666666667</x:v>
      </x:c>
      <x:c r="N160" s="99"/>
      <x:c r="O160" s="99" t="n">
        <x:v>0.41095766666666667</x:v>
      </x:c>
      <x:c r="P160" s="99" t="n">
        <x:v>0.05202788888888889</x:v>
      </x:c>
      <x:c r="Q160" s="99" t="n">
        <x:v>0.12367755555555554</x:v>
      </x:c>
      <x:c r="R160" s="99" t="n">
        <x:v>-0.004530555555555553</x:v>
      </x:c>
      <x:c r="S160" s="45"/>
      <x:c r="T160" s="45"/>
      <x:c r="U160" s="51" t="d">
        <x:v>2026-09-30T00:00:00.000Z</x:v>
      </x:c>
      <x:c r="V160" s="51" t="d">
        <x:v>2026-09-30T00:00:00.000Z</x:v>
      </x:c>
      <x:c r="W160" s="109" t="n">
        <x:v>9</x:v>
      </x:c>
      <x:c r="X160" s="109" t="n">
        <x:v>9</x:v>
      </x:c>
      <x:c r="Y160" s="45" t="str">
        <x:v>sbx-mex/Perfil_Tienda_DM</x:v>
      </x:c>
      <x:c r="Z160" s="45" t="str">
        <x:v>2a6b0d21379739482f0b4c7be9b0f9a022e15f5b</x:v>
      </x:c>
      <x:c r="AA160" s="45" t="str">
        <x:v>8456a41c5e02d454e70a2531577ffb2e29f73e57e44a7762de681d568aa4227a</x:v>
      </x:c>
    </x:row>
    <x:row r="161" ht="23" customHeight="1">
      <x:c r="A161" s="50" t="str">
        <x:v>38570</x:v>
      </x:c>
      <x:c r="B161" s="51" t="d">
        <x:v>2026-09-30T00:00:00.000Z</x:v>
      </x:c>
      <x:c r="C161" s="99" t="n">
        <x:v>0.62069</x:v>
      </x:c>
      <x:c r="D161" s="100" t="n">
        <x:v>6.372071666666667</x:v>
      </x:c>
      <x:c r="E161" s="100" t="n">
        <x:v>12.263255111111112</x:v>
      </x:c>
      <x:c r="F161" s="99" t="n">
        <x:v>0.21629844444444443</x:v>
      </x:c>
      <x:c r="G161" s="99" t="n">
        <x:v>0.027685500000000002</x:v>
      </x:c>
      <x:c r="H161" s="101" t="n">
        <x:v>8097746</x:v>
      </x:c>
      <x:c r="I161" s="99" t="n">
        <x:v>-0.1252658733923906</x:v>
      </x:c>
      <x:c r="J161" s="100" t="n">
        <x:v>-14</x:v>
      </x:c>
      <x:c r="K161" s="100"/>
      <x:c r="L161" s="99" t="n">
        <x:v>0.43144444444444446</x:v>
      </x:c>
      <x:c r="M161" s="99" t="n">
        <x:v>0.5211111111111112</x:v>
      </x:c>
      <x:c r="N161" s="99"/>
      <x:c r="O161" s="99" t="n">
        <x:v>0.4157618888888889</x:v>
      </x:c>
      <x:c r="P161" s="99" t="n">
        <x:v>0.06362612499999999</x:v>
      </x:c>
      <x:c r="Q161" s="99" t="n">
        <x:v>0.08285666666666666</x:v>
      </x:c>
      <x:c r="R161" s="99" t="n">
        <x:v>-0.091725625</x:v>
      </x:c>
      <x:c r="S161" s="45"/>
      <x:c r="T161" s="45"/>
      <x:c r="U161" s="51" t="d">
        <x:v>2026-09-30T00:00:00.000Z</x:v>
      </x:c>
      <x:c r="V161" s="51" t="d">
        <x:v>2026-09-30T00:00:00.000Z</x:v>
      </x:c>
      <x:c r="W161" s="109" t="n">
        <x:v>9</x:v>
      </x:c>
      <x:c r="X161" s="109" t="n">
        <x:v>9</x:v>
      </x:c>
      <x:c r="Y161" s="45" t="str">
        <x:v>sbx-mex/Perfil_Tienda_DM</x:v>
      </x:c>
      <x:c r="Z161" s="45" t="str">
        <x:v>2a6b0d21379739482f0b4c7be9b0f9a022e15f5b</x:v>
      </x:c>
      <x:c r="AA161" s="45" t="str">
        <x:v>8456a41c5e02d454e70a2531577ffb2e29f73e57e44a7762de681d568aa4227a</x:v>
      </x:c>
    </x:row>
    <x:row r="162" ht="23" customHeight="1">
      <x:c r="A162" s="50" t="str">
        <x:v>38579</x:v>
      </x:c>
      <x:c r="B162" s="51" t="d">
        <x:v>2026-09-30T00:00:00.000Z</x:v>
      </x:c>
      <x:c r="C162" s="99" t="n">
        <x:v>0.366102</x:v>
      </x:c>
      <x:c r="D162" s="100" t="n">
        <x:v>7.581655777777779</x:v>
      </x:c>
      <x:c r="E162" s="100" t="n">
        <x:v>16.894563333333334</x:v>
      </x:c>
      <x:c r="F162" s="99" t="n">
        <x:v>0.12949722222222224</x:v>
      </x:c>
      <x:c r="G162" s="99" t="n">
        <x:v>-0.008730666666666666</x:v>
      </x:c>
      <x:c r="H162" s="101" t="n">
        <x:v>29115641</x:v>
      </x:c>
      <x:c r="I162" s="99" t="n">
        <x:v>-0.032246217214267014</x:v>
      </x:c>
      <x:c r="J162" s="100" t="n">
        <x:v>-2.4444444444444446</x:v>
      </x:c>
      <x:c r="K162" s="100"/>
      <x:c r="L162" s="99" t="n">
        <x:v>0.42988888888888893</x:v>
      </x:c>
      <x:c r="M162" s="99" t="n">
        <x:v>0.5055555555555555</x:v>
      </x:c>
      <x:c r="N162" s="99"/>
      <x:c r="O162" s="99" t="n">
        <x:v>0.37149777777777776</x:v>
      </x:c>
      <x:c r="P162" s="99" t="n">
        <x:v>0.03479444444444445</x:v>
      </x:c>
      <x:c r="Q162" s="99" t="n">
        <x:v>0.2785725555555556</x:v>
      </x:c>
      <x:c r="R162" s="99" t="n">
        <x:v>-0.037574222222222224</x:v>
      </x:c>
      <x:c r="S162" s="45" t="str">
        <x:v>01:35</x:v>
      </x:c>
      <x:c r="T162" s="45" t="str">
        <x:v>01:28</x:v>
      </x:c>
      <x:c r="U162" s="51" t="d">
        <x:v>2026-09-30T00:00:00.000Z</x:v>
      </x:c>
      <x:c r="V162" s="51" t="d">
        <x:v>2026-09-30T00:00:00.000Z</x:v>
      </x:c>
      <x:c r="W162" s="109" t="n">
        <x:v>9</x:v>
      </x:c>
      <x:c r="X162" s="109" t="n">
        <x:v>9</x:v>
      </x:c>
      <x:c r="Y162" s="45" t="str">
        <x:v>sbx-mex/Perfil_Tienda_DM</x:v>
      </x:c>
      <x:c r="Z162" s="45" t="str">
        <x:v>2a6b0d21379739482f0b4c7be9b0f9a022e15f5b</x:v>
      </x:c>
      <x:c r="AA162" s="45" t="str">
        <x:v>8456a41c5e02d454e70a2531577ffb2e29f73e57e44a7762de681d568aa4227a</x:v>
      </x:c>
    </x:row>
    <x:row r="163" ht="23" customHeight="1">
      <x:c r="A163" s="50" t="str">
        <x:v>38619</x:v>
      </x:c>
      <x:c r="B163" s="51" t="d">
        <x:v>2026-09-30T00:00:00.000Z</x:v>
      </x:c>
      <x:c r="C163" s="99" t="n">
        <x:v>0.521739</x:v>
      </x:c>
      <x:c r="D163" s="100" t="n">
        <x:v>6.457456444444444</x:v>
      </x:c>
      <x:c r="E163" s="100" t="n">
        <x:v>15.606591333333332</x:v>
      </x:c>
      <x:c r="F163" s="99" t="n">
        <x:v>0.13282944444444444</x:v>
      </x:c>
      <x:c r="G163" s="99" t="n">
        <x:v>-0.016727</x:v>
      </x:c>
      <x:c r="H163" s="101" t="n">
        <x:v>29086739</x:v>
      </x:c>
      <x:c r="I163" s="99" t="n">
        <x:v>0.03873765599234158</x:v>
      </x:c>
      <x:c r="J163" s="100" t="n">
        <x:v>-36.333333333333336</x:v>
      </x:c>
      <x:c r="K163" s="100"/>
      <x:c r="L163" s="99" t="n">
        <x:v>0.40211111111111114</x:v>
      </x:c>
      <x:c r="M163" s="99" t="n">
        <x:v>0.5288888888888889</x:v>
      </x:c>
      <x:c r="N163" s="99"/>
      <x:c r="O163" s="99" t="n">
        <x:v>0.3609941111111111</x:v>
      </x:c>
      <x:c r="P163" s="99" t="n">
        <x:v>0.03462922222222223</x:v>
      </x:c>
      <x:c r="Q163" s="99" t="n">
        <x:v>0.28360799999999997</x:v>
      </x:c>
      <x:c r="R163" s="99" t="n">
        <x:v>-0.005245888888888893</x:v>
      </x:c>
      <x:c r="S163" s="45" t="str">
        <x:v>01:31</x:v>
      </x:c>
      <x:c r="T163" s="45" t="str">
        <x:v>01:26</x:v>
      </x:c>
      <x:c r="U163" s="51" t="d">
        <x:v>2026-09-30T00:00:00.000Z</x:v>
      </x:c>
      <x:c r="V163" s="51" t="d">
        <x:v>2026-09-30T00:00:00.000Z</x:v>
      </x:c>
      <x:c r="W163" s="109" t="n">
        <x:v>9</x:v>
      </x:c>
      <x:c r="X163" s="109" t="n">
        <x:v>9</x:v>
      </x:c>
      <x:c r="Y163" s="45" t="str">
        <x:v>sbx-mex/Perfil_Tienda_DM</x:v>
      </x:c>
      <x:c r="Z163" s="45" t="str">
        <x:v>2a6b0d21379739482f0b4c7be9b0f9a022e15f5b</x:v>
      </x:c>
      <x:c r="AA163" s="45" t="str">
        <x:v>8456a41c5e02d454e70a2531577ffb2e29f73e57e44a7762de681d568aa4227a</x:v>
      </x:c>
    </x:row>
    <x:row r="164" ht="23" customHeight="1">
      <x:c r="A164" s="50" t="str">
        <x:v>38888</x:v>
      </x:c>
      <x:c r="B164" s="51" t="d">
        <x:v>2026-09-30T00:00:00.000Z</x:v>
      </x:c>
      <x:c r="C164" s="99" t="n">
        <x:v>0.871972</x:v>
      </x:c>
      <x:c r="D164" s="100" t="n">
        <x:v>8.712514888888888</x:v>
      </x:c>
      <x:c r="E164" s="100" t="n">
        <x:v>18.872220333333335</x:v>
      </x:c>
      <x:c r="F164" s="99" t="n">
        <x:v>0.11828477777777777</x:v>
      </x:c>
      <x:c r="G164" s="99" t="n">
        <x:v>-0.00612888888888889</x:v>
      </x:c>
      <x:c r="H164" s="101" t="n">
        <x:v>29167669</x:v>
      </x:c>
      <x:c r="I164" s="99" t="n">
        <x:v>-0.10775982821303864</x:v>
      </x:c>
      <x:c r="J164" s="100" t="n">
        <x:v>-50</x:v>
      </x:c>
      <x:c r="K164" s="100"/>
      <x:c r="L164" s="99" t="n">
        <x:v>0.38511111111111107</x:v>
      </x:c>
      <x:c r="M164" s="99" t="n">
        <x:v>0.5177777777777778</x:v>
      </x:c>
      <x:c r="N164" s="99"/>
      <x:c r="O164" s="99" t="n">
        <x:v>0.36479144444444445</x:v>
      </x:c>
      <x:c r="P164" s="99" t="n">
        <x:v>0.029530666666666656</x:v>
      </x:c>
      <x:c r="Q164" s="99" t="n">
        <x:v>0.311413</x:v>
      </x:c>
      <x:c r="R164" s="99" t="n">
        <x:v>-0.029167</x:v>
      </x:c>
      <x:c r="S164" s="45"/>
      <x:c r="T164" s="45"/>
      <x:c r="U164" s="51" t="d">
        <x:v>2026-09-30T00:00:00.000Z</x:v>
      </x:c>
      <x:c r="V164" s="51" t="d">
        <x:v>2026-09-30T00:00:00.000Z</x:v>
      </x:c>
      <x:c r="W164" s="109" t="n">
        <x:v>9</x:v>
      </x:c>
      <x:c r="X164" s="109" t="n">
        <x:v>9</x:v>
      </x:c>
      <x:c r="Y164" s="45" t="str">
        <x:v>sbx-mex/Perfil_Tienda_DM</x:v>
      </x:c>
      <x:c r="Z164" s="45" t="str">
        <x:v>2a6b0d21379739482f0b4c7be9b0f9a022e15f5b</x:v>
      </x:c>
      <x:c r="AA164" s="45" t="str">
        <x:v>8456a41c5e02d454e70a2531577ffb2e29f73e57e44a7762de681d568aa4227a</x:v>
      </x:c>
    </x:row>
    <x:row r="165" ht="23" customHeight="1">
      <x:c r="A165" s="50" t="str">
        <x:v>38941</x:v>
      </x:c>
      <x:c r="B165" s="51" t="d">
        <x:v>2026-09-30T00:00:00.000Z</x:v>
      </x:c>
      <x:c r="C165" s="99" t="n">
        <x:v>0.333333</x:v>
      </x:c>
      <x:c r="D165" s="100" t="n">
        <x:v>8.646040444444445</x:v>
      </x:c>
      <x:c r="E165" s="100" t="n">
        <x:v>18.403415888888887</x:v>
      </x:c>
      <x:c r="F165" s="99" t="n">
        <x:v>0.16014111111111112</x:v>
      </x:c>
      <x:c r="G165" s="99" t="n">
        <x:v>0.004380666666666668</x:v>
      </x:c>
      <x:c r="H165" s="101" t="n">
        <x:v>12409107</x:v>
      </x:c>
      <x:c r="I165" s="99" t="n">
        <x:v>-0.10510202652186018</x:v>
      </x:c>
      <x:c r="J165" s="100" t="n">
        <x:v>-0.3333333333333333</x:v>
      </x:c>
      <x:c r="K165" s="100"/>
      <x:c r="L165" s="99" t="n">
        <x:v>0.42633333333333334</x:v>
      </x:c>
      <x:c r="M165" s="99" t="n">
        <x:v>0.5566666666666666</x:v>
      </x:c>
      <x:c r="N165" s="99"/>
      <x:c r="O165" s="99" t="n">
        <x:v>0.3705048888888889</x:v>
      </x:c>
      <x:c r="P165" s="99" t="n">
        <x:v>0.046919444444444444</x:v>
      </x:c>
      <x:c r="Q165" s="99" t="n">
        <x:v>0.22187644444444443</x:v>
      </x:c>
      <x:c r="R165" s="99" t="n">
        <x:v>-0.057417333333333334</x:v>
      </x:c>
      <x:c r="S165" s="45"/>
      <x:c r="T165" s="45"/>
      <x:c r="U165" s="51" t="d">
        <x:v>2026-09-30T00:00:00.000Z</x:v>
      </x:c>
      <x:c r="V165" s="51" t="d">
        <x:v>2026-09-30T00:00:00.000Z</x:v>
      </x:c>
      <x:c r="W165" s="109" t="n">
        <x:v>9</x:v>
      </x:c>
      <x:c r="X165" s="109" t="n">
        <x:v>9</x:v>
      </x:c>
      <x:c r="Y165" s="45" t="str">
        <x:v>sbx-mex/Perfil_Tienda_DM</x:v>
      </x:c>
      <x:c r="Z165" s="45" t="str">
        <x:v>2a6b0d21379739482f0b4c7be9b0f9a022e15f5b</x:v>
      </x:c>
      <x:c r="AA165" s="45" t="str">
        <x:v>8456a41c5e02d454e70a2531577ffb2e29f73e57e44a7762de681d568aa4227a</x:v>
      </x:c>
    </x:row>
    <x:row r="166" ht="23" customHeight="1">
      <x:c r="A166" s="50" t="str">
        <x:v>38351</x:v>
      </x:c>
      <x:c r="B166" s="51" t="d">
        <x:v>2026-09-30T00:00:00.000Z</x:v>
      </x:c>
      <x:c r="C166" s="99" t="n">
        <x:v>0.288</x:v>
      </x:c>
      <x:c r="D166" s="100" t="n">
        <x:v>7.171885888888888</x:v>
      </x:c>
      <x:c r="E166" s="100" t="n">
        <x:v>18.313047555555556</x:v>
      </x:c>
      <x:c r="F166" s="99" t="n">
        <x:v>0.1209061111111111</x:v>
      </x:c>
      <x:c r="G166" s="99" t="n">
        <x:v>-0.0024424444444444446</x:v>
      </x:c>
      <x:c r="H166" s="101" t="n">
        <x:v>26692235</x:v>
      </x:c>
      <x:c r="I166" s="99" t="n">
        <x:v>-0.10493416785051146</x:v>
      </x:c>
      <x:c r="J166" s="100" t="n">
        <x:v>-34.77777777777778</x:v>
      </x:c>
      <x:c r="K166" s="100"/>
      <x:c r="L166" s="99" t="n">
        <x:v>0.5071111111111111</x:v>
      </x:c>
      <x:c r="M166" s="99" t="n">
        <x:v>0.6144444444444445</x:v>
      </x:c>
      <x:c r="N166" s="99"/>
      <x:c r="O166" s="99" t="n">
        <x:v>0.3392015555555556</x:v>
      </x:c>
      <x:c r="P166" s="99" t="n">
        <x:v>-0.0026107777777777705</x:v>
      </x:c>
      <x:c r="Q166" s="99" t="n">
        <x:v>0.26031133333333334</x:v>
      </x:c>
      <x:c r="R166" s="99" t="n">
        <x:v>-0.004433555555555558</x:v>
      </x:c>
      <x:c r="S166" s="45"/>
      <x:c r="T166" s="45"/>
      <x:c r="U166" s="51" t="d">
        <x:v>2026-09-30T00:00:00.000Z</x:v>
      </x:c>
      <x:c r="V166" s="51" t="d">
        <x:v>2026-09-30T00:00:00.000Z</x:v>
      </x:c>
      <x:c r="W166" s="109" t="n">
        <x:v>9</x:v>
      </x:c>
      <x:c r="X166" s="109" t="n">
        <x:v>9</x:v>
      </x:c>
      <x:c r="Y166" s="45" t="str">
        <x:v>sbx-mex/Perfil_Tienda_DM</x:v>
      </x:c>
      <x:c r="Z166" s="45" t="str">
        <x:v>2a6b0d21379739482f0b4c7be9b0f9a022e15f5b</x:v>
      </x:c>
      <x:c r="AA166" s="45" t="str">
        <x:v>8456a41c5e02d454e70a2531577ffb2e29f73e57e44a7762de681d568aa4227a</x:v>
      </x:c>
    </x:row>
    <x:row r="167" ht="23" customHeight="1">
      <x:c r="A167" s="50" t="str">
        <x:v>38375</x:v>
      </x:c>
      <x:c r="B167" s="51" t="d">
        <x:v>2026-09-30T00:00:00.000Z</x:v>
      </x:c>
      <x:c r="C167" s="99" t="n">
        <x:v>0.382979</x:v>
      </x:c>
      <x:c r="D167" s="100" t="n">
        <x:v>6.672541888888889</x:v>
      </x:c>
      <x:c r="E167" s="100" t="n">
        <x:v>16.883108555555555</x:v>
      </x:c>
      <x:c r="F167" s="99" t="n">
        <x:v>0.1344766666666667</x:v>
      </x:c>
      <x:c r="G167" s="99" t="n">
        <x:v>-0.001672888888888889</x:v>
      </x:c>
      <x:c r="H167" s="101" t="n">
        <x:v>20775898</x:v>
      </x:c>
      <x:c r="I167" s="99" t="n">
        <x:v>0.019672945717784884</x:v>
      </x:c>
      <x:c r="J167" s="100" t="n">
        <x:v>1.1111111111111112</x:v>
      </x:c>
      <x:c r="K167" s="100"/>
      <x:c r="L167" s="99" t="n">
        <x:v>0.5247777777777778</x:v>
      </x:c>
      <x:c r="M167" s="99" t="n">
        <x:v>0.6066666666666667</x:v>
      </x:c>
      <x:c r="N167" s="99"/>
      <x:c r="O167" s="99" t="n">
        <x:v>0.33953411111111115</x:v>
      </x:c>
      <x:c r="P167" s="99" t="n">
        <x:v>-0.003148555555555568</x:v>
      </x:c>
      <x:c r="Q167" s="99" t="n">
        <x:v>0.28654244444444443</x:v>
      </x:c>
      <x:c r="R167" s="99" t="n">
        <x:v>0.017916222222222222</x:v>
      </x:c>
      <x:c r="S167" s="45"/>
      <x:c r="T167" s="45"/>
      <x:c r="U167" s="51" t="d">
        <x:v>2026-09-30T00:00:00.000Z</x:v>
      </x:c>
      <x:c r="V167" s="51" t="d">
        <x:v>2026-09-30T00:00:00.000Z</x:v>
      </x:c>
      <x:c r="W167" s="109" t="n">
        <x:v>9</x:v>
      </x:c>
      <x:c r="X167" s="109" t="n">
        <x:v>9</x:v>
      </x:c>
      <x:c r="Y167" s="45" t="str">
        <x:v>sbx-mex/Perfil_Tienda_DM</x:v>
      </x:c>
      <x:c r="Z167" s="45" t="str">
        <x:v>2a6b0d21379739482f0b4c7be9b0f9a022e15f5b</x:v>
      </x:c>
      <x:c r="AA167" s="45" t="str">
        <x:v>8456a41c5e02d454e70a2531577ffb2e29f73e57e44a7762de681d568aa4227a</x:v>
      </x:c>
    </x:row>
    <x:row r="168" ht="23" customHeight="1">
      <x:c r="A168" s="50" t="str">
        <x:v>38429</x:v>
      </x:c>
      <x:c r="B168" s="51" t="d">
        <x:v>2026-09-30T00:00:00.000Z</x:v>
      </x:c>
      <x:c r="C168" s="99" t="n">
        <x:v>0.595745</x:v>
      </x:c>
      <x:c r="D168" s="100" t="n">
        <x:v>6.6215852222222225</x:v>
      </x:c>
      <x:c r="E168" s="100" t="n">
        <x:v>16.216867222222223</x:v>
      </x:c>
      <x:c r="F168" s="99" t="n">
        <x:v>0.15411066666666665</x:v>
      </x:c>
      <x:c r="G168" s="99" t="n">
        <x:v>-0.1771607777777778</x:v>
      </x:c>
      <x:c r="H168" s="101" t="n">
        <x:v>13187325</x:v>
      </x:c>
      <x:c r="I168" s="99" t="n">
        <x:v>0.09708551660858555</x:v>
      </x:c>
      <x:c r="J168" s="100" t="n">
        <x:v>-1.8888888888888888</x:v>
      </x:c>
      <x:c r="K168" s="100"/>
      <x:c r="L168" s="99" t="n">
        <x:v>0.6205555555555555</x:v>
      </x:c>
      <x:c r="M168" s="99" t="n">
        <x:v>0.7155555555555555</x:v>
      </x:c>
      <x:c r="N168" s="99"/>
      <x:c r="O168" s="99" t="n">
        <x:v>0.360096</x:v>
      </x:c>
      <x:c r="P168" s="99" t="n">
        <x:v>-0.03454366666666667</x:v>
      </x:c>
      <x:c r="Q168" s="99" t="n">
        <x:v>0.22657255555555553</x:v>
      </x:c>
      <x:c r="R168" s="99" t="n">
        <x:v>0.3992145555555556</x:v>
      </x:c>
      <x:c r="S168" s="45"/>
      <x:c r="T168" s="45"/>
      <x:c r="U168" s="51" t="d">
        <x:v>2026-09-30T00:00:00.000Z</x:v>
      </x:c>
      <x:c r="V168" s="51" t="d">
        <x:v>2026-09-30T00:00:00.000Z</x:v>
      </x:c>
      <x:c r="W168" s="109" t="n">
        <x:v>9</x:v>
      </x:c>
      <x:c r="X168" s="109" t="n">
        <x:v>9</x:v>
      </x:c>
      <x:c r="Y168" s="45" t="str">
        <x:v>sbx-mex/Perfil_Tienda_DM</x:v>
      </x:c>
      <x:c r="Z168" s="45" t="str">
        <x:v>2a6b0d21379739482f0b4c7be9b0f9a022e15f5b</x:v>
      </x:c>
      <x:c r="AA168" s="45" t="str">
        <x:v>8456a41c5e02d454e70a2531577ffb2e29f73e57e44a7762de681d568aa4227a</x:v>
      </x:c>
    </x:row>
    <x:row r="169" ht="23" customHeight="1">
      <x:c r="A169" s="50" t="str">
        <x:v>38511</x:v>
      </x:c>
      <x:c r="B169" s="51" t="d">
        <x:v>2026-09-30T00:00:00.000Z</x:v>
      </x:c>
      <x:c r="C169" s="99" t="n">
        <x:v>0.335664</x:v>
      </x:c>
      <x:c r="D169" s="100" t="n">
        <x:v>6.643171111111111</x:v>
      </x:c>
      <x:c r="E169" s="100" t="n">
        <x:v>15.207631444444445</x:v>
      </x:c>
      <x:c r="F169" s="99" t="n">
        <x:v>0.14075433333333331</x:v>
      </x:c>
      <x:c r="G169" s="99" t="n">
        <x:v>0.0038086666666666703</x:v>
      </x:c>
      <x:c r="H169" s="101" t="n">
        <x:v>14570594</x:v>
      </x:c>
      <x:c r="I169" s="99" t="n">
        <x:v>-0.05805160540354781</x:v>
      </x:c>
      <x:c r="J169" s="100" t="n">
        <x:v>-6.777777777777778</x:v>
      </x:c>
      <x:c r="K169" s="100"/>
      <x:c r="L169" s="99" t="n">
        <x:v>0.577</x:v>
      </x:c>
      <x:c r="M169" s="99" t="n">
        <x:v>0.6777777777777777</x:v>
      </x:c>
      <x:c r="N169" s="99"/>
      <x:c r="O169" s="99" t="n">
        <x:v>0.3620325555555556</x:v>
      </x:c>
      <x:c r="P169" s="99" t="n">
        <x:v>0.011043666666666667</x:v>
      </x:c>
      <x:c r="Q169" s="99" t="n">
        <x:v>0.25360855555555556</x:v>
      </x:c>
      <x:c r="R169" s="99" t="n">
        <x:v>-0.012812333333333339</x:v>
      </x:c>
      <x:c r="S169" s="45"/>
      <x:c r="T169" s="45"/>
      <x:c r="U169" s="51" t="d">
        <x:v>2026-09-30T00:00:00.000Z</x:v>
      </x:c>
      <x:c r="V169" s="51" t="d">
        <x:v>2026-09-30T00:00:00.000Z</x:v>
      </x:c>
      <x:c r="W169" s="109" t="n">
        <x:v>9</x:v>
      </x:c>
      <x:c r="X169" s="109" t="n">
        <x:v>9</x:v>
      </x:c>
      <x:c r="Y169" s="45" t="str">
        <x:v>sbx-mex/Perfil_Tienda_DM</x:v>
      </x:c>
      <x:c r="Z169" s="45" t="str">
        <x:v>2a6b0d21379739482f0b4c7be9b0f9a022e15f5b</x:v>
      </x:c>
      <x:c r="AA169" s="45" t="str">
        <x:v>8456a41c5e02d454e70a2531577ffb2e29f73e57e44a7762de681d568aa4227a</x:v>
      </x:c>
    </x:row>
    <x:row r="170" ht="23" customHeight="1">
      <x:c r="A170" s="50" t="str">
        <x:v>38567</x:v>
      </x:c>
      <x:c r="B170" s="51" t="d">
        <x:v>2026-09-30T00:00:00.000Z</x:v>
      </x:c>
      <x:c r="C170" s="99" t="n">
        <x:v>0.157895</x:v>
      </x:c>
      <x:c r="D170" s="100" t="n">
        <x:v>6.118382111111112</x:v>
      </x:c>
      <x:c r="E170" s="100" t="n">
        <x:v>14.250454333333332</x:v>
      </x:c>
      <x:c r="F170" s="99" t="n">
        <x:v>0.1508241111111111</x:v>
      </x:c>
      <x:c r="G170" s="99" t="n">
        <x:v>-0.08845577777777779</x:v>
      </x:c>
      <x:c r="H170" s="101" t="n">
        <x:v>14480145</x:v>
      </x:c>
      <x:c r="I170" s="99" t="n">
        <x:v>0.07150222827645836</x:v>
      </x:c>
      <x:c r="J170" s="100" t="n">
        <x:v>-1.6666666666666667</x:v>
      </x:c>
      <x:c r="K170" s="100"/>
      <x:c r="L170" s="99" t="n">
        <x:v>0.639888888888889</x:v>
      </x:c>
      <x:c r="M170" s="99" t="n">
        <x:v>0.73</x:v>
      </x:c>
      <x:c r="N170" s="99"/>
      <x:c r="O170" s="99" t="n">
        <x:v>0.34390011111111113</x:v>
      </x:c>
      <x:c r="P170" s="99" t="n">
        <x:v>-0.013288555555555557</x:v>
      </x:c>
      <x:c r="Q170" s="99" t="n">
        <x:v>0.18511333333333335</x:v>
      </x:c>
      <x:c r="R170" s="99" t="n">
        <x:v>0.18800133333333333</x:v>
      </x:c>
      <x:c r="S170" s="45"/>
      <x:c r="T170" s="45"/>
      <x:c r="U170" s="51" t="d">
        <x:v>2026-09-30T00:00:00.000Z</x:v>
      </x:c>
      <x:c r="V170" s="51" t="d">
        <x:v>2026-09-30T00:00:00.000Z</x:v>
      </x:c>
      <x:c r="W170" s="109" t="n">
        <x:v>9</x:v>
      </x:c>
      <x:c r="X170" s="109" t="n">
        <x:v>9</x:v>
      </x:c>
      <x:c r="Y170" s="45" t="str">
        <x:v>sbx-mex/Perfil_Tienda_DM</x:v>
      </x:c>
      <x:c r="Z170" s="45" t="str">
        <x:v>2a6b0d21379739482f0b4c7be9b0f9a022e15f5b</x:v>
      </x:c>
      <x:c r="AA170" s="45" t="str">
        <x:v>8456a41c5e02d454e70a2531577ffb2e29f73e57e44a7762de681d568aa4227a</x:v>
      </x:c>
    </x:row>
    <x:row r="171" ht="23" customHeight="1">
      <x:c r="A171" s="50" t="str">
        <x:v>38678</x:v>
      </x:c>
      <x:c r="B171" s="51" t="d">
        <x:v>2026-09-30T00:00:00.000Z</x:v>
      </x:c>
      <x:c r="C171" s="99" t="n">
        <x:v>0.596273</x:v>
      </x:c>
      <x:c r="D171" s="100" t="n">
        <x:v>5.921127</x:v>
      </x:c>
      <x:c r="E171" s="100" t="n">
        <x:v>15.131776444444446</x:v>
      </x:c>
      <x:c r="F171" s="99" t="n">
        <x:v>0.1556362222222222</x:v>
      </x:c>
      <x:c r="G171" s="99" t="n">
        <x:v>-0.0009850000000000043</x:v>
      </x:c>
      <x:c r="H171" s="101" t="n">
        <x:v>14277650</x:v>
      </x:c>
      <x:c r="I171" s="99" t="n">
        <x:v>-0.06501771091608222</x:v>
      </x:c>
      <x:c r="J171" s="100" t="n">
        <x:v>-36.44444444444444</x:v>
      </x:c>
      <x:c r="K171" s="100"/>
      <x:c r="L171" s="99" t="n">
        <x:v>0.6027777777777777</x:v>
      </x:c>
      <x:c r="M171" s="99" t="n">
        <x:v>0.6922222222222222</x:v>
      </x:c>
      <x:c r="N171" s="99"/>
      <x:c r="O171" s="99" t="n">
        <x:v>0.37497566666666665</x:v>
      </x:c>
      <x:c r="P171" s="99" t="n">
        <x:v>-0.008438777777777764</x:v>
      </x:c>
      <x:c r="Q171" s="99" t="n">
        <x:v>0.2772596666666667</x:v>
      </x:c>
      <x:c r="R171" s="99" t="n">
        <x:v>0.009835111111111104</x:v>
      </x:c>
      <x:c r="S171" s="45"/>
      <x:c r="T171" s="45"/>
      <x:c r="U171" s="51" t="d">
        <x:v>2026-09-30T00:00:00.000Z</x:v>
      </x:c>
      <x:c r="V171" s="51" t="d">
        <x:v>2026-09-30T00:00:00.000Z</x:v>
      </x:c>
      <x:c r="W171" s="109" t="n">
        <x:v>9</x:v>
      </x:c>
      <x:c r="X171" s="109" t="n">
        <x:v>9</x:v>
      </x:c>
      <x:c r="Y171" s="45" t="str">
        <x:v>sbx-mex/Perfil_Tienda_DM</x:v>
      </x:c>
      <x:c r="Z171" s="45" t="str">
        <x:v>2a6b0d21379739482f0b4c7be9b0f9a022e15f5b</x:v>
      </x:c>
      <x:c r="AA171" s="45" t="str">
        <x:v>8456a41c5e02d454e70a2531577ffb2e29f73e57e44a7762de681d568aa4227a</x:v>
      </x:c>
    </x:row>
    <x:row r="172" ht="23" customHeight="1">
      <x:c r="A172" s="50" t="str">
        <x:v>38684</x:v>
      </x:c>
      <x:c r="B172" s="51" t="d">
        <x:v>2026-09-30T00:00:00.000Z</x:v>
      </x:c>
      <x:c r="C172" s="99" t="n">
        <x:v>0.072289</x:v>
      </x:c>
      <x:c r="D172" s="100" t="n">
        <x:v>6.250344999999999</x:v>
      </x:c>
      <x:c r="E172" s="100" t="n">
        <x:v>16.79491277777778</x:v>
      </x:c>
      <x:c r="F172" s="99" t="n">
        <x:v>0.13058844444444445</x:v>
      </x:c>
      <x:c r="G172" s="99" t="n">
        <x:v>-0.009184222222222215</x:v>
      </x:c>
      <x:c r="H172" s="101" t="n">
        <x:v>17475353</x:v>
      </x:c>
      <x:c r="I172" s="99" t="n">
        <x:v>-0.0018716279553115944</x:v>
      </x:c>
      <x:c r="J172" s="100" t="n">
        <x:v>2.2222222222222223</x:v>
      </x:c>
      <x:c r="K172" s="100"/>
      <x:c r="L172" s="99" t="n">
        <x:v>0.6636666666666666</x:v>
      </x:c>
      <x:c r="M172" s="99" t="n">
        <x:v>0.7377777777777779</x:v>
      </x:c>
      <x:c r="N172" s="99"/>
      <x:c r="O172" s="99" t="n">
        <x:v>0.34745944444444443</x:v>
      </x:c>
      <x:c r="P172" s="99" t="n">
        <x:v>-0.005716777777777775</x:v>
      </x:c>
      <x:c r="Q172" s="99" t="n">
        <x:v>0.24931888888888887</x:v>
      </x:c>
      <x:c r="R172" s="99" t="n">
        <x:v>0.02637911111111111</x:v>
      </x:c>
      <x:c r="S172" s="45"/>
      <x:c r="T172" s="45"/>
      <x:c r="U172" s="51" t="d">
        <x:v>2026-09-30T00:00:00.000Z</x:v>
      </x:c>
      <x:c r="V172" s="51" t="d">
        <x:v>2026-09-30T00:00:00.000Z</x:v>
      </x:c>
      <x:c r="W172" s="109" t="n">
        <x:v>9</x:v>
      </x:c>
      <x:c r="X172" s="109" t="n">
        <x:v>9</x:v>
      </x:c>
      <x:c r="Y172" s="45" t="str">
        <x:v>sbx-mex/Perfil_Tienda_DM</x:v>
      </x:c>
      <x:c r="Z172" s="45" t="str">
        <x:v>2a6b0d21379739482f0b4c7be9b0f9a022e15f5b</x:v>
      </x:c>
      <x:c r="AA172" s="45" t="str">
        <x:v>8456a41c5e02d454e70a2531577ffb2e29f73e57e44a7762de681d568aa4227a</x:v>
      </x:c>
    </x:row>
    <x:row r="173" ht="23" customHeight="1">
      <x:c r="A173" s="50" t="str">
        <x:v>38716</x:v>
      </x:c>
      <x:c r="B173" s="51" t="d">
        <x:v>2026-09-30T00:00:00.000Z</x:v>
      </x:c>
      <x:c r="C173" s="99" t="n">
        <x:v>0.556701</x:v>
      </x:c>
      <x:c r="D173" s="100" t="n">
        <x:v>5.880546666666667</x:v>
      </x:c>
      <x:c r="E173" s="100" t="n">
        <x:v>15.127705222222223</x:v>
      </x:c>
      <x:c r="F173" s="99" t="n">
        <x:v>0.1423702222222222</x:v>
      </x:c>
      <x:c r="G173" s="99" t="n">
        <x:v>0.011877999999999994</x:v>
      </x:c>
      <x:c r="H173" s="101" t="n">
        <x:v>19931733</x:v>
      </x:c>
      <x:c r="I173" s="99" t="n">
        <x:v>-0.06912975033498492</x:v>
      </x:c>
      <x:c r="J173" s="100" t="n">
        <x:v>-38.77777777777778</x:v>
      </x:c>
      <x:c r="K173" s="100"/>
      <x:c r="L173" s="99" t="n">
        <x:v>0.581</x:v>
      </x:c>
      <x:c r="M173" s="99" t="n">
        <x:v>0.6522222222222223</x:v>
      </x:c>
      <x:c r="N173" s="99"/>
      <x:c r="O173" s="99" t="n">
        <x:v>0.35985433333333333</x:v>
      </x:c>
      <x:c r="P173" s="99" t="n">
        <x:v>-0.02084622222222221</x:v>
      </x:c>
      <x:c r="Q173" s="99" t="n">
        <x:v>0.2170713333333333</x:v>
      </x:c>
      <x:c r="R173" s="99" t="n">
        <x:v>0.02281711111111111</x:v>
      </x:c>
      <x:c r="S173" s="45"/>
      <x:c r="T173" s="45"/>
      <x:c r="U173" s="51" t="d">
        <x:v>2026-09-30T00:00:00.000Z</x:v>
      </x:c>
      <x:c r="V173" s="51" t="d">
        <x:v>2026-09-30T00:00:00.000Z</x:v>
      </x:c>
      <x:c r="W173" s="109" t="n">
        <x:v>9</x:v>
      </x:c>
      <x:c r="X173" s="109" t="n">
        <x:v>9</x:v>
      </x:c>
      <x:c r="Y173" s="45" t="str">
        <x:v>sbx-mex/Perfil_Tienda_DM</x:v>
      </x:c>
      <x:c r="Z173" s="45" t="str">
        <x:v>2a6b0d21379739482f0b4c7be9b0f9a022e15f5b</x:v>
      </x:c>
      <x:c r="AA173" s="45" t="str">
        <x:v>8456a41c5e02d454e70a2531577ffb2e29f73e57e44a7762de681d568aa4227a</x:v>
      </x:c>
    </x:row>
    <x:row r="174" ht="23" customHeight="1">
      <x:c r="A174" s="50" t="str">
        <x:v>38718</x:v>
      </x:c>
      <x:c r="B174" s="51" t="d">
        <x:v>2026-09-30T00:00:00.000Z</x:v>
      </x:c>
      <x:c r="C174" s="99" t="n">
        <x:v>0.27907</x:v>
      </x:c>
      <x:c r="D174" s="100" t="n">
        <x:v>5.721062666666667</x:v>
      </x:c>
      <x:c r="E174" s="100" t="n">
        <x:v>14.503990333333332</x:v>
      </x:c>
      <x:c r="F174" s="99" t="n">
        <x:v>0.16045288888888887</x:v>
      </x:c>
      <x:c r="G174" s="99" t="n">
        <x:v>0.00487177777777778</x:v>
      </x:c>
      <x:c r="H174" s="101" t="n">
        <x:v>11456268</x:v>
      </x:c>
      <x:c r="I174" s="99" t="n">
        <x:v>-0.08211577549316162</x:v>
      </x:c>
      <x:c r="J174" s="100" t="n">
        <x:v>-0.6666666666666666</x:v>
      </x:c>
      <x:c r="K174" s="100"/>
      <x:c r="L174" s="99" t="n">
        <x:v>0.6513333333333333</x:v>
      </x:c>
      <x:c r="M174" s="99" t="n">
        <x:v>0.7033333333333334</x:v>
      </x:c>
      <x:c r="N174" s="99"/>
      <x:c r="O174" s="99" t="n">
        <x:v>0.37326400000000004</x:v>
      </x:c>
      <x:c r="P174" s="99" t="n">
        <x:v>0.01705377777777778</x:v>
      </x:c>
      <x:c r="Q174" s="99" t="n">
        <x:v>0.18769666666666668</x:v>
      </x:c>
      <x:c r="R174" s="99" t="n">
        <x:v>-0.031583666666666656</x:v>
      </x:c>
      <x:c r="S174" s="45"/>
      <x:c r="T174" s="45"/>
      <x:c r="U174" s="51" t="d">
        <x:v>2026-09-30T00:00:00.000Z</x:v>
      </x:c>
      <x:c r="V174" s="51" t="d">
        <x:v>2026-09-30T00:00:00.000Z</x:v>
      </x:c>
      <x:c r="W174" s="109" t="n">
        <x:v>9</x:v>
      </x:c>
      <x:c r="X174" s="109" t="n">
        <x:v>9</x:v>
      </x:c>
      <x:c r="Y174" s="45" t="str">
        <x:v>sbx-mex/Perfil_Tienda_DM</x:v>
      </x:c>
      <x:c r="Z174" s="45" t="str">
        <x:v>2a6b0d21379739482f0b4c7be9b0f9a022e15f5b</x:v>
      </x:c>
      <x:c r="AA174" s="45" t="str">
        <x:v>8456a41c5e02d454e70a2531577ffb2e29f73e57e44a7762de681d568aa4227a</x:v>
      </x:c>
    </x:row>
    <x:row r="175" ht="23" customHeight="1">
      <x:c r="A175" s="50" t="str">
        <x:v>38996</x:v>
      </x:c>
      <x:c r="B175" s="51" t="d">
        <x:v>2026-09-30T00:00:00.000Z</x:v>
      </x:c>
      <x:c r="C175" s="99" t="n">
        <x:v>0.071429</x:v>
      </x:c>
      <x:c r="D175" s="100" t="n">
        <x:v>5.9386589999999995</x:v>
      </x:c>
      <x:c r="E175" s="100" t="n">
        <x:v>14.937244333333334</x:v>
      </x:c>
      <x:c r="F175" s="99" t="n">
        <x:v>0.14093577777777777</x:v>
      </x:c>
      <x:c r="G175" s="99" t="n">
        <x:v>-0.006897777777777776</x:v>
      </x:c>
      <x:c r="H175" s="101" t="n">
        <x:v>17304770</x:v>
      </x:c>
      <x:c r="I175" s="99" t="n">
        <x:v>0.011876119544999675</x:v>
      </x:c>
      <x:c r="J175" s="100" t="n">
        <x:v>-8</x:v>
      </x:c>
      <x:c r="K175" s="100"/>
      <x:c r="L175" s="99" t="n">
        <x:v>0.6536666666666666</x:v>
      </x:c>
      <x:c r="M175" s="99" t="n">
        <x:v>0.7055555555555555</x:v>
      </x:c>
      <x:c r="N175" s="99"/>
      <x:c r="O175" s="99" t="n">
        <x:v>0.35636666666666666</x:v>
      </x:c>
      <x:c r="P175" s="99" t="n">
        <x:v>-0.005473888888888883</x:v>
      </x:c>
      <x:c r="Q175" s="99" t="n">
        <x:v>0.17557855555555554</x:v>
      </x:c>
      <x:c r="R175" s="99" t="n">
        <x:v>0.007267888888888889</x:v>
      </x:c>
      <x:c r="S175" s="45"/>
      <x:c r="T175" s="45"/>
      <x:c r="U175" s="51" t="d">
        <x:v>2026-09-30T00:00:00.000Z</x:v>
      </x:c>
      <x:c r="V175" s="51" t="d">
        <x:v>2026-09-30T00:00:00.000Z</x:v>
      </x:c>
      <x:c r="W175" s="109" t="n">
        <x:v>9</x:v>
      </x:c>
      <x:c r="X175" s="109" t="n">
        <x:v>9</x:v>
      </x:c>
      <x:c r="Y175" s="45" t="str">
        <x:v>sbx-mex/Perfil_Tienda_DM</x:v>
      </x:c>
      <x:c r="Z175" s="45" t="str">
        <x:v>2a6b0d21379739482f0b4c7be9b0f9a022e15f5b</x:v>
      </x:c>
      <x:c r="AA175" s="45" t="str">
        <x:v>8456a41c5e02d454e70a2531577ffb2e29f73e57e44a7762de681d568aa4227a</x:v>
      </x:c>
    </x:row>
    <x:row r="176" ht="23" customHeight="1">
      <x:c r="A176" s="50" t="str">
        <x:v>43034</x:v>
      </x:c>
      <x:c r="B176" s="51" t="d">
        <x:v>2026-09-30T00:00:00.000Z</x:v>
      </x:c>
      <x:c r="C176" s="99" t="n">
        <x:v>0.3</x:v>
      </x:c>
      <x:c r="D176" s="100" t="n">
        <x:v>6.444519</x:v>
      </x:c>
      <x:c r="E176" s="100" t="n">
        <x:v>16.790893222222223</x:v>
      </x:c>
      <x:c r="F176" s="99" t="n">
        <x:v>0.13635266666666668</x:v>
      </x:c>
      <x:c r="G176" s="99" t="n">
        <x:v>0.0052128888888888876</x:v>
      </x:c>
      <x:c r="H176" s="101" t="n">
        <x:v>17091066</x:v>
      </x:c>
      <x:c r="I176" s="99" t="n">
        <x:v>-0.08377716477102348</x:v>
      </x:c>
      <x:c r="J176" s="100" t="n">
        <x:v>5.222222222222222</x:v>
      </x:c>
      <x:c r="K176" s="100"/>
      <x:c r="L176" s="99" t="n">
        <x:v>0.5855555555555556</x:v>
      </x:c>
      <x:c r="M176" s="99" t="n">
        <x:v>0.69</x:v>
      </x:c>
      <x:c r="N176" s="99"/>
      <x:c r="O176" s="99" t="n">
        <x:v>0.3816858888888889</x:v>
      </x:c>
      <x:c r="P176" s="99" t="n">
        <x:v>0.012705666666666659</x:v>
      </x:c>
      <x:c r="Q176" s="99" t="n">
        <x:v>0.25073688888888884</x:v>
      </x:c>
      <x:c r="R176" s="99" t="n">
        <x:v>-0.04360166666666668</x:v>
      </x:c>
      <x:c r="S176" s="45"/>
      <x:c r="T176" s="45"/>
      <x:c r="U176" s="51" t="d">
        <x:v>2026-09-30T00:00:00.000Z</x:v>
      </x:c>
      <x:c r="V176" s="51" t="d">
        <x:v>2026-09-30T00:00:00.000Z</x:v>
      </x:c>
      <x:c r="W176" s="109" t="n">
        <x:v>9</x:v>
      </x:c>
      <x:c r="X176" s="109" t="n">
        <x:v>9</x:v>
      </x:c>
      <x:c r="Y176" s="45" t="str">
        <x:v>sbx-mex/Perfil_Tienda_DM</x:v>
      </x:c>
      <x:c r="Z176" s="45" t="str">
        <x:v>2a6b0d21379739482f0b4c7be9b0f9a022e15f5b</x:v>
      </x:c>
      <x:c r="AA176" s="45" t="str">
        <x:v>8456a41c5e02d454e70a2531577ffb2e29f73e57e44a7762de681d568aa4227a</x:v>
      </x:c>
    </x:row>
    <x:row r="177" ht="23" customHeight="1">
      <x:c r="A177" s="50" t="str">
        <x:v>43164</x:v>
      </x:c>
      <x:c r="B177" s="51" t="d">
        <x:v>2026-09-30T00:00:00.000Z</x:v>
      </x:c>
      <x:c r="C177" s="99" t="n">
        <x:v>0.342857</x:v>
      </x:c>
      <x:c r="D177" s="100" t="n">
        <x:v>7.278396857142857</x:v>
      </x:c>
      <x:c r="E177" s="100" t="n">
        <x:v>19.365156000000002</x:v>
      </x:c>
      <x:c r="F177" s="99" t="n">
        <x:v>0.09757614285714286</x:v>
      </x:c>
      <x:c r="G177" s="99" t="n">
        <x:v>-0.057911</x:v>
      </x:c>
      <x:c r="H177" s="101" t="n">
        <x:v>22622806</x:v>
      </x:c>
      <x:c r="I177" s="99" t="n">
        <x:v>0.779511051630444</x:v>
      </x:c>
      <x:c r="J177" s="100"/>
      <x:c r="K177" s="100"/>
      <x:c r="L177" s="99" t="n">
        <x:v>0.46776028571428574</x:v>
      </x:c>
      <x:c r="M177" s="99" t="n">
        <x:v>0.626006142857143</x:v>
      </x:c>
      <x:c r="N177" s="99"/>
      <x:c r="O177" s="99" t="n">
        <x:v>0.3037365714285714</x:v>
      </x:c>
      <x:c r="P177" s="99" t="n">
        <x:v>-0.048186</x:v>
      </x:c>
      <x:c r="Q177" s="99" t="n">
        <x:v>0.41080228571428573</x:v>
      </x:c>
      <x:c r="R177" s="99" t="n">
        <x:v>0.11087671428571426</x:v>
      </x:c>
      <x:c r="S177" s="45" t="str">
        <x:v>01:41</x:v>
      </x:c>
      <x:c r="T177" s="45"/>
      <x:c r="U177" s="51" t="d">
        <x:v>2026-09-30T00:00:00.000Z</x:v>
      </x:c>
      <x:c r="V177" s="51" t="d">
        <x:v>2026-09-30T00:00:00.000Z</x:v>
      </x:c>
      <x:c r="W177" s="109" t="n">
        <x:v>9</x:v>
      </x:c>
      <x:c r="X177" s="109" t="n">
        <x:v>9</x:v>
      </x:c>
      <x:c r="Y177" s="45" t="str">
        <x:v>sbx-mex/Perfil_Tienda_DM</x:v>
      </x:c>
      <x:c r="Z177" s="45" t="str">
        <x:v>2a6b0d21379739482f0b4c7be9b0f9a022e15f5b</x:v>
      </x:c>
      <x:c r="AA177" s="45" t="str">
        <x:v>8456a41c5e02d454e70a2531577ffb2e29f73e57e44a7762de681d568aa4227a</x:v>
      </x:c>
    </x:row>
    <x:row r="178" ht="23" customHeight="1">
      <x:c r="A178" s="50" t="str">
        <x:v>43183</x:v>
      </x:c>
      <x:c r="B178" s="51" t="d">
        <x:v>2026-09-30T00:00:00.000Z</x:v>
      </x:c>
      <x:c r="C178" s="99" t="n">
        <x:v>0</x:v>
      </x:c>
      <x:c r="D178" s="100" t="n">
        <x:v>7.326850666666666</x:v>
      </x:c>
      <x:c r="E178" s="100" t="n">
        <x:v>14.782546166666668</x:v>
      </x:c>
      <x:c r="F178" s="99" t="n">
        <x:v>0.12337</x:v>
      </x:c>
      <x:c r="G178" s="99"/>
      <x:c r="H178" s="101" t="n">
        <x:v>8494412</x:v>
      </x:c>
      <x:c r="I178" s="99"/>
      <x:c r="J178" s="100"/>
      <x:c r="K178" s="100"/>
      <x:c r="L178" s="99" t="n">
        <x:v>0.6221666666666666</x:v>
      </x:c>
      <x:c r="M178" s="99" t="n">
        <x:v>0.7666666666666666</x:v>
      </x:c>
      <x:c r="N178" s="99"/>
      <x:c r="O178" s="99" t="n">
        <x:v>0.3224192857142857</x:v>
      </x:c>
      <x:c r="P178" s="99"/>
      <x:c r="Q178" s="99" t="n">
        <x:v>0.13887842857142857</x:v>
      </x:c>
      <x:c r="R178" s="99"/>
      <x:c r="S178" s="45"/>
      <x:c r="T178" s="45"/>
      <x:c r="U178" s="51" t="d">
        <x:v>2026-09-30T00:00:00.000Z</x:v>
      </x:c>
      <x:c r="V178" s="51" t="d">
        <x:v>2026-09-30T00:00:00.000Z</x:v>
      </x:c>
      <x:c r="W178" s="109" t="n">
        <x:v>9</x:v>
      </x:c>
      <x:c r="X178" s="109" t="n">
        <x:v>6</x:v>
      </x:c>
      <x:c r="Y178" s="45" t="str">
        <x:v>sbx-mex/Perfil_Tienda_DM</x:v>
      </x:c>
      <x:c r="Z178" s="45" t="str">
        <x:v>2a6b0d21379739482f0b4c7be9b0f9a022e15f5b</x:v>
      </x:c>
      <x:c r="AA178" s="45" t="str">
        <x:v>8456a41c5e02d454e70a2531577ffb2e29f73e57e44a7762de681d568aa4227a</x:v>
      </x:c>
    </x:row>
    <x:row r="179" ht="23" customHeight="1">
      <x:c r="A179" s="50" t="str">
        <x:v>38140</x:v>
      </x:c>
      <x:c r="B179" s="51"/>
      <x:c r="C179" s="99"/>
      <x:c r="D179" s="100"/>
      <x:c r="E179" s="100"/>
      <x:c r="F179" s="99"/>
      <x:c r="G179" s="99"/>
      <x:c r="H179" s="101"/>
      <x:c r="I179" s="99"/>
      <x:c r="J179" s="100"/>
      <x:c r="K179" s="100"/>
      <x:c r="L179" s="99"/>
      <x:c r="M179" s="99"/>
      <x:c r="N179" s="99"/>
      <x:c r="O179" s="99"/>
      <x:c r="P179" s="99"/>
      <x:c r="Q179" s="99"/>
      <x:c r="R179" s="99"/>
      <x:c r="S179" s="45"/>
      <x:c r="T179" s="45"/>
      <x:c r="U179" s="51"/>
      <x:c r="V179" s="51"/>
      <x:c r="W179" s="109" t="n">
        <x:v>0</x:v>
      </x:c>
      <x:c r="X179" s="109" t="n">
        <x:v>0</x:v>
      </x:c>
      <x:c r="Y179" s="45"/>
      <x:c r="Z179" s="45"/>
      <x:c r="AA179" s="45"/>
    </x:row>
    <x:row r="180" ht="23" customHeight="1">
      <x:c r="A180" s="50" t="str">
        <x:v>38856</x:v>
      </x:c>
      <x:c r="B180" s="51"/>
      <x:c r="C180" s="99"/>
      <x:c r="D180" s="100"/>
      <x:c r="E180" s="100"/>
      <x:c r="F180" s="99"/>
      <x:c r="G180" s="99"/>
      <x:c r="H180" s="101"/>
      <x:c r="I180" s="99"/>
      <x:c r="J180" s="100"/>
      <x:c r="K180" s="100"/>
      <x:c r="L180" s="99"/>
      <x:c r="M180" s="99"/>
      <x:c r="N180" s="99"/>
      <x:c r="O180" s="99"/>
      <x:c r="P180" s="99"/>
      <x:c r="Q180" s="99"/>
      <x:c r="R180" s="99"/>
      <x:c r="S180" s="45"/>
      <x:c r="T180" s="45"/>
      <x:c r="U180" s="51"/>
      <x:c r="V180" s="51"/>
      <x:c r="W180" s="109" t="n">
        <x:v>0</x:v>
      </x:c>
      <x:c r="X180" s="109" t="n">
        <x:v>0</x:v>
      </x:c>
      <x:c r="Y180" s="45"/>
      <x:c r="Z180" s="45"/>
      <x:c r="AA180" s="45"/>
    </x:row>
    <x:row r="181" ht="23" customHeight="1">
      <x:c r="A181" s="50" t="str">
        <x:v>38103</x:v>
      </x:c>
      <x:c r="B181" s="51" t="d">
        <x:v>2026-09-30T00:00:00.000Z</x:v>
      </x:c>
      <x:c r="C181" s="99" t="n">
        <x:v>0.710526</x:v>
      </x:c>
      <x:c r="D181" s="100" t="n">
        <x:v>6.831826</x:v>
      </x:c>
      <x:c r="E181" s="100" t="n">
        <x:v>14.818069</x:v>
      </x:c>
      <x:c r="F181" s="99" t="n">
        <x:v>0.16081277777777778</x:v>
      </x:c>
      <x:c r="G181" s="99" t="n">
        <x:v>-0.06365211111111112</x:v>
      </x:c>
      <x:c r="H181" s="101" t="n">
        <x:v>13273267</x:v>
      </x:c>
      <x:c r="I181" s="99" t="n">
        <x:v>0.012943045434814504</x:v>
      </x:c>
      <x:c r="J181" s="100" t="n">
        <x:v>-32.666666666666664</x:v>
      </x:c>
      <x:c r="K181" s="100"/>
      <x:c r="L181" s="99" t="n">
        <x:v>0.5559999999999999</x:v>
      </x:c>
      <x:c r="M181" s="99" t="n">
        <x:v>0.6733333333333333</x:v>
      </x:c>
      <x:c r="N181" s="99"/>
      <x:c r="O181" s="99" t="n">
        <x:v>0.36363533333333337</x:v>
      </x:c>
      <x:c r="P181" s="99" t="n">
        <x:v>0.02658577777777778</x:v>
      </x:c>
      <x:c r="Q181" s="99" t="n">
        <x:v>0.19679888888888888</x:v>
      </x:c>
      <x:c r="R181" s="99" t="n">
        <x:v>0.08796233333333332</x:v>
      </x:c>
      <x:c r="S181" s="45"/>
      <x:c r="T181" s="45"/>
      <x:c r="U181" s="51" t="d">
        <x:v>2026-09-30T00:00:00.000Z</x:v>
      </x:c>
      <x:c r="V181" s="51" t="d">
        <x:v>2026-09-30T00:00:00.000Z</x:v>
      </x:c>
      <x:c r="W181" s="109" t="n">
        <x:v>9</x:v>
      </x:c>
      <x:c r="X181" s="109" t="n">
        <x:v>9</x:v>
      </x:c>
      <x:c r="Y181" s="45" t="str">
        <x:v>sbx-mex/Perfil_Tienda_DM</x:v>
      </x:c>
      <x:c r="Z181" s="45" t="str">
        <x:v>2a6b0d21379739482f0b4c7be9b0f9a022e15f5b</x:v>
      </x:c>
      <x:c r="AA181" s="45" t="str">
        <x:v>8456a41c5e02d454e70a2531577ffb2e29f73e57e44a7762de681d568aa4227a</x:v>
      </x:c>
    </x:row>
    <x:row r="182" ht="23" customHeight="1">
      <x:c r="A182" s="50" t="str">
        <x:v>38104</x:v>
      </x:c>
      <x:c r="B182" s="51"/>
      <x:c r="C182" s="99"/>
      <x:c r="D182" s="100"/>
      <x:c r="E182" s="100"/>
      <x:c r="F182" s="99"/>
      <x:c r="G182" s="99"/>
      <x:c r="H182" s="101"/>
      <x:c r="I182" s="99"/>
      <x:c r="J182" s="100"/>
      <x:c r="K182" s="100"/>
      <x:c r="L182" s="99"/>
      <x:c r="M182" s="99"/>
      <x:c r="N182" s="99"/>
      <x:c r="O182" s="99"/>
      <x:c r="P182" s="99"/>
      <x:c r="Q182" s="99"/>
      <x:c r="R182" s="99"/>
      <x:c r="S182" s="45"/>
      <x:c r="T182" s="45"/>
      <x:c r="U182" s="51"/>
      <x:c r="V182" s="51"/>
      <x:c r="W182" s="109" t="n">
        <x:v>0</x:v>
      </x:c>
      <x:c r="X182" s="109" t="n">
        <x:v>0</x:v>
      </x:c>
      <x:c r="Y182" s="45"/>
      <x:c r="Z182" s="45"/>
      <x:c r="AA182" s="45"/>
    </x:row>
    <x:row r="183" ht="23" customHeight="1">
      <x:c r="A183" s="50" t="str">
        <x:v>38106</x:v>
      </x:c>
      <x:c r="B183" s="51" t="d">
        <x:v>2026-09-30T00:00:00.000Z</x:v>
      </x:c>
      <x:c r="C183" s="99" t="n">
        <x:v>0.081081</x:v>
      </x:c>
      <x:c r="D183" s="100" t="n">
        <x:v>5.802126555555556</x:v>
      </x:c>
      <x:c r="E183" s="100" t="n">
        <x:v>11.805671111111112</x:v>
      </x:c>
      <x:c r="F183" s="99" t="n">
        <x:v>0.190443</x:v>
      </x:c>
      <x:c r="G183" s="99" t="n">
        <x:v>-0.010703777777777777</x:v>
      </x:c>
      <x:c r="H183" s="101" t="n">
        <x:v>10775832</x:v>
      </x:c>
      <x:c r="I183" s="99" t="n">
        <x:v>0.03190782078831811</x:v>
      </x:c>
      <x:c r="J183" s="100" t="n">
        <x:v>15.222222222222221</x:v>
      </x:c>
      <x:c r="K183" s="100"/>
      <x:c r="L183" s="99" t="n">
        <x:v>0.6204444444444444</x:v>
      </x:c>
      <x:c r="M183" s="99" t="n">
        <x:v>0.6733333333333333</x:v>
      </x:c>
      <x:c r="N183" s="99"/>
      <x:c r="O183" s="99" t="n">
        <x:v>0.36818211111111115</x:v>
      </x:c>
      <x:c r="P183" s="99" t="n">
        <x:v>0.03847522222222223</x:v>
      </x:c>
      <x:c r="Q183" s="99" t="n">
        <x:v>0.11604233333333333</x:v>
      </x:c>
      <x:c r="R183" s="99" t="n">
        <x:v>0.0036414444444444454</x:v>
      </x:c>
      <x:c r="S183" s="45"/>
      <x:c r="T183" s="45"/>
      <x:c r="U183" s="51" t="d">
        <x:v>2026-09-30T00:00:00.000Z</x:v>
      </x:c>
      <x:c r="V183" s="51" t="d">
        <x:v>2026-09-30T00:00:00.000Z</x:v>
      </x:c>
      <x:c r="W183" s="109" t="n">
        <x:v>9</x:v>
      </x:c>
      <x:c r="X183" s="109" t="n">
        <x:v>9</x:v>
      </x:c>
      <x:c r="Y183" s="45" t="str">
        <x:v>sbx-mex/Perfil_Tienda_DM</x:v>
      </x:c>
      <x:c r="Z183" s="45" t="str">
        <x:v>2a6b0d21379739482f0b4c7be9b0f9a022e15f5b</x:v>
      </x:c>
      <x:c r="AA183" s="45" t="str">
        <x:v>8456a41c5e02d454e70a2531577ffb2e29f73e57e44a7762de681d568aa4227a</x:v>
      </x:c>
    </x:row>
    <x:row r="184" ht="23" customHeight="1">
      <x:c r="A184" s="50" t="str">
        <x:v>38112</x:v>
      </x:c>
      <x:c r="B184" s="51" t="d">
        <x:v>2026-09-30T00:00:00.000Z</x:v>
      </x:c>
      <x:c r="C184" s="99" t="n">
        <x:v>0.181818</x:v>
      </x:c>
      <x:c r="D184" s="100" t="n">
        <x:v>5.763664555555556</x:v>
      </x:c>
      <x:c r="E184" s="100" t="n">
        <x:v>11.388731333333332</x:v>
      </x:c>
      <x:c r="F184" s="99" t="n">
        <x:v>0.21927522222222223</x:v>
      </x:c>
      <x:c r="G184" s="99" t="n">
        <x:v>0.05879780000000001</x:v>
      </x:c>
      <x:c r="H184" s="101" t="n">
        <x:v>8000124</x:v>
      </x:c>
      <x:c r="I184" s="99" t="n">
        <x:v>-0.06590697817545343</x:v>
      </x:c>
      <x:c r="J184" s="100" t="n">
        <x:v>-27.11111111111111</x:v>
      </x:c>
      <x:c r="K184" s="100"/>
      <x:c r="L184" s="99" t="n">
        <x:v>0.5435555555555556</x:v>
      </x:c>
      <x:c r="M184" s="99" t="n">
        <x:v>0.6888888888888889</x:v>
      </x:c>
      <x:c r="N184" s="99"/>
      <x:c r="O184" s="99" t="n">
        <x:v>0.43160488888888887</x:v>
      </x:c>
      <x:c r="P184" s="99" t="n">
        <x:v>0.04207879999999999</x:v>
      </x:c>
      <x:c r="Q184" s="99" t="n">
        <x:v>-0.019337333333333335</x:v>
      </x:c>
      <x:c r="R184" s="99" t="n">
        <x:v>0.33491760000000004</x:v>
      </x:c>
      <x:c r="S184" s="45"/>
      <x:c r="T184" s="45"/>
      <x:c r="U184" s="51" t="d">
        <x:v>2026-09-30T00:00:00.000Z</x:v>
      </x:c>
      <x:c r="V184" s="51" t="d">
        <x:v>2026-09-30T00:00:00.000Z</x:v>
      </x:c>
      <x:c r="W184" s="109" t="n">
        <x:v>9</x:v>
      </x:c>
      <x:c r="X184" s="109" t="n">
        <x:v>9</x:v>
      </x:c>
      <x:c r="Y184" s="45" t="str">
        <x:v>sbx-mex/Perfil_Tienda_DM</x:v>
      </x:c>
      <x:c r="Z184" s="45" t="str">
        <x:v>2a6b0d21379739482f0b4c7be9b0f9a022e15f5b</x:v>
      </x:c>
      <x:c r="AA184" s="45" t="str">
        <x:v>8456a41c5e02d454e70a2531577ffb2e29f73e57e44a7762de681d568aa4227a</x:v>
      </x:c>
    </x:row>
    <x:row r="185" ht="23" customHeight="1">
      <x:c r="A185" s="50" t="str">
        <x:v>38188</x:v>
      </x:c>
      <x:c r="B185" s="51" t="d">
        <x:v>2026-09-30T00:00:00.000Z</x:v>
      </x:c>
      <x:c r="C185" s="99" t="n">
        <x:v>0.556291</x:v>
      </x:c>
      <x:c r="D185" s="100" t="n">
        <x:v>6.854394666666667</x:v>
      </x:c>
      <x:c r="E185" s="100" t="n">
        <x:v>14.409139222222223</x:v>
      </x:c>
      <x:c r="F185" s="99" t="n">
        <x:v>0.16047577777777777</x:v>
      </x:c>
      <x:c r="G185" s="99" t="n">
        <x:v>-0.012911888888888886</x:v>
      </x:c>
      <x:c r="H185" s="101" t="n">
        <x:v>13136135</x:v>
      </x:c>
      <x:c r="I185" s="99" t="n">
        <x:v>0.06409849178217675</x:v>
      </x:c>
      <x:c r="J185" s="100" t="n">
        <x:v>5.888888888888889</x:v>
      </x:c>
      <x:c r="K185" s="100"/>
      <x:c r="L185" s="99" t="n">
        <x:v>0.5082222222222222</x:v>
      </x:c>
      <x:c r="M185" s="99" t="n">
        <x:v>0.6155555555555555</x:v>
      </x:c>
      <x:c r="N185" s="99"/>
      <x:c r="O185" s="99" t="n">
        <x:v>0.37866333333333335</x:v>
      </x:c>
      <x:c r="P185" s="99" t="n">
        <x:v>0.025830222222222223</x:v>
      </x:c>
      <x:c r="Q185" s="99" t="n">
        <x:v>0.12110255555555555</x:v>
      </x:c>
      <x:c r="R185" s="99" t="n">
        <x:v>0.0068051111111111125</x:v>
      </x:c>
      <x:c r="S185" s="45"/>
      <x:c r="T185" s="45"/>
      <x:c r="U185" s="51" t="d">
        <x:v>2026-09-30T00:00:00.000Z</x:v>
      </x:c>
      <x:c r="V185" s="51" t="d">
        <x:v>2026-09-30T00:00:00.000Z</x:v>
      </x:c>
      <x:c r="W185" s="109" t="n">
        <x:v>9</x:v>
      </x:c>
      <x:c r="X185" s="109" t="n">
        <x:v>9</x:v>
      </x:c>
      <x:c r="Y185" s="45" t="str">
        <x:v>sbx-mex/Perfil_Tienda_DM</x:v>
      </x:c>
      <x:c r="Z185" s="45" t="str">
        <x:v>2a6b0d21379739482f0b4c7be9b0f9a022e15f5b</x:v>
      </x:c>
      <x:c r="AA185" s="45" t="str">
        <x:v>8456a41c5e02d454e70a2531577ffb2e29f73e57e44a7762de681d568aa4227a</x:v>
      </x:c>
    </x:row>
    <x:row r="186" ht="23" customHeight="1">
      <x:c r="A186" s="50" t="str">
        <x:v>38227</x:v>
      </x:c>
      <x:c r="B186" s="51" t="d">
        <x:v>2026-09-30T00:00:00.000Z</x:v>
      </x:c>
      <x:c r="C186" s="99" t="n">
        <x:v>0.727273</x:v>
      </x:c>
      <x:c r="D186" s="100" t="n">
        <x:v>6.394173222222222</x:v>
      </x:c>
      <x:c r="E186" s="100" t="n">
        <x:v>12.49851188888889</x:v>
      </x:c>
      <x:c r="F186" s="99" t="n">
        <x:v>0.17758133333333334</x:v>
      </x:c>
      <x:c r="G186" s="99" t="n">
        <x:v>0.014094777777777782</x:v>
      </x:c>
      <x:c r="H186" s="101" t="n">
        <x:v>10472252</x:v>
      </x:c>
      <x:c r="I186" s="99" t="n">
        <x:v>-0.13356543921243802</x:v>
      </x:c>
      <x:c r="J186" s="100" t="n">
        <x:v>5.111111111111111</x:v>
      </x:c>
      <x:c r="K186" s="100"/>
      <x:c r="L186" s="99" t="n">
        <x:v>0.5474444444444444</x:v>
      </x:c>
      <x:c r="M186" s="99" t="n">
        <x:v>0.6044444444444445</x:v>
      </x:c>
      <x:c r="N186" s="99"/>
      <x:c r="O186" s="99" t="n">
        <x:v>0.3923082222222222</x:v>
      </x:c>
      <x:c r="P186" s="99" t="n">
        <x:v>0.036281</x:v>
      </x:c>
      <x:c r="Q186" s="99" t="n">
        <x:v>0.150787</x:v>
      </x:c>
      <x:c r="R186" s="99" t="n">
        <x:v>-0.038549</x:v>
      </x:c>
      <x:c r="S186" s="45"/>
      <x:c r="T186" s="45"/>
      <x:c r="U186" s="51" t="d">
        <x:v>2026-09-30T00:00:00.000Z</x:v>
      </x:c>
      <x:c r="V186" s="51" t="d">
        <x:v>2026-09-30T00:00:00.000Z</x:v>
      </x:c>
      <x:c r="W186" s="109" t="n">
        <x:v>9</x:v>
      </x:c>
      <x:c r="X186" s="109" t="n">
        <x:v>9</x:v>
      </x:c>
      <x:c r="Y186" s="45" t="str">
        <x:v>sbx-mex/Perfil_Tienda_DM</x:v>
      </x:c>
      <x:c r="Z186" s="45" t="str">
        <x:v>2a6b0d21379739482f0b4c7be9b0f9a022e15f5b</x:v>
      </x:c>
      <x:c r="AA186" s="45" t="str">
        <x:v>8456a41c5e02d454e70a2531577ffb2e29f73e57e44a7762de681d568aa4227a</x:v>
      </x:c>
    </x:row>
    <x:row r="187" ht="23" customHeight="1">
      <x:c r="A187" s="50" t="str">
        <x:v>38617</x:v>
      </x:c>
      <x:c r="B187" s="51" t="d">
        <x:v>2026-09-30T00:00:00.000Z</x:v>
      </x:c>
      <x:c r="C187" s="99" t="n">
        <x:v>0.188976</x:v>
      </x:c>
      <x:c r="D187" s="100" t="n">
        <x:v>5.5948957777777775</x:v>
      </x:c>
      <x:c r="E187" s="100" t="n">
        <x:v>13.297464</x:v>
      </x:c>
      <x:c r="F187" s="99" t="n">
        <x:v>0.1751731111111111</x:v>
      </x:c>
      <x:c r="G187" s="99" t="n">
        <x:v>0.004626444444444451</x:v>
      </x:c>
      <x:c r="H187" s="101" t="n">
        <x:v>11037895</x:v>
      </x:c>
      <x:c r="I187" s="99" t="n">
        <x:v>-0.015278312852701204</x:v>
      </x:c>
      <x:c r="J187" s="100" t="n">
        <x:v>-12.222222222222221</x:v>
      </x:c>
      <x:c r="K187" s="100"/>
      <x:c r="L187" s="99" t="n">
        <x:v>0.6466666666666667</x:v>
      </x:c>
      <x:c r="M187" s="99" t="n">
        <x:v>0.7111111111111111</x:v>
      </x:c>
      <x:c r="N187" s="99"/>
      <x:c r="O187" s="99" t="n">
        <x:v>0.36728155555555553</x:v>
      </x:c>
      <x:c r="P187" s="99" t="n">
        <x:v>0.0017214444444444482</x:v>
      </x:c>
      <x:c r="Q187" s="99" t="n">
        <x:v>0.15236755555555556</x:v>
      </x:c>
      <x:c r="R187" s="99" t="n">
        <x:v>-0.00537711111111111</x:v>
      </x:c>
      <x:c r="S187" s="45"/>
      <x:c r="T187" s="45"/>
      <x:c r="U187" s="51" t="d">
        <x:v>2026-09-30T00:00:00.000Z</x:v>
      </x:c>
      <x:c r="V187" s="51" t="d">
        <x:v>2026-09-30T00:00:00.000Z</x:v>
      </x:c>
      <x:c r="W187" s="109" t="n">
        <x:v>9</x:v>
      </x:c>
      <x:c r="X187" s="109" t="n">
        <x:v>9</x:v>
      </x:c>
      <x:c r="Y187" s="45" t="str">
        <x:v>sbx-mex/Perfil_Tienda_DM</x:v>
      </x:c>
      <x:c r="Z187" s="45" t="str">
        <x:v>2a6b0d21379739482f0b4c7be9b0f9a022e15f5b</x:v>
      </x:c>
      <x:c r="AA187" s="45" t="str">
        <x:v>8456a41c5e02d454e70a2531577ffb2e29f73e57e44a7762de681d568aa4227a</x:v>
      </x:c>
    </x:row>
    <x:row r="188" ht="23" customHeight="1">
      <x:c r="A188" s="50" t="str">
        <x:v>38646</x:v>
      </x:c>
      <x:c r="B188" s="51" t="d">
        <x:v>2026-09-30T00:00:00.000Z</x:v>
      </x:c>
      <x:c r="C188" s="99" t="n">
        <x:v>0.459574</x:v>
      </x:c>
      <x:c r="D188" s="100" t="n">
        <x:v>6.531498555555555</x:v>
      </x:c>
      <x:c r="E188" s="100" t="n">
        <x:v>14.601365666666668</x:v>
      </x:c>
      <x:c r="F188" s="99" t="n">
        <x:v>0.18004366666666666</x:v>
      </x:c>
      <x:c r="G188" s="99" t="n">
        <x:v>0.022882666666666662</x:v>
      </x:c>
      <x:c r="H188" s="101" t="n">
        <x:v>18370561</x:v>
      </x:c>
      <x:c r="I188" s="99" t="n">
        <x:v>-0.1174226195999023</x:v>
      </x:c>
      <x:c r="J188" s="100" t="n">
        <x:v>-44.111111111111114</x:v>
      </x:c>
      <x:c r="K188" s="100"/>
      <x:c r="L188" s="99" t="n">
        <x:v>0.45211111111111113</x:v>
      </x:c>
      <x:c r="M188" s="99" t="n">
        <x:v>0.5644444444444444</x:v>
      </x:c>
      <x:c r="N188" s="99"/>
      <x:c r="O188" s="99" t="n">
        <x:v>0.3840631111111111</x:v>
      </x:c>
      <x:c r="P188" s="99" t="n">
        <x:v>0.050353555555555554</x:v>
      </x:c>
      <x:c r="Q188" s="99" t="n">
        <x:v>0.2245137777777778</x:v>
      </x:c>
      <x:c r="R188" s="99" t="n">
        <x:v>-0.08278944444444444</x:v>
      </x:c>
      <x:c r="S188" s="45" t="str">
        <x:v>01:30</x:v>
      </x:c>
      <x:c r="T188" s="45" t="str">
        <x:v>01:30</x:v>
      </x:c>
      <x:c r="U188" s="51" t="d">
        <x:v>2026-09-30T00:00:00.000Z</x:v>
      </x:c>
      <x:c r="V188" s="51" t="d">
        <x:v>2026-09-30T00:00:00.000Z</x:v>
      </x:c>
      <x:c r="W188" s="109" t="n">
        <x:v>9</x:v>
      </x:c>
      <x:c r="X188" s="109" t="n">
        <x:v>9</x:v>
      </x:c>
      <x:c r="Y188" s="45" t="str">
        <x:v>sbx-mex/Perfil_Tienda_DM</x:v>
      </x:c>
      <x:c r="Z188" s="45" t="str">
        <x:v>2a6b0d21379739482f0b4c7be9b0f9a022e15f5b</x:v>
      </x:c>
      <x:c r="AA188" s="45" t="str">
        <x:v>8456a41c5e02d454e70a2531577ffb2e29f73e57e44a7762de681d568aa4227a</x:v>
      </x:c>
    </x:row>
    <x:row r="189" ht="23" customHeight="1">
      <x:c r="A189" s="50" t="str">
        <x:v>38692</x:v>
      </x:c>
      <x:c r="B189" s="51" t="d">
        <x:v>2026-09-30T00:00:00.000Z</x:v>
      </x:c>
      <x:c r="C189" s="99" t="n">
        <x:v>0.214286</x:v>
      </x:c>
      <x:c r="D189" s="100" t="n">
        <x:v>7.069814333333333</x:v>
      </x:c>
      <x:c r="E189" s="100" t="n">
        <x:v>16.256069333333333</x:v>
      </x:c>
      <x:c r="F189" s="99" t="n">
        <x:v>0.15938744444444444</x:v>
      </x:c>
      <x:c r="G189" s="99" t="n">
        <x:v>-0.013439444444444445</x:v>
      </x:c>
      <x:c r="H189" s="101" t="n">
        <x:v>14904219</x:v>
      </x:c>
      <x:c r="I189" s="99" t="n">
        <x:v>0.05673622925845456</x:v>
      </x:c>
      <x:c r="J189" s="100" t="n">
        <x:v>7.111111111111111</x:v>
      </x:c>
      <x:c r="K189" s="100"/>
      <x:c r="L189" s="99" t="n">
        <x:v>0.476</x:v>
      </x:c>
      <x:c r="M189" s="99" t="n">
        <x:v>0.6244444444444445</x:v>
      </x:c>
      <x:c r="N189" s="99"/>
      <x:c r="O189" s="99" t="n">
        <x:v>0.3945948888888889</x:v>
      </x:c>
      <x:c r="P189" s="99" t="n">
        <x:v>0.031121777777777766</x:v>
      </x:c>
      <x:c r="Q189" s="99" t="n">
        <x:v>0.20331655555555556</x:v>
      </x:c>
      <x:c r="R189" s="99" t="n">
        <x:v>-0.014035222222222223</x:v>
      </x:c>
      <x:c r="S189" s="45"/>
      <x:c r="T189" s="45"/>
      <x:c r="U189" s="51" t="d">
        <x:v>2026-09-30T00:00:00.000Z</x:v>
      </x:c>
      <x:c r="V189" s="51" t="d">
        <x:v>2026-09-30T00:00:00.000Z</x:v>
      </x:c>
      <x:c r="W189" s="109" t="n">
        <x:v>9</x:v>
      </x:c>
      <x:c r="X189" s="109" t="n">
        <x:v>9</x:v>
      </x:c>
      <x:c r="Y189" s="45" t="str">
        <x:v>sbx-mex/Perfil_Tienda_DM</x:v>
      </x:c>
      <x:c r="Z189" s="45" t="str">
        <x:v>2a6b0d21379739482f0b4c7be9b0f9a022e15f5b</x:v>
      </x:c>
      <x:c r="AA189" s="45" t="str">
        <x:v>8456a41c5e02d454e70a2531577ffb2e29f73e57e44a7762de681d568aa4227a</x:v>
      </x:c>
    </x:row>
    <x:row r="190" ht="23" customHeight="1">
      <x:c r="A190" s="50" t="str">
        <x:v>38730</x:v>
      </x:c>
      <x:c r="B190" s="51" t="d">
        <x:v>2026-09-30T00:00:00.000Z</x:v>
      </x:c>
      <x:c r="C190" s="99" t="n">
        <x:v>0.116505</x:v>
      </x:c>
      <x:c r="D190" s="100" t="n">
        <x:v>7.249122777777777</x:v>
      </x:c>
      <x:c r="E190" s="100" t="n">
        <x:v>14.41235577777778</x:v>
      </x:c>
      <x:c r="F190" s="99" t="n">
        <x:v>0.16077933333333333</x:v>
      </x:c>
      <x:c r="G190" s="99" t="n">
        <x:v>-0.009597666666666664</x:v>
      </x:c>
      <x:c r="H190" s="101" t="n">
        <x:v>15880002</x:v>
      </x:c>
      <x:c r="I190" s="99" t="n">
        <x:v>-0.028606188596021154</x:v>
      </x:c>
      <x:c r="J190" s="100" t="n">
        <x:v>-13.444444444444445</x:v>
      </x:c>
      <x:c r="K190" s="100"/>
      <x:c r="L190" s="99" t="n">
        <x:v>0.46377777777777784</x:v>
      </x:c>
      <x:c r="M190" s="99" t="n">
        <x:v>0.6066666666666667</x:v>
      </x:c>
      <x:c r="N190" s="99"/>
      <x:c r="O190" s="99" t="n">
        <x:v>0.38591366666666665</x:v>
      </x:c>
      <x:c r="P190" s="99" t="n">
        <x:v>-0.00005333333333332499</x:v>
      </x:c>
      <x:c r="Q190" s="99" t="n">
        <x:v>0.1840282222222222</x:v>
      </x:c>
      <x:c r="R190" s="99" t="n">
        <x:v>-0.005615444444444451</x:v>
      </x:c>
      <x:c r="S190" s="45"/>
      <x:c r="T190" s="45"/>
      <x:c r="U190" s="51" t="d">
        <x:v>2026-09-30T00:00:00.000Z</x:v>
      </x:c>
      <x:c r="V190" s="51" t="d">
        <x:v>2026-09-30T00:00:00.000Z</x:v>
      </x:c>
      <x:c r="W190" s="109" t="n">
        <x:v>9</x:v>
      </x:c>
      <x:c r="X190" s="109" t="n">
        <x:v>9</x:v>
      </x:c>
      <x:c r="Y190" s="45" t="str">
        <x:v>sbx-mex/Perfil_Tienda_DM</x:v>
      </x:c>
      <x:c r="Z190" s="45" t="str">
        <x:v>2a6b0d21379739482f0b4c7be9b0f9a022e15f5b</x:v>
      </x:c>
      <x:c r="AA190" s="45" t="str">
        <x:v>8456a41c5e02d454e70a2531577ffb2e29f73e57e44a7762de681d568aa4227a</x:v>
      </x:c>
    </x:row>
    <x:row r="191" ht="23" customHeight="1">
      <x:c r="A191" s="50" t="str">
        <x:v>38746</x:v>
      </x:c>
      <x:c r="B191" s="51" t="d">
        <x:v>2026-09-30T00:00:00.000Z</x:v>
      </x:c>
      <x:c r="C191" s="99" t="n">
        <x:v>0.265193</x:v>
      </x:c>
      <x:c r="D191" s="100" t="n">
        <x:v>6.937181222222222</x:v>
      </x:c>
      <x:c r="E191" s="100" t="n">
        <x:v>13.200512222222223</x:v>
      </x:c>
      <x:c r="F191" s="99" t="n">
        <x:v>0.16410533333333333</x:v>
      </x:c>
      <x:c r="G191" s="99" t="n">
        <x:v>0.02544522222222222</x:v>
      </x:c>
      <x:c r="H191" s="101" t="n">
        <x:v>15996498</x:v>
      </x:c>
      <x:c r="I191" s="99" t="n">
        <x:v>-0.14059997838748217</x:v>
      </x:c>
      <x:c r="J191" s="100" t="n">
        <x:v>-17.11111111111111</x:v>
      </x:c>
      <x:c r="K191" s="100"/>
      <x:c r="L191" s="99" t="n">
        <x:v>0.5489999999999999</x:v>
      </x:c>
      <x:c r="M191" s="99" t="n">
        <x:v>0.5977777777777777</x:v>
      </x:c>
      <x:c r="N191" s="99"/>
      <x:c r="O191" s="99" t="n">
        <x:v>0.35330988888888887</x:v>
      </x:c>
      <x:c r="P191" s="99" t="n">
        <x:v>0.029993333333333323</x:v>
      </x:c>
      <x:c r="Q191" s="99" t="n">
        <x:v>0.21002200000000001</x:v>
      </x:c>
      <x:c r="R191" s="99" t="n">
        <x:v>-0.07051155555555556</x:v>
      </x:c>
      <x:c r="S191" s="45"/>
      <x:c r="T191" s="45"/>
      <x:c r="U191" s="51" t="d">
        <x:v>2026-09-30T00:00:00.000Z</x:v>
      </x:c>
      <x:c r="V191" s="51" t="d">
        <x:v>2026-09-30T00:00:00.000Z</x:v>
      </x:c>
      <x:c r="W191" s="109" t="n">
        <x:v>9</x:v>
      </x:c>
      <x:c r="X191" s="109" t="n">
        <x:v>9</x:v>
      </x:c>
      <x:c r="Y191" s="45" t="str">
        <x:v>sbx-mex/Perfil_Tienda_DM</x:v>
      </x:c>
      <x:c r="Z191" s="45" t="str">
        <x:v>2a6b0d21379739482f0b4c7be9b0f9a022e15f5b</x:v>
      </x:c>
      <x:c r="AA191" s="45" t="str">
        <x:v>8456a41c5e02d454e70a2531577ffb2e29f73e57e44a7762de681d568aa4227a</x:v>
      </x:c>
    </x:row>
    <x:row r="192" ht="23" customHeight="1">
      <x:c r="A192" s="50" t="str">
        <x:v>38954</x:v>
      </x:c>
      <x:c r="B192" s="51" t="d">
        <x:v>2026-09-30T00:00:00.000Z</x:v>
      </x:c>
      <x:c r="C192" s="99" t="n">
        <x:v>0.455696</x:v>
      </x:c>
      <x:c r="D192" s="100" t="n">
        <x:v>7.984699666666667</x:v>
      </x:c>
      <x:c r="E192" s="100" t="n">
        <x:v>13.156586555555556</x:v>
      </x:c>
      <x:c r="F192" s="99" t="n">
        <x:v>0.2968368888888889</x:v>
      </x:c>
      <x:c r="G192" s="99" t="n">
        <x:v>0.05121833333333333</x:v>
      </x:c>
      <x:c r="H192" s="101" t="n">
        <x:v>5393705</x:v>
      </x:c>
      <x:c r="I192" s="99" t="n">
        <x:v>-0.182385131326392</x:v>
      </x:c>
      <x:c r="J192" s="100" t="n">
        <x:v>-45.44444444444444</x:v>
      </x:c>
      <x:c r="K192" s="100"/>
      <x:c r="L192" s="99" t="n">
        <x:v>0.7496666666666667</x:v>
      </x:c>
      <x:c r="M192" s="99" t="n">
        <x:v>0.7444444444444445</x:v>
      </x:c>
      <x:c r="N192" s="99"/>
      <x:c r="O192" s="99" t="n">
        <x:v>0.36171855555555554</x:v>
      </x:c>
      <x:c r="P192" s="99" t="n">
        <x:v>-0.04847788888888889</x:v>
      </x:c>
      <x:c r="Q192" s="99" t="n">
        <x:v>0.021189222222222217</x:v>
      </x:c>
      <x:c r="R192" s="99" t="n">
        <x:v>-0.015508555555555562</x:v>
      </x:c>
      <x:c r="S192" s="45"/>
      <x:c r="T192" s="45"/>
      <x:c r="U192" s="51" t="d">
        <x:v>2026-09-30T00:00:00.000Z</x:v>
      </x:c>
      <x:c r="V192" s="51" t="d">
        <x:v>2026-09-30T00:00:00.000Z</x:v>
      </x:c>
      <x:c r="W192" s="109" t="n">
        <x:v>9</x:v>
      </x:c>
      <x:c r="X192" s="109" t="n">
        <x:v>9</x:v>
      </x:c>
      <x:c r="Y192" s="45" t="str">
        <x:v>sbx-mex/Perfil_Tienda_DM</x:v>
      </x:c>
      <x:c r="Z192" s="45" t="str">
        <x:v>2a6b0d21379739482f0b4c7be9b0f9a022e15f5b</x:v>
      </x:c>
      <x:c r="AA192" s="45" t="str">
        <x:v>8456a41c5e02d454e70a2531577ffb2e29f73e57e44a7762de681d568aa4227a</x:v>
      </x:c>
    </x:row>
    <x:row r="193" ht="23" customHeight="1">
      <x:c r="A193" s="50" t="str">
        <x:v>43142</x:v>
      </x:c>
      <x:c r="B193" s="51" t="d">
        <x:v>2026-09-30T00:00:00.000Z</x:v>
      </x:c>
      <x:c r="C193" s="99" t="n">
        <x:v>0.422535</x:v>
      </x:c>
      <x:c r="D193" s="100" t="n">
        <x:v>6.247027444444445</x:v>
      </x:c>
      <x:c r="E193" s="100" t="n">
        <x:v>12.815059555555557</x:v>
      </x:c>
      <x:c r="F193" s="99" t="n">
        <x:v>0.17073511111111112</x:v>
      </x:c>
      <x:c r="G193" s="99" t="n">
        <x:v>0.003053444444444451</x:v>
      </x:c>
      <x:c r="H193" s="101" t="n">
        <x:v>10602467</x:v>
      </x:c>
      <x:c r="I193" s="99" t="n">
        <x:v>-0.09341992850096881</x:v>
      </x:c>
      <x:c r="J193" s="100" t="n">
        <x:v>16</x:v>
      </x:c>
      <x:c r="K193" s="100"/>
      <x:c r="L193" s="99" t="n">
        <x:v>0.5526666666666666</x:v>
      </x:c>
      <x:c r="M193" s="99" t="n">
        <x:v>0.6511111111111111</x:v>
      </x:c>
      <x:c r="N193" s="99"/>
      <x:c r="O193" s="99" t="n">
        <x:v>0.3864447777777778</x:v>
      </x:c>
      <x:c r="P193" s="99" t="n">
        <x:v>0.03283444444444446</x:v>
      </x:c>
      <x:c r="Q193" s="99" t="n">
        <x:v>0.18529277777777778</x:v>
      </x:c>
      <x:c r="R193" s="99" t="n">
        <x:v>-0.054124111111111116</x:v>
      </x:c>
      <x:c r="S193" s="45"/>
      <x:c r="T193" s="45"/>
      <x:c r="U193" s="51" t="d">
        <x:v>2026-09-30T00:00:00.000Z</x:v>
      </x:c>
      <x:c r="V193" s="51" t="d">
        <x:v>2026-09-30T00:00:00.000Z</x:v>
      </x:c>
      <x:c r="W193" s="109" t="n">
        <x:v>9</x:v>
      </x:c>
      <x:c r="X193" s="109" t="n">
        <x:v>9</x:v>
      </x:c>
      <x:c r="Y193" s="45" t="str">
        <x:v>sbx-mex/Perfil_Tienda_DM</x:v>
      </x:c>
      <x:c r="Z193" s="45" t="str">
        <x:v>2a6b0d21379739482f0b4c7be9b0f9a022e15f5b</x:v>
      </x:c>
      <x:c r="AA193" s="45" t="str">
        <x:v>8456a41c5e02d454e70a2531577ffb2e29f73e57e44a7762de681d568aa4227a</x:v>
      </x:c>
    </x:row>
    <x:row r="194" ht="23" customHeight="1">
      <x:c r="A194" s="50" t="str">
        <x:v>38233</x:v>
      </x:c>
      <x:c r="B194" s="51" t="d">
        <x:v>2026-09-30T00:00:00.000Z</x:v>
      </x:c>
      <x:c r="C194" s="99" t="n">
        <x:v>0.622642</x:v>
      </x:c>
      <x:c r="D194" s="100" t="n">
        <x:v>6.193984555555556</x:v>
      </x:c>
      <x:c r="E194" s="100" t="n">
        <x:v>13.769003444444444</x:v>
      </x:c>
      <x:c r="F194" s="99" t="n">
        <x:v>0.15518922222222223</x:v>
      </x:c>
      <x:c r="G194" s="99" t="n">
        <x:v>0.02848644444444445</x:v>
      </x:c>
      <x:c r="H194" s="101" t="n">
        <x:v>19208126</x:v>
      </x:c>
      <x:c r="I194" s="99" t="n">
        <x:v>-0.24758866234062782</x:v>
      </x:c>
      <x:c r="J194" s="100" t="n">
        <x:v>-108.33333333333333</x:v>
      </x:c>
      <x:c r="K194" s="100"/>
      <x:c r="L194" s="99" t="n">
        <x:v>0.5431111111111111</x:v>
      </x:c>
      <x:c r="M194" s="99" t="n">
        <x:v>0.6277777777777778</x:v>
      </x:c>
      <x:c r="N194" s="99"/>
      <x:c r="O194" s="99" t="n">
        <x:v>0.3820503333333333</x:v>
      </x:c>
      <x:c r="P194" s="99" t="n">
        <x:v>0.016780444444444438</x:v>
      </x:c>
      <x:c r="Q194" s="99" t="n">
        <x:v>0.21189466666666668</x:v>
      </x:c>
      <x:c r="R194" s="99" t="n">
        <x:v>-0.07272466666666666</x:v>
      </x:c>
      <x:c r="S194" s="45"/>
      <x:c r="T194" s="45"/>
      <x:c r="U194" s="51" t="d">
        <x:v>2026-09-30T00:00:00.000Z</x:v>
      </x:c>
      <x:c r="V194" s="51" t="d">
        <x:v>2026-09-30T00:00:00.000Z</x:v>
      </x:c>
      <x:c r="W194" s="109" t="n">
        <x:v>9</x:v>
      </x:c>
      <x:c r="X194" s="109" t="n">
        <x:v>9</x:v>
      </x:c>
      <x:c r="Y194" s="45" t="str">
        <x:v>sbx-mex/Perfil_Tienda_DM</x:v>
      </x:c>
      <x:c r="Z194" s="45" t="str">
        <x:v>2a6b0d21379739482f0b4c7be9b0f9a022e15f5b</x:v>
      </x:c>
      <x:c r="AA194" s="45" t="str">
        <x:v>8456a41c5e02d454e70a2531577ffb2e29f73e57e44a7762de681d568aa4227a</x:v>
      </x:c>
    </x:row>
    <x:row r="195" ht="23" customHeight="1">
      <x:c r="A195" s="50" t="str">
        <x:v>38578</x:v>
      </x:c>
      <x:c r="B195" s="51" t="d">
        <x:v>2026-09-30T00:00:00.000Z</x:v>
      </x:c>
      <x:c r="C195" s="99" t="n">
        <x:v>0.324324</x:v>
      </x:c>
      <x:c r="D195" s="100" t="n">
        <x:v>6.2550857777777775</x:v>
      </x:c>
      <x:c r="E195" s="100" t="n">
        <x:v>13.89425388888889</x:v>
      </x:c>
      <x:c r="F195" s="99" t="n">
        <x:v>0.18131377777777777</x:v>
      </x:c>
      <x:c r="G195" s="99" t="n">
        <x:v>0.03334644444444444</x:v>
      </x:c>
      <x:c r="H195" s="101" t="n">
        <x:v>19727079</x:v>
      </x:c>
      <x:c r="I195" s="99" t="n">
        <x:v>-0.19736705190759185</x:v>
      </x:c>
      <x:c r="J195" s="100" t="n">
        <x:v>-46.333333333333336</x:v>
      </x:c>
      <x:c r="K195" s="100"/>
      <x:c r="L195" s="99" t="n">
        <x:v>0.460375</x:v>
      </x:c>
      <x:c r="M195" s="99" t="n">
        <x:v>0.585</x:v>
      </x:c>
      <x:c r="N195" s="99"/>
      <x:c r="O195" s="99" t="n">
        <x:v>0.34853266666666666</x:v>
      </x:c>
      <x:c r="P195" s="99" t="n">
        <x:v>-0.012256000000000013</x:v>
      </x:c>
      <x:c r="Q195" s="99" t="n">
        <x:v>0.19460233333333335</x:v>
      </x:c>
      <x:c r="R195" s="99" t="n">
        <x:v>-0.07647966666666665</x:v>
      </x:c>
      <x:c r="S195" s="45"/>
      <x:c r="T195" s="45"/>
      <x:c r="U195" s="51" t="d">
        <x:v>2026-09-30T00:00:00.000Z</x:v>
      </x:c>
      <x:c r="V195" s="51" t="d">
        <x:v>2026-09-30T00:00:00.000Z</x:v>
      </x:c>
      <x:c r="W195" s="109" t="n">
        <x:v>9</x:v>
      </x:c>
      <x:c r="X195" s="109" t="n">
        <x:v>9</x:v>
      </x:c>
      <x:c r="Y195" s="45" t="str">
        <x:v>sbx-mex/Perfil_Tienda_DM</x:v>
      </x:c>
      <x:c r="Z195" s="45" t="str">
        <x:v>2a6b0d21379739482f0b4c7be9b0f9a022e15f5b</x:v>
      </x:c>
      <x:c r="AA195" s="45" t="str">
        <x:v>8456a41c5e02d454e70a2531577ffb2e29f73e57e44a7762de681d568aa4227a</x:v>
      </x:c>
    </x:row>
    <x:row r="196" ht="23" customHeight="1">
      <x:c r="A196" s="50" t="str">
        <x:v>38769</x:v>
      </x:c>
      <x:c r="B196" s="51" t="d">
        <x:v>2026-09-30T00:00:00.000Z</x:v>
      </x:c>
      <x:c r="C196" s="99" t="n">
        <x:v>0.365854</x:v>
      </x:c>
      <x:c r="D196" s="100" t="n">
        <x:v>6.0480438888888886</x:v>
      </x:c>
      <x:c r="E196" s="100" t="n">
        <x:v>14.065475</x:v>
      </x:c>
      <x:c r="F196" s="99" t="n">
        <x:v>0.1592251111111111</x:v>
      </x:c>
      <x:c r="G196" s="99" t="n">
        <x:v>-0.004616333333333333</x:v>
      </x:c>
      <x:c r="H196" s="101" t="n">
        <x:v>13902925</x:v>
      </x:c>
      <x:c r="I196" s="99" t="n">
        <x:v>-0.035379047423185095</x:v>
      </x:c>
      <x:c r="J196" s="100" t="n">
        <x:v>-13.555555555555555</x:v>
      </x:c>
      <x:c r="K196" s="100"/>
      <x:c r="L196" s="99" t="n">
        <x:v>0.48299999999999993</x:v>
      </x:c>
      <x:c r="M196" s="99" t="n">
        <x:v>0.6533333333333333</x:v>
      </x:c>
      <x:c r="N196" s="99"/>
      <x:c r="O196" s="99" t="n">
        <x:v>0.3831777777777778</x:v>
      </x:c>
      <x:c r="P196" s="99" t="n">
        <x:v>0.008386555555555557</x:v>
      </x:c>
      <x:c r="Q196" s="99" t="n">
        <x:v>0.17343955555555557</x:v>
      </x:c>
      <x:c r="R196" s="99" t="n">
        <x:v>0.0008536666666666754</x:v>
      </x:c>
      <x:c r="S196" s="45"/>
      <x:c r="T196" s="45"/>
      <x:c r="U196" s="51" t="d">
        <x:v>2026-09-30T00:00:00.000Z</x:v>
      </x:c>
      <x:c r="V196" s="51" t="d">
        <x:v>2026-09-30T00:00:00.000Z</x:v>
      </x:c>
      <x:c r="W196" s="109" t="n">
        <x:v>9</x:v>
      </x:c>
      <x:c r="X196" s="109" t="n">
        <x:v>9</x:v>
      </x:c>
      <x:c r="Y196" s="45" t="str">
        <x:v>sbx-mex/Perfil_Tienda_DM</x:v>
      </x:c>
      <x:c r="Z196" s="45" t="str">
        <x:v>2a6b0d21379739482f0b4c7be9b0f9a022e15f5b</x:v>
      </x:c>
      <x:c r="AA196" s="45" t="str">
        <x:v>8456a41c5e02d454e70a2531577ffb2e29f73e57e44a7762de681d568aa4227a</x:v>
      </x:c>
    </x:row>
    <x:row r="197" ht="23" customHeight="1">
      <x:c r="A197" s="50" t="str">
        <x:v>38829</x:v>
      </x:c>
      <x:c r="B197" s="51" t="d">
        <x:v>2026-09-30T00:00:00.000Z</x:v>
      </x:c>
      <x:c r="C197" s="99" t="n">
        <x:v>0.377358</x:v>
      </x:c>
      <x:c r="D197" s="100" t="n">
        <x:v>5.7186301111111115</x:v>
      </x:c>
      <x:c r="E197" s="100" t="n">
        <x:v>14.701890666666666</x:v>
      </x:c>
      <x:c r="F197" s="99" t="n">
        <x:v>0.18189722222222224</x:v>
      </x:c>
      <x:c r="G197" s="99" t="n">
        <x:v>0.024352777777777772</x:v>
      </x:c>
      <x:c r="H197" s="101" t="n">
        <x:v>13772700</x:v>
      </x:c>
      <x:c r="I197" s="99" t="n">
        <x:v>-0.0910504217489877</x:v>
      </x:c>
      <x:c r="J197" s="100" t="n">
        <x:v>-2.7777777777777777</x:v>
      </x:c>
      <x:c r="K197" s="100"/>
      <x:c r="L197" s="99" t="n">
        <x:v>0.456</x:v>
      </x:c>
      <x:c r="M197" s="99" t="n">
        <x:v>0.5811111111111111</x:v>
      </x:c>
      <x:c r="N197" s="99"/>
      <x:c r="O197" s="99" t="n">
        <x:v>0.38691766666666666</x:v>
      </x:c>
      <x:c r="P197" s="99" t="n">
        <x:v>0.006293555555555546</x:v>
      </x:c>
      <x:c r="Q197" s="99" t="n">
        <x:v>0.15492166666666668</x:v>
      </x:c>
      <x:c r="R197" s="99" t="n">
        <x:v>-0.03509644444444445</x:v>
      </x:c>
      <x:c r="S197" s="45"/>
      <x:c r="T197" s="45"/>
      <x:c r="U197" s="51" t="d">
        <x:v>2026-09-30T00:00:00.000Z</x:v>
      </x:c>
      <x:c r="V197" s="51" t="d">
        <x:v>2026-09-30T00:00:00.000Z</x:v>
      </x:c>
      <x:c r="W197" s="109" t="n">
        <x:v>9</x:v>
      </x:c>
      <x:c r="X197" s="109" t="n">
        <x:v>9</x:v>
      </x:c>
      <x:c r="Y197" s="45" t="str">
        <x:v>sbx-mex/Perfil_Tienda_DM</x:v>
      </x:c>
      <x:c r="Z197" s="45" t="str">
        <x:v>2a6b0d21379739482f0b4c7be9b0f9a022e15f5b</x:v>
      </x:c>
      <x:c r="AA197" s="45" t="str">
        <x:v>8456a41c5e02d454e70a2531577ffb2e29f73e57e44a7762de681d568aa4227a</x:v>
      </x:c>
    </x:row>
    <x:row r="198" ht="23" customHeight="1">
      <x:c r="A198" s="50" t="str">
        <x:v>38847</x:v>
      </x:c>
      <x:c r="B198" s="51" t="d">
        <x:v>2026-09-30T00:00:00.000Z</x:v>
      </x:c>
      <x:c r="C198" s="99" t="n">
        <x:v>0.216867</x:v>
      </x:c>
      <x:c r="D198" s="100" t="n">
        <x:v>6.379820666666666</x:v>
      </x:c>
      <x:c r="E198" s="100" t="n">
        <x:v>14.676545555555556</x:v>
      </x:c>
      <x:c r="F198" s="99" t="n">
        <x:v>0.1629201111111111</x:v>
      </x:c>
      <x:c r="G198" s="99" t="n">
        <x:v>-0.001303111111111116</x:v>
      </x:c>
      <x:c r="H198" s="101" t="n">
        <x:v>13885060</x:v>
      </x:c>
      <x:c r="I198" s="99" t="n">
        <x:v>-0.09771766854239616</x:v>
      </x:c>
      <x:c r="J198" s="100" t="n">
        <x:v>-35.77777777777778</x:v>
      </x:c>
      <x:c r="K198" s="100"/>
      <x:c r="L198" s="99" t="n">
        <x:v>0.6957777777777777</x:v>
      </x:c>
      <x:c r="M198" s="99" t="n">
        <x:v>0.7122222222222222</x:v>
      </x:c>
      <x:c r="N198" s="99"/>
      <x:c r="O198" s="99" t="n">
        <x:v>0.3811386666666666</x:v>
      </x:c>
      <x:c r="P198" s="99" t="n">
        <x:v>0.0022544444444444417</x:v>
      </x:c>
      <x:c r="Q198" s="99" t="n">
        <x:v>0.17103155555555555</x:v>
      </x:c>
      <x:c r="R198" s="99" t="n">
        <x:v>-0.03817111111111111</x:v>
      </x:c>
      <x:c r="S198" s="45"/>
      <x:c r="T198" s="45"/>
      <x:c r="U198" s="51" t="d">
        <x:v>2026-09-30T00:00:00.000Z</x:v>
      </x:c>
      <x:c r="V198" s="51" t="d">
        <x:v>2026-09-30T00:00:00.000Z</x:v>
      </x:c>
      <x:c r="W198" s="109" t="n">
        <x:v>9</x:v>
      </x:c>
      <x:c r="X198" s="109" t="n">
        <x:v>9</x:v>
      </x:c>
      <x:c r="Y198" s="45" t="str">
        <x:v>sbx-mex/Perfil_Tienda_DM</x:v>
      </x:c>
      <x:c r="Z198" s="45" t="str">
        <x:v>2a6b0d21379739482f0b4c7be9b0f9a022e15f5b</x:v>
      </x:c>
      <x:c r="AA198" s="45" t="str">
        <x:v>8456a41c5e02d454e70a2531577ffb2e29f73e57e44a7762de681d568aa4227a</x:v>
      </x:c>
    </x:row>
    <x:row r="199" ht="23" customHeight="1">
      <x:c r="A199" s="50" t="str">
        <x:v>43011</x:v>
      </x:c>
      <x:c r="B199" s="51" t="d">
        <x:v>2026-09-30T00:00:00.000Z</x:v>
      </x:c>
      <x:c r="C199" s="99" t="n">
        <x:v>0.309278</x:v>
      </x:c>
      <x:c r="D199" s="100" t="n">
        <x:v>5.385147777777778</x:v>
      </x:c>
      <x:c r="E199" s="100" t="n">
        <x:v>14.797189222222222</x:v>
      </x:c>
      <x:c r="F199" s="99" t="n">
        <x:v>0.15344488888888888</x:v>
      </x:c>
      <x:c r="G199" s="99" t="n">
        <x:v>-0.014670333333333334</x:v>
      </x:c>
      <x:c r="H199" s="101" t="n">
        <x:v>19144852</x:v>
      </x:c>
      <x:c r="I199" s="99" t="n">
        <x:v>0.3747811104634857</x:v>
      </x:c>
      <x:c r="J199" s="100" t="n">
        <x:v>136.33333333333334</x:v>
      </x:c>
      <x:c r="K199" s="100"/>
      <x:c r="L199" s="99" t="n">
        <x:v>0.5856666666666667</x:v>
      </x:c>
      <x:c r="M199" s="99" t="n">
        <x:v>0.61</x:v>
      </x:c>
      <x:c r="N199" s="99"/>
      <x:c r="O199" s="99" t="n">
        <x:v>0.3493607777777778</x:v>
      </x:c>
      <x:c r="P199" s="99" t="n">
        <x:v>0.01606699999999999</x:v>
      </x:c>
      <x:c r="Q199" s="99" t="n">
        <x:v>0.25344744444444445</x:v>
      </x:c>
      <x:c r="R199" s="99" t="n">
        <x:v>0.019889444444444442</x:v>
      </x:c>
      <x:c r="S199" s="45" t="str">
        <x:v>01:12</x:v>
      </x:c>
      <x:c r="T199" s="45" t="str">
        <x:v>01:28</x:v>
      </x:c>
      <x:c r="U199" s="51" t="d">
        <x:v>2026-09-30T00:00:00.000Z</x:v>
      </x:c>
      <x:c r="V199" s="51" t="d">
        <x:v>2026-09-30T00:00:00.000Z</x:v>
      </x:c>
      <x:c r="W199" s="109" t="n">
        <x:v>9</x:v>
      </x:c>
      <x:c r="X199" s="109" t="n">
        <x:v>9</x:v>
      </x:c>
      <x:c r="Y199" s="45" t="str">
        <x:v>sbx-mex/Perfil_Tienda_DM</x:v>
      </x:c>
      <x:c r="Z199" s="45" t="str">
        <x:v>2a6b0d21379739482f0b4c7be9b0f9a022e15f5b</x:v>
      </x:c>
      <x:c r="AA199" s="45" t="str">
        <x:v>8456a41c5e02d454e70a2531577ffb2e29f73e57e44a7762de681d568aa4227a</x:v>
      </x:c>
    </x:row>
    <x:row r="200" ht="23" customHeight="1">
      <x:c r="A200" s="50" t="str">
        <x:v>43058</x:v>
      </x:c>
      <x:c r="B200" s="51" t="d">
        <x:v>2026-09-30T00:00:00.000Z</x:v>
      </x:c>
      <x:c r="C200" s="99" t="n">
        <x:v>0.12973</x:v>
      </x:c>
      <x:c r="D200" s="100" t="n">
        <x:v>6.6263296</x:v>
      </x:c>
      <x:c r="E200" s="100" t="n">
        <x:v>16.0096366</x:v>
      </x:c>
      <x:c r="F200" s="99" t="n">
        <x:v>0.14104385714285714</x:v>
      </x:c>
      <x:c r="G200" s="99" t="n">
        <x:v>-0.04769366666666667</x:v>
      </x:c>
      <x:c r="H200" s="101" t="n">
        <x:v>15527520</x:v>
      </x:c>
      <x:c r="I200" s="99" t="n">
        <x:v>0.41063845344214833</x:v>
      </x:c>
      <x:c r="J200" s="100"/>
      <x:c r="K200" s="100"/>
      <x:c r="L200" s="99" t="n">
        <x:v>0.4961428571428571</x:v>
      </x:c>
      <x:c r="M200" s="99" t="n">
        <x:v>0.6071428571428571</x:v>
      </x:c>
      <x:c r="N200" s="99"/>
      <x:c r="O200" s="99" t="n">
        <x:v>0.319799</x:v>
      </x:c>
      <x:c r="P200" s="99" t="n">
        <x:v>0.011905499999999994</x:v>
      </x:c>
      <x:c r="Q200" s="99" t="n">
        <x:v>0.3365931428571428</x:v>
      </x:c>
      <x:c r="R200" s="99" t="n">
        <x:v>0.0772965</x:v>
      </x:c>
      <x:c r="S200" s="45" t="str">
        <x:v>01:15</x:v>
      </x:c>
      <x:c r="T200" s="45"/>
      <x:c r="U200" s="51" t="d">
        <x:v>2026-09-30T00:00:00.000Z</x:v>
      </x:c>
      <x:c r="V200" s="51" t="d">
        <x:v>2026-09-30T00:00:00.000Z</x:v>
      </x:c>
      <x:c r="W200" s="109" t="n">
        <x:v>9</x:v>
      </x:c>
      <x:c r="X200" s="109" t="n">
        <x:v>9</x:v>
      </x:c>
      <x:c r="Y200" s="45" t="str">
        <x:v>sbx-mex/Perfil_Tienda_DM</x:v>
      </x:c>
      <x:c r="Z200" s="45" t="str">
        <x:v>2a6b0d21379739482f0b4c7be9b0f9a022e15f5b</x:v>
      </x:c>
      <x:c r="AA200" s="45" t="str">
        <x:v>8456a41c5e02d454e70a2531577ffb2e29f73e57e44a7762de681d568aa4227a</x:v>
      </x:c>
    </x:row>
    <x:row r="201" ht="23" customHeight="1">
      <x:c r="A201" s="50" t="str">
        <x:v>43147</x:v>
      </x:c>
      <x:c r="B201" s="51" t="d">
        <x:v>2026-09-30T00:00:00.000Z</x:v>
      </x:c>
      <x:c r="C201" s="99" t="n">
        <x:v>0.311688</x:v>
      </x:c>
      <x:c r="D201" s="100" t="n">
        <x:v>5.281102111111111</x:v>
      </x:c>
      <x:c r="E201" s="100" t="n">
        <x:v>12.229186666666667</x:v>
      </x:c>
      <x:c r="F201" s="99" t="n">
        <x:v>0.18494788888888888</x:v>
      </x:c>
      <x:c r="G201" s="99" t="n">
        <x:v>-0.013642111111111108</x:v>
      </x:c>
      <x:c r="H201" s="101" t="n">
        <x:v>11180664</x:v>
      </x:c>
      <x:c r="I201" s="99" t="n">
        <x:v>0.006507598908378487</x:v>
      </x:c>
      <x:c r="J201" s="100" t="n">
        <x:v>-6.428571428571429</x:v>
      </x:c>
      <x:c r="K201" s="100"/>
      <x:c r="L201" s="99" t="n">
        <x:v>0.5933333333333333</x:v>
      </x:c>
      <x:c r="M201" s="99" t="n">
        <x:v>0.7133333333333334</x:v>
      </x:c>
      <x:c r="N201" s="99"/>
      <x:c r="O201" s="99" t="n">
        <x:v>0.38213522222222224</x:v>
      </x:c>
      <x:c r="P201" s="99" t="n">
        <x:v>0.024320555555555554</x:v>
      </x:c>
      <x:c r="Q201" s="99" t="n">
        <x:v>0.137022</x:v>
      </x:c>
      <x:c r="R201" s="99" t="n">
        <x:v>-0.054712444444444445</x:v>
      </x:c>
      <x:c r="S201" s="45"/>
      <x:c r="T201" s="45"/>
      <x:c r="U201" s="51" t="d">
        <x:v>2026-09-30T00:00:00.000Z</x:v>
      </x:c>
      <x:c r="V201" s="51" t="d">
        <x:v>2026-09-30T00:00:00.000Z</x:v>
      </x:c>
      <x:c r="W201" s="109" t="n">
        <x:v>9</x:v>
      </x:c>
      <x:c r="X201" s="109" t="n">
        <x:v>9</x:v>
      </x:c>
      <x:c r="Y201" s="45" t="str">
        <x:v>sbx-mex/Perfil_Tienda_DM</x:v>
      </x:c>
      <x:c r="Z201" s="45" t="str">
        <x:v>2a6b0d21379739482f0b4c7be9b0f9a022e15f5b</x:v>
      </x:c>
      <x:c r="AA201" s="45" t="str">
        <x:v>8456a41c5e02d454e70a2531577ffb2e29f73e57e44a7762de681d568aa4227a</x:v>
      </x:c>
    </x:row>
    <x:row r="202" ht="23" customHeight="1">
      <x:c r="A202" s="50" t="str">
        <x:v>38126</x:v>
      </x:c>
      <x:c r="B202" s="51" t="d">
        <x:v>2026-09-30T00:00:00.000Z</x:v>
      </x:c>
      <x:c r="C202" s="99" t="n">
        <x:v>0.27907</x:v>
      </x:c>
      <x:c r="D202" s="100" t="n">
        <x:v>6.0796174999999995</x:v>
      </x:c>
      <x:c r="E202" s="100" t="n">
        <x:v>12.277853625</x:v>
      </x:c>
      <x:c r="F202" s="99" t="n">
        <x:v>5.57388</x:v>
      </x:c>
      <x:c r="G202" s="99" t="n">
        <x:v>4.700554333333334</x:v>
      </x:c>
      <x:c r="H202" s="101" t="n">
        <x:v>8688125</x:v>
      </x:c>
      <x:c r="I202" s="99" t="n">
        <x:v>-0.06215087569533084</x:v>
      </x:c>
      <x:c r="J202" s="100" t="n">
        <x:v>-65.55555555555556</x:v>
      </x:c>
      <x:c r="K202" s="100"/>
      <x:c r="L202" s="99" t="n">
        <x:v>0.588625</x:v>
      </x:c>
      <x:c r="M202" s="99" t="n">
        <x:v>0.6375</x:v>
      </x:c>
      <x:c r="N202" s="99"/>
      <x:c r="O202" s="99" t="n">
        <x:v>76.49331533333333</x:v>
      </x:c>
      <x:c r="P202" s="99" t="n">
        <x:v>76.11648722222222</x:v>
      </x:c>
      <x:c r="Q202" s="99" t="n">
        <x:v>-124.10370755555556</x:v>
      </x:c>
      <x:c r="R202" s="99" t="n">
        <x:v>-122.91006311111111</x:v>
      </x:c>
      <x:c r="S202" s="45"/>
      <x:c r="T202" s="45"/>
      <x:c r="U202" s="51" t="d">
        <x:v>2026-09-30T00:00:00.000Z</x:v>
      </x:c>
      <x:c r="V202" s="51" t="d">
        <x:v>2026-09-30T00:00:00.000Z</x:v>
      </x:c>
      <x:c r="W202" s="109" t="n">
        <x:v>9</x:v>
      </x:c>
      <x:c r="X202" s="109" t="n">
        <x:v>9</x:v>
      </x:c>
      <x:c r="Y202" s="45" t="str">
        <x:v>sbx-mex/Perfil_Tienda_DM</x:v>
      </x:c>
      <x:c r="Z202" s="45" t="str">
        <x:v>2a6b0d21379739482f0b4c7be9b0f9a022e15f5b</x:v>
      </x:c>
      <x:c r="AA202" s="45" t="str">
        <x:v>8456a41c5e02d454e70a2531577ffb2e29f73e57e44a7762de681d568aa4227a</x:v>
      </x:c>
    </x:row>
    <x:row r="203" ht="23" customHeight="1">
      <x:c r="A203" s="50" t="str">
        <x:v>38179</x:v>
      </x:c>
      <x:c r="B203" s="51" t="d">
        <x:v>2026-09-30T00:00:00.000Z</x:v>
      </x:c>
      <x:c r="C203" s="99" t="n">
        <x:v>0.521739</x:v>
      </x:c>
      <x:c r="D203" s="100" t="n">
        <x:v>7.434986444444444</x:v>
      </x:c>
      <x:c r="E203" s="100" t="n">
        <x:v>12.154923777777777</x:v>
      </x:c>
      <x:c r="F203" s="99" t="n">
        <x:v>0.21133633333333335</x:v>
      </x:c>
      <x:c r="G203" s="99" t="n">
        <x:v>-0.027811555555555548</x:v>
      </x:c>
      <x:c r="H203" s="101" t="n">
        <x:v>12781931</x:v>
      </x:c>
      <x:c r="I203" s="99" t="n">
        <x:v>0.13851963930302413</x:v>
      </x:c>
      <x:c r="J203" s="100" t="n">
        <x:v>-23.333333333333332</x:v>
      </x:c>
      <x:c r="K203" s="100"/>
      <x:c r="L203" s="99" t="n">
        <x:v>0.6707777777777778</x:v>
      </x:c>
      <x:c r="M203" s="99" t="n">
        <x:v>0.7366666666666667</x:v>
      </x:c>
      <x:c r="N203" s="99"/>
      <x:c r="O203" s="99" t="n">
        <x:v>0.37026177777777775</x:v>
      </x:c>
      <x:c r="P203" s="99" t="n">
        <x:v>-0.043465444444444445</x:v>
      </x:c>
      <x:c r="Q203" s="99" t="n">
        <x:v>0.17273100000000002</x:v>
      </x:c>
      <x:c r="R203" s="99" t="n">
        <x:v>0.11969800000000001</x:v>
      </x:c>
      <x:c r="S203" s="45"/>
      <x:c r="T203" s="45"/>
      <x:c r="U203" s="51" t="d">
        <x:v>2026-09-30T00:00:00.000Z</x:v>
      </x:c>
      <x:c r="V203" s="51" t="d">
        <x:v>2026-09-30T00:00:00.000Z</x:v>
      </x:c>
      <x:c r="W203" s="109" t="n">
        <x:v>9</x:v>
      </x:c>
      <x:c r="X203" s="109" t="n">
        <x:v>9</x:v>
      </x:c>
      <x:c r="Y203" s="45" t="str">
        <x:v>sbx-mex/Perfil_Tienda_DM</x:v>
      </x:c>
      <x:c r="Z203" s="45" t="str">
        <x:v>2a6b0d21379739482f0b4c7be9b0f9a022e15f5b</x:v>
      </x:c>
      <x:c r="AA203" s="45" t="str">
        <x:v>8456a41c5e02d454e70a2531577ffb2e29f73e57e44a7762de681d568aa4227a</x:v>
      </x:c>
    </x:row>
    <x:row r="204" ht="23" customHeight="1">
      <x:c r="A204" s="50" t="str">
        <x:v>38185</x:v>
      </x:c>
      <x:c r="B204" s="51" t="d">
        <x:v>2026-09-30T00:00:00.000Z</x:v>
      </x:c>
      <x:c r="C204" s="99" t="n">
        <x:v>0.255319</x:v>
      </x:c>
      <x:c r="D204" s="100" t="n">
        <x:v>5.856807666666667</x:v>
      </x:c>
      <x:c r="E204" s="100" t="n">
        <x:v>12.572970222222223</x:v>
      </x:c>
      <x:c r="F204" s="99" t="n">
        <x:v>0.17448177777777776</x:v>
      </x:c>
      <x:c r="G204" s="99" t="n">
        <x:v>-0.01531833333333333</x:v>
      </x:c>
      <x:c r="H204" s="101" t="n">
        <x:v>11246391</x:v>
      </x:c>
      <x:c r="I204" s="99" t="n">
        <x:v>-0.0037682189009131672</x:v>
      </x:c>
      <x:c r="J204" s="100" t="n">
        <x:v>3.6666666666666665</x:v>
      </x:c>
      <x:c r="K204" s="100"/>
      <x:c r="L204" s="99" t="n">
        <x:v>0.6281111111111111</x:v>
      </x:c>
      <x:c r="M204" s="99" t="n">
        <x:v>0.6644444444444444</x:v>
      </x:c>
      <x:c r="N204" s="99"/>
      <x:c r="O204" s="99" t="n">
        <x:v>0.35136355555555554</x:v>
      </x:c>
      <x:c r="P204" s="99" t="n">
        <x:v>-0.009622666666666661</x:v>
      </x:c>
      <x:c r="Q204" s="99" t="n">
        <x:v>0.190275</x:v>
      </x:c>
      <x:c r="R204" s="99" t="n">
        <x:v>0.042642666666666676</x:v>
      </x:c>
      <x:c r="S204" s="45"/>
      <x:c r="T204" s="45"/>
      <x:c r="U204" s="51" t="d">
        <x:v>2026-09-30T00:00:00.000Z</x:v>
      </x:c>
      <x:c r="V204" s="51" t="d">
        <x:v>2026-09-30T00:00:00.000Z</x:v>
      </x:c>
      <x:c r="W204" s="109" t="n">
        <x:v>9</x:v>
      </x:c>
      <x:c r="X204" s="109" t="n">
        <x:v>9</x:v>
      </x:c>
      <x:c r="Y204" s="45" t="str">
        <x:v>sbx-mex/Perfil_Tienda_DM</x:v>
      </x:c>
      <x:c r="Z204" s="45" t="str">
        <x:v>2a6b0d21379739482f0b4c7be9b0f9a022e15f5b</x:v>
      </x:c>
      <x:c r="AA204" s="45" t="str">
        <x:v>8456a41c5e02d454e70a2531577ffb2e29f73e57e44a7762de681d568aa4227a</x:v>
      </x:c>
    </x:row>
    <x:row r="205" ht="23" customHeight="1">
      <x:c r="A205" s="50" t="str">
        <x:v>38292</x:v>
      </x:c>
      <x:c r="B205" s="51" t="d">
        <x:v>2026-09-30T00:00:00.000Z</x:v>
      </x:c>
      <x:c r="C205" s="99" t="n">
        <x:v>0.081633</x:v>
      </x:c>
      <x:c r="D205" s="100" t="n">
        <x:v>6.412253</x:v>
      </x:c>
      <x:c r="E205" s="100" t="n">
        <x:v>14.047680888888888</x:v>
      </x:c>
      <x:c r="F205" s="99" t="n">
        <x:v>0.179802</x:v>
      </x:c>
      <x:c r="G205" s="99" t="n">
        <x:v>0.020443666666666666</x:v>
      </x:c>
      <x:c r="H205" s="101" t="n">
        <x:v>12008801</x:v>
      </x:c>
      <x:c r="I205" s="99" t="n">
        <x:v>-0.1111560954290175</x:v>
      </x:c>
      <x:c r="J205" s="100" t="n">
        <x:v>-32</x:v>
      </x:c>
      <x:c r="K205" s="100"/>
      <x:c r="L205" s="99" t="n">
        <x:v>0.5923333333333334</x:v>
      </x:c>
      <x:c r="M205" s="99" t="n">
        <x:v>0.6444444444444444</x:v>
      </x:c>
      <x:c r="N205" s="99"/>
      <x:c r="O205" s="99" t="n">
        <x:v>0.3651473333333333</x:v>
      </x:c>
      <x:c r="P205" s="99" t="n">
        <x:v>0.004137333333333338</x:v>
      </x:c>
      <x:c r="Q205" s="99" t="n">
        <x:v>0.19223733333333334</x:v>
      </x:c>
      <x:c r="R205" s="99" t="n">
        <x:v>-0.026185444444444442</x:v>
      </x:c>
      <x:c r="S205" s="45"/>
      <x:c r="T205" s="45"/>
      <x:c r="U205" s="51" t="d">
        <x:v>2026-09-30T00:00:00.000Z</x:v>
      </x:c>
      <x:c r="V205" s="51" t="d">
        <x:v>2026-09-30T00:00:00.000Z</x:v>
      </x:c>
      <x:c r="W205" s="109" t="n">
        <x:v>9</x:v>
      </x:c>
      <x:c r="X205" s="109" t="n">
        <x:v>9</x:v>
      </x:c>
      <x:c r="Y205" s="45" t="str">
        <x:v>sbx-mex/Perfil_Tienda_DM</x:v>
      </x:c>
      <x:c r="Z205" s="45" t="str">
        <x:v>2a6b0d21379739482f0b4c7be9b0f9a022e15f5b</x:v>
      </x:c>
      <x:c r="AA205" s="45" t="str">
        <x:v>8456a41c5e02d454e70a2531577ffb2e29f73e57e44a7762de681d568aa4227a</x:v>
      </x:c>
    </x:row>
    <x:row r="206" ht="23" customHeight="1">
      <x:c r="A206" s="50" t="str">
        <x:v>38439</x:v>
      </x:c>
      <x:c r="B206" s="51" t="d">
        <x:v>2026-09-30T00:00:00.000Z</x:v>
      </x:c>
      <x:c r="C206" s="99" t="n">
        <x:v>0.509091</x:v>
      </x:c>
      <x:c r="D206" s="100" t="n">
        <x:v>7.0749175555555555</x:v>
      </x:c>
      <x:c r="E206" s="100" t="n">
        <x:v>15.345763333333334</x:v>
      </x:c>
      <x:c r="F206" s="99" t="n">
        <x:v>0.15779144444444446</x:v>
      </x:c>
      <x:c r="G206" s="99" t="n">
        <x:v>-0.06309233333333333</x:v>
      </x:c>
      <x:c r="H206" s="101" t="n">
        <x:v>15043902</x:v>
      </x:c>
      <x:c r="I206" s="99" t="n">
        <x:v>0.36452150712193565</x:v>
      </x:c>
      <x:c r="J206" s="100" t="n">
        <x:v>3.7777777777777777</x:v>
      </x:c>
      <x:c r="K206" s="100"/>
      <x:c r="L206" s="99" t="n">
        <x:v>0.6026666666666667</x:v>
      </x:c>
      <x:c r="M206" s="99" t="n">
        <x:v>0.6844444444444444</x:v>
      </x:c>
      <x:c r="N206" s="99"/>
      <x:c r="O206" s="99" t="n">
        <x:v>0.34289855555555554</x:v>
      </x:c>
      <x:c r="P206" s="99" t="n">
        <x:v>-0.008825111111111105</x:v>
      </x:c>
      <x:c r="Q206" s="99" t="n">
        <x:v>0.170348</x:v>
      </x:c>
      <x:c r="R206" s="99" t="n">
        <x:v>0.14493744444444445</x:v>
      </x:c>
      <x:c r="S206" s="45"/>
      <x:c r="T206" s="45"/>
      <x:c r="U206" s="51" t="d">
        <x:v>2026-09-30T00:00:00.000Z</x:v>
      </x:c>
      <x:c r="V206" s="51" t="d">
        <x:v>2026-09-30T00:00:00.000Z</x:v>
      </x:c>
      <x:c r="W206" s="109" t="n">
        <x:v>9</x:v>
      </x:c>
      <x:c r="X206" s="109" t="n">
        <x:v>9</x:v>
      </x:c>
      <x:c r="Y206" s="45" t="str">
        <x:v>sbx-mex/Perfil_Tienda_DM</x:v>
      </x:c>
      <x:c r="Z206" s="45" t="str">
        <x:v>2a6b0d21379739482f0b4c7be9b0f9a022e15f5b</x:v>
      </x:c>
      <x:c r="AA206" s="45" t="str">
        <x:v>8456a41c5e02d454e70a2531577ffb2e29f73e57e44a7762de681d568aa4227a</x:v>
      </x:c>
    </x:row>
    <x:row r="207" ht="23" customHeight="1">
      <x:c r="A207" s="50" t="str">
        <x:v>38452</x:v>
      </x:c>
      <x:c r="B207" s="51" t="d">
        <x:v>2026-09-30T00:00:00.000Z</x:v>
      </x:c>
      <x:c r="C207" s="99" t="n">
        <x:v>0.210526</x:v>
      </x:c>
      <x:c r="D207" s="100" t="n">
        <x:v>5.377595555555556</x:v>
      </x:c>
      <x:c r="E207" s="100" t="n">
        <x:v>10.567500333333333</x:v>
      </x:c>
      <x:c r="F207" s="99" t="n">
        <x:v>0.219349</x:v>
      </x:c>
      <x:c r="G207" s="99" t="n">
        <x:v>0.016436555555555555</x:v>
      </x:c>
      <x:c r="H207" s="101" t="n">
        <x:v>7713477</x:v>
      </x:c>
      <x:c r="I207" s="99" t="n">
        <x:v>-0.15734621727989406</x:v>
      </x:c>
      <x:c r="J207" s="100" t="n">
        <x:v>-18.666666666666668</x:v>
      </x:c>
      <x:c r="K207" s="100"/>
      <x:c r="L207" s="99" t="n">
        <x:v>0.6793333333333333</x:v>
      </x:c>
      <x:c r="M207" s="99" t="n">
        <x:v>0.71</x:v>
      </x:c>
      <x:c r="N207" s="99"/>
      <x:c r="O207" s="99" t="n">
        <x:v>0.38009966666666667</x:v>
      </x:c>
      <x:c r="P207" s="99" t="n">
        <x:v>0.02701188888888889</x:v>
      </x:c>
      <x:c r="Q207" s="99" t="n">
        <x:v>0.12826355555555555</x:v>
      </x:c>
      <x:c r="R207" s="99" t="n">
        <x:v>-0.036599</x:v>
      </x:c>
      <x:c r="S207" s="45"/>
      <x:c r="T207" s="45"/>
      <x:c r="U207" s="51" t="d">
        <x:v>2026-09-30T00:00:00.000Z</x:v>
      </x:c>
      <x:c r="V207" s="51" t="d">
        <x:v>2026-09-30T00:00:00.000Z</x:v>
      </x:c>
      <x:c r="W207" s="109" t="n">
        <x:v>9</x:v>
      </x:c>
      <x:c r="X207" s="109" t="n">
        <x:v>9</x:v>
      </x:c>
      <x:c r="Y207" s="45" t="str">
        <x:v>sbx-mex/Perfil_Tienda_DM</x:v>
      </x:c>
      <x:c r="Z207" s="45" t="str">
        <x:v>2a6b0d21379739482f0b4c7be9b0f9a022e15f5b</x:v>
      </x:c>
      <x:c r="AA207" s="45" t="str">
        <x:v>8456a41c5e02d454e70a2531577ffb2e29f73e57e44a7762de681d568aa4227a</x:v>
      </x:c>
    </x:row>
    <x:row r="208" ht="23" customHeight="1">
      <x:c r="A208" s="50" t="str">
        <x:v>38466</x:v>
      </x:c>
      <x:c r="B208" s="51" t="d">
        <x:v>2026-09-30T00:00:00.000Z</x:v>
      </x:c>
      <x:c r="C208" s="99" t="n">
        <x:v>0.48</x:v>
      </x:c>
      <x:c r="D208" s="100" t="n">
        <x:v>5.791734666666667</x:v>
      </x:c>
      <x:c r="E208" s="100" t="n">
        <x:v>11.671412555555555</x:v>
      </x:c>
      <x:c r="F208" s="99" t="n">
        <x:v>0.19698166666666667</x:v>
      </x:c>
      <x:c r="G208" s="99" t="n">
        <x:v>-0.011374666666666665</x:v>
      </x:c>
      <x:c r="H208" s="101" t="n">
        <x:v>9255126</x:v>
      </x:c>
      <x:c r="I208" s="99" t="n">
        <x:v>0.03746139479912736</x:v>
      </x:c>
      <x:c r="J208" s="100" t="n">
        <x:v>1.8888888888888888</x:v>
      </x:c>
      <x:c r="K208" s="100"/>
      <x:c r="L208" s="99" t="n">
        <x:v>0.5844444444444444</x:v>
      </x:c>
      <x:c r="M208" s="99" t="n">
        <x:v>0.5522222222222222</x:v>
      </x:c>
      <x:c r="N208" s="99"/>
      <x:c r="O208" s="99" t="n">
        <x:v>0.3861841111111111</x:v>
      </x:c>
      <x:c r="P208" s="99" t="n">
        <x:v>0.017868777777777782</x:v>
      </x:c>
      <x:c r="Q208" s="99" t="n">
        <x:v>0.13175466666666666</x:v>
      </x:c>
      <x:c r="R208" s="99" t="n">
        <x:v>0.02519666666666667</x:v>
      </x:c>
      <x:c r="S208" s="45"/>
      <x:c r="T208" s="45"/>
      <x:c r="U208" s="51" t="d">
        <x:v>2026-09-30T00:00:00.000Z</x:v>
      </x:c>
      <x:c r="V208" s="51" t="d">
        <x:v>2026-09-30T00:00:00.000Z</x:v>
      </x:c>
      <x:c r="W208" s="109" t="n">
        <x:v>9</x:v>
      </x:c>
      <x:c r="X208" s="109" t="n">
        <x:v>9</x:v>
      </x:c>
      <x:c r="Y208" s="45" t="str">
        <x:v>sbx-mex/Perfil_Tienda_DM</x:v>
      </x:c>
      <x:c r="Z208" s="45" t="str">
        <x:v>2a6b0d21379739482f0b4c7be9b0f9a022e15f5b</x:v>
      </x:c>
      <x:c r="AA208" s="45" t="str">
        <x:v>8456a41c5e02d454e70a2531577ffb2e29f73e57e44a7762de681d568aa4227a</x:v>
      </x:c>
    </x:row>
    <x:row r="209" ht="23" customHeight="1">
      <x:c r="A209" s="50" t="str">
        <x:v>38553</x:v>
      </x:c>
      <x:c r="B209" s="51" t="d">
        <x:v>2026-09-30T00:00:00.000Z</x:v>
      </x:c>
      <x:c r="C209" s="99" t="n">
        <x:v>0</x:v>
      </x:c>
      <x:c r="D209" s="100" t="n">
        <x:v>5.720324111111111</x:v>
      </x:c>
      <x:c r="E209" s="100" t="n">
        <x:v>10.801503555555556</x:v>
      </x:c>
      <x:c r="F209" s="99" t="n">
        <x:v>0.20769055555555557</x:v>
      </x:c>
      <x:c r="G209" s="99" t="n">
        <x:v>-0.013078222222222217</x:v>
      </x:c>
      <x:c r="H209" s="101" t="n">
        <x:v>6210419</x:v>
      </x:c>
      <x:c r="I209" s="99" t="n">
        <x:v>0.017869195990672937</x:v>
      </x:c>
      <x:c r="J209" s="100" t="n">
        <x:v>-2.111111111111111</x:v>
      </x:c>
      <x:c r="K209" s="100"/>
      <x:c r="L209" s="99" t="n">
        <x:v>0.45877777777777773</x:v>
      </x:c>
      <x:c r="M209" s="99" t="n">
        <x:v>0.6011111111111112</x:v>
      </x:c>
      <x:c r="N209" s="99"/>
      <x:c r="O209" s="99" t="n">
        <x:v>0.35568855555555556</x:v>
      </x:c>
      <x:c r="P209" s="99" t="n">
        <x:v>0.014806111111111119</x:v>
      </x:c>
      <x:c r="Q209" s="99" t="n">
        <x:v>0.07158188888888889</x:v>
      </x:c>
      <x:c r="R209" s="99" t="n">
        <x:v>0.01568077777777778</x:v>
      </x:c>
      <x:c r="S209" s="45"/>
      <x:c r="T209" s="45"/>
      <x:c r="U209" s="51" t="d">
        <x:v>2026-09-30T00:00:00.000Z</x:v>
      </x:c>
      <x:c r="V209" s="51" t="d">
        <x:v>2026-09-30T00:00:00.000Z</x:v>
      </x:c>
      <x:c r="W209" s="109" t="n">
        <x:v>9</x:v>
      </x:c>
      <x:c r="X209" s="109" t="n">
        <x:v>9</x:v>
      </x:c>
      <x:c r="Y209" s="45" t="str">
        <x:v>sbx-mex/Perfil_Tienda_DM</x:v>
      </x:c>
      <x:c r="Z209" s="45" t="str">
        <x:v>2a6b0d21379739482f0b4c7be9b0f9a022e15f5b</x:v>
      </x:c>
      <x:c r="AA209" s="45" t="str">
        <x:v>8456a41c5e02d454e70a2531577ffb2e29f73e57e44a7762de681d568aa4227a</x:v>
      </x:c>
    </x:row>
    <x:row r="210" ht="23" customHeight="1">
      <x:c r="A210" s="50" t="str">
        <x:v>38568</x:v>
      </x:c>
      <x:c r="B210" s="51" t="d">
        <x:v>2026-09-30T00:00:00.000Z</x:v>
      </x:c>
      <x:c r="C210" s="99" t="n">
        <x:v>0.950495</x:v>
      </x:c>
      <x:c r="D210" s="100" t="n">
        <x:v>5.960838333333333</x:v>
      </x:c>
      <x:c r="E210" s="100" t="n">
        <x:v>11.571648222222223</x:v>
      </x:c>
      <x:c r="F210" s="99" t="n">
        <x:v>0.26581144444444443</x:v>
      </x:c>
      <x:c r="G210" s="99" t="n">
        <x:v>0.05133166666666668</x:v>
      </x:c>
      <x:c r="H210" s="101" t="n">
        <x:v>6454353</x:v>
      </x:c>
      <x:c r="I210" s="99" t="n">
        <x:v>-0.2757242003069915</x:v>
      </x:c>
      <x:c r="J210" s="100" t="n">
        <x:v>-27.77777777777778</x:v>
      </x:c>
      <x:c r="K210" s="100"/>
      <x:c r="L210" s="99" t="n">
        <x:v>0.6618888888888889</x:v>
      </x:c>
      <x:c r="M210" s="99" t="n">
        <x:v>0.7</x:v>
      </x:c>
      <x:c r="N210" s="99"/>
      <x:c r="O210" s="99" t="n">
        <x:v>0.4120434444444444</x:v>
      </x:c>
      <x:c r="P210" s="99" t="n">
        <x:v>0.0962192222222222</x:v>
      </x:c>
      <x:c r="Q210" s="99" t="n">
        <x:v>-0.06790555555555555</x:v>
      </x:c>
      <x:c r="R210" s="99" t="n">
        <x:v>-0.210698</x:v>
      </x:c>
      <x:c r="S210" s="45"/>
      <x:c r="T210" s="45"/>
      <x:c r="U210" s="51" t="d">
        <x:v>2026-09-30T00:00:00.000Z</x:v>
      </x:c>
      <x:c r="V210" s="51" t="d">
        <x:v>2026-09-30T00:00:00.000Z</x:v>
      </x:c>
      <x:c r="W210" s="109" t="n">
        <x:v>9</x:v>
      </x:c>
      <x:c r="X210" s="109" t="n">
        <x:v>9</x:v>
      </x:c>
      <x:c r="Y210" s="45" t="str">
        <x:v>sbx-mex/Perfil_Tienda_DM</x:v>
      </x:c>
      <x:c r="Z210" s="45" t="str">
        <x:v>2a6b0d21379739482f0b4c7be9b0f9a022e15f5b</x:v>
      </x:c>
      <x:c r="AA210" s="45" t="str">
        <x:v>8456a41c5e02d454e70a2531577ffb2e29f73e57e44a7762de681d568aa4227a</x:v>
      </x:c>
    </x:row>
    <x:row r="211" ht="23" customHeight="1">
      <x:c r="A211" s="50" t="str">
        <x:v>38799</x:v>
      </x:c>
      <x:c r="B211" s="51" t="d">
        <x:v>2026-09-30T00:00:00.000Z</x:v>
      </x:c>
      <x:c r="C211" s="99" t="n">
        <x:v>0.380952</x:v>
      </x:c>
      <x:c r="D211" s="100" t="n">
        <x:v>6.548033888888889</x:v>
      </x:c>
      <x:c r="E211" s="100" t="n">
        <x:v>12.932493333333333</x:v>
      </x:c>
      <x:c r="F211" s="99" t="n">
        <x:v>0.221619</x:v>
      </x:c>
      <x:c r="G211" s="99" t="n">
        <x:v>0.04403044444444445</x:v>
      </x:c>
      <x:c r="H211" s="101" t="n">
        <x:v>9862939</x:v>
      </x:c>
      <x:c r="I211" s="99" t="n">
        <x:v>-0.07304671285500874</x:v>
      </x:c>
      <x:c r="J211" s="100" t="n">
        <x:v>1.8888888888888888</x:v>
      </x:c>
      <x:c r="K211" s="100"/>
      <x:c r="L211" s="99" t="n">
        <x:v>0.4891111111111111</x:v>
      </x:c>
      <x:c r="M211" s="99" t="n">
        <x:v>0.5866666666666667</x:v>
      </x:c>
      <x:c r="N211" s="99"/>
      <x:c r="O211" s="99" t="n">
        <x:v>0.36525833333333335</x:v>
      </x:c>
      <x:c r="P211" s="99" t="n">
        <x:v>0.008130111111111109</x:v>
      </x:c>
      <x:c r="Q211" s="99" t="n">
        <x:v>0.08008677777777778</x:v>
      </x:c>
      <x:c r="R211" s="99" t="n">
        <x:v>-0.051925000000000006</x:v>
      </x:c>
      <x:c r="S211" s="45"/>
      <x:c r="T211" s="45"/>
      <x:c r="U211" s="51" t="d">
        <x:v>2026-09-30T00:00:00.000Z</x:v>
      </x:c>
      <x:c r="V211" s="51" t="d">
        <x:v>2026-09-30T00:00:00.000Z</x:v>
      </x:c>
      <x:c r="W211" s="109" t="n">
        <x:v>9</x:v>
      </x:c>
      <x:c r="X211" s="109" t="n">
        <x:v>9</x:v>
      </x:c>
      <x:c r="Y211" s="45" t="str">
        <x:v>sbx-mex/Perfil_Tienda_DM</x:v>
      </x:c>
      <x:c r="Z211" s="45" t="str">
        <x:v>2a6b0d21379739482f0b4c7be9b0f9a022e15f5b</x:v>
      </x:c>
      <x:c r="AA211" s="45" t="str">
        <x:v>8456a41c5e02d454e70a2531577ffb2e29f73e57e44a7762de681d568aa4227a</x:v>
      </x:c>
    </x:row>
    <x:row r="212" ht="23" customHeight="1">
      <x:c r="A212" s="50" t="str">
        <x:v>38815</x:v>
      </x:c>
      <x:c r="B212" s="51" t="d">
        <x:v>2026-09-30T00:00:00.000Z</x:v>
      </x:c>
      <x:c r="C212" s="99" t="n">
        <x:v>0.555556</x:v>
      </x:c>
      <x:c r="D212" s="100" t="n">
        <x:v>5.670579444444445</x:v>
      </x:c>
      <x:c r="E212" s="100" t="n">
        <x:v>10.952310333333335</x:v>
      </x:c>
      <x:c r="F212" s="99" t="n">
        <x:v>0.2555781111111111</x:v>
      </x:c>
      <x:c r="G212" s="99" t="n">
        <x:v>0.062414888888888895</x:v>
      </x:c>
      <x:c r="H212" s="101" t="n">
        <x:v>7244693</x:v>
      </x:c>
      <x:c r="I212" s="99" t="n">
        <x:v>-0.17318382159059298</x:v>
      </x:c>
      <x:c r="J212" s="100" t="n">
        <x:v>-15.444444444444445</x:v>
      </x:c>
      <x:c r="K212" s="100"/>
      <x:c r="L212" s="99" t="n">
        <x:v>0.49166666666666664</x:v>
      </x:c>
      <x:c r="M212" s="99" t="n">
        <x:v>0.6066666666666667</x:v>
      </x:c>
      <x:c r="N212" s="99"/>
      <x:c r="O212" s="99" t="n">
        <x:v>0.361809</x:v>
      </x:c>
      <x:c r="P212" s="99" t="n">
        <x:v>0.01212911111111111</x:v>
      </x:c>
      <x:c r="Q212" s="99" t="n">
        <x:v>0.07154433333333333</x:v>
      </x:c>
      <x:c r="R212" s="99" t="n">
        <x:v>-0.07931266666666666</x:v>
      </x:c>
      <x:c r="S212" s="45"/>
      <x:c r="T212" s="45"/>
      <x:c r="U212" s="51" t="d">
        <x:v>2026-09-30T00:00:00.000Z</x:v>
      </x:c>
      <x:c r="V212" s="51" t="d">
        <x:v>2026-09-30T00:00:00.000Z</x:v>
      </x:c>
      <x:c r="W212" s="109" t="n">
        <x:v>9</x:v>
      </x:c>
      <x:c r="X212" s="109" t="n">
        <x:v>9</x:v>
      </x:c>
      <x:c r="Y212" s="45" t="str">
        <x:v>sbx-mex/Perfil_Tienda_DM</x:v>
      </x:c>
      <x:c r="Z212" s="45" t="str">
        <x:v>2a6b0d21379739482f0b4c7be9b0f9a022e15f5b</x:v>
      </x:c>
      <x:c r="AA212" s="45" t="str">
        <x:v>8456a41c5e02d454e70a2531577ffb2e29f73e57e44a7762de681d568aa4227a</x:v>
      </x:c>
    </x:row>
    <x:row r="213" ht="23" customHeight="1">
      <x:c r="A213" s="50" t="str">
        <x:v>38918</x:v>
      </x:c>
      <x:c r="B213" s="51" t="d">
        <x:v>2026-09-30T00:00:00.000Z</x:v>
      </x:c>
      <x:c r="C213" s="99" t="n">
        <x:v>0.190476</x:v>
      </x:c>
      <x:c r="D213" s="100" t="n">
        <x:v>4.588723666666667</x:v>
      </x:c>
      <x:c r="E213" s="100" t="n">
        <x:v>11.402570555555556</x:v>
      </x:c>
      <x:c r="F213" s="99" t="n">
        <x:v>0.1861911111111111</x:v>
      </x:c>
      <x:c r="G213" s="99" t="n">
        <x:v>-0.012909777777777773</x:v>
      </x:c>
      <x:c r="H213" s="101" t="n">
        <x:v>9980695</x:v>
      </x:c>
      <x:c r="I213" s="99" t="n">
        <x:v>-0.038301202252541855</x:v>
      </x:c>
      <x:c r="J213" s="100" t="n">
        <x:v>-0.3333333333333333</x:v>
      </x:c>
      <x:c r="K213" s="100"/>
      <x:c r="L213" s="99" t="n">
        <x:v>0.5511111111111111</x:v>
      </x:c>
      <x:c r="M213" s="99" t="n">
        <x:v>0.6666666666666666</x:v>
      </x:c>
      <x:c r="N213" s="99"/>
      <x:c r="O213" s="99" t="n">
        <x:v>0.36473833333333333</x:v>
      </x:c>
      <x:c r="P213" s="99" t="n">
        <x:v>0.005882666666666665</x:v>
      </x:c>
      <x:c r="Q213" s="99" t="n">
        <x:v>0.1449048888888889</x:v>
      </x:c>
      <x:c r="R213" s="99" t="n">
        <x:v>-0.011708111111111107</x:v>
      </x:c>
      <x:c r="S213" s="45"/>
      <x:c r="T213" s="45"/>
      <x:c r="U213" s="51" t="d">
        <x:v>2026-09-30T00:00:00.000Z</x:v>
      </x:c>
      <x:c r="V213" s="51" t="d">
        <x:v>2026-09-30T00:00:00.000Z</x:v>
      </x:c>
      <x:c r="W213" s="109" t="n">
        <x:v>9</x:v>
      </x:c>
      <x:c r="X213" s="109" t="n">
        <x:v>9</x:v>
      </x:c>
      <x:c r="Y213" s="45" t="str">
        <x:v>sbx-mex/Perfil_Tienda_DM</x:v>
      </x:c>
      <x:c r="Z213" s="45" t="str">
        <x:v>2a6b0d21379739482f0b4c7be9b0f9a022e15f5b</x:v>
      </x:c>
      <x:c r="AA213" s="45" t="str">
        <x:v>8456a41c5e02d454e70a2531577ffb2e29f73e57e44a7762de681d568aa4227a</x:v>
      </x:c>
    </x:row>
    <x:row r="214" ht="23" customHeight="1">
      <x:c r="A214" s="50" t="str">
        <x:v>43107</x:v>
      </x:c>
      <x:c r="B214" s="51" t="d">
        <x:v>2026-09-30T00:00:00.000Z</x:v>
      </x:c>
      <x:c r="C214" s="99" t="n">
        <x:v>0.461538</x:v>
      </x:c>
      <x:c r="D214" s="100" t="n">
        <x:v>6.994735666666667</x:v>
      </x:c>
      <x:c r="E214" s="100" t="n">
        <x:v>13.524709333333334</x:v>
      </x:c>
      <x:c r="F214" s="99" t="n">
        <x:v>0.17980933333333335</x:v>
      </x:c>
      <x:c r="G214" s="99" t="n">
        <x:v>0.0032681111111111166</x:v>
      </x:c>
      <x:c r="H214" s="101" t="n">
        <x:v>10642892</x:v>
      </x:c>
      <x:c r="I214" s="99" t="n">
        <x:v>-0.08769640277227153</x:v>
      </x:c>
      <x:c r="J214" s="100" t="n">
        <x:v>35.111111111111114</x:v>
      </x:c>
      <x:c r="K214" s="100"/>
      <x:c r="L214" s="99" t="n">
        <x:v>0.6192222222222222</x:v>
      </x:c>
      <x:c r="M214" s="99" t="n">
        <x:v>0.6733333333333333</x:v>
      </x:c>
      <x:c r="N214" s="99"/>
      <x:c r="O214" s="99" t="n">
        <x:v>0.3412641111111111</x:v>
      </x:c>
      <x:c r="P214" s="99" t="n">
        <x:v>0.020987000000000002</x:v>
      </x:c>
      <x:c r="Q214" s="99" t="n">
        <x:v>0.22056033333333336</x:v>
      </x:c>
      <x:c r="R214" s="99" t="n">
        <x:v>-0.041403333333333334</x:v>
      </x:c>
      <x:c r="S214" s="45"/>
      <x:c r="T214" s="45"/>
      <x:c r="U214" s="51" t="d">
        <x:v>2026-09-30T00:00:00.000Z</x:v>
      </x:c>
      <x:c r="V214" s="51" t="d">
        <x:v>2026-09-30T00:00:00.000Z</x:v>
      </x:c>
      <x:c r="W214" s="109" t="n">
        <x:v>9</x:v>
      </x:c>
      <x:c r="X214" s="109" t="n">
        <x:v>9</x:v>
      </x:c>
      <x:c r="Y214" s="45" t="str">
        <x:v>sbx-mex/Perfil_Tienda_DM</x:v>
      </x:c>
      <x:c r="Z214" s="45" t="str">
        <x:v>2a6b0d21379739482f0b4c7be9b0f9a022e15f5b</x:v>
      </x:c>
      <x:c r="AA214" s="45" t="str">
        <x:v>8456a41c5e02d454e70a2531577ffb2e29f73e57e44a7762de681d568aa4227a</x:v>
      </x:c>
    </x:row>
    <x:row r="215" ht="23" customHeight="1">
      <x:c r="A215" s="50" t="str">
        <x:v>38138</x:v>
      </x:c>
      <x:c r="B215" s="51" t="d">
        <x:v>2026-09-30T00:00:00.000Z</x:v>
      </x:c>
      <x:c r="C215" s="99" t="n">
        <x:v>0.285714</x:v>
      </x:c>
      <x:c r="D215" s="100" t="n">
        <x:v>6.626553222222222</x:v>
      </x:c>
      <x:c r="E215" s="100" t="n">
        <x:v>15.488458666666666</x:v>
      </x:c>
      <x:c r="F215" s="99" t="n">
        <x:v>0.150557</x:v>
      </x:c>
      <x:c r="G215" s="99" t="n">
        <x:v>0.006718222222222224</x:v>
      </x:c>
      <x:c r="H215" s="101" t="n">
        <x:v>20027038</x:v>
      </x:c>
      <x:c r="I215" s="99" t="n">
        <x:v>-0.0164524595338138</x:v>
      </x:c>
      <x:c r="J215" s="100" t="n">
        <x:v>-39.77777777777778</x:v>
      </x:c>
      <x:c r="K215" s="100"/>
      <x:c r="L215" s="99" t="n">
        <x:v>0.4168888888888889</x:v>
      </x:c>
      <x:c r="M215" s="99" t="n">
        <x:v>0.5744444444444444</x:v>
      </x:c>
      <x:c r="N215" s="99"/>
      <x:c r="O215" s="99" t="n">
        <x:v>0.3439171111111111</x:v>
      </x:c>
      <x:c r="P215" s="99" t="n">
        <x:v>-0.023933222222222234</x:v>
      </x:c>
      <x:c r="Q215" s="99" t="n">
        <x:v>0.29964433333333335</x:v>
      </x:c>
      <x:c r="R215" s="99" t="n">
        <x:v>0.025001222222222223</x:v>
      </x:c>
      <x:c r="S215" s="45"/>
      <x:c r="T215" s="45"/>
      <x:c r="U215" s="51" t="d">
        <x:v>2026-09-30T00:00:00.000Z</x:v>
      </x:c>
      <x:c r="V215" s="51" t="d">
        <x:v>2026-09-30T00:00:00.000Z</x:v>
      </x:c>
      <x:c r="W215" s="109" t="n">
        <x:v>9</x:v>
      </x:c>
      <x:c r="X215" s="109" t="n">
        <x:v>9</x:v>
      </x:c>
      <x:c r="Y215" s="45" t="str">
        <x:v>sbx-mex/Perfil_Tienda_DM</x:v>
      </x:c>
      <x:c r="Z215" s="45" t="str">
        <x:v>2a6b0d21379739482f0b4c7be9b0f9a022e15f5b</x:v>
      </x:c>
      <x:c r="AA215" s="45" t="str">
        <x:v>8456a41c5e02d454e70a2531577ffb2e29f73e57e44a7762de681d568aa4227a</x:v>
      </x:c>
    </x:row>
    <x:row r="216" ht="23" customHeight="1">
      <x:c r="A216" s="50" t="str">
        <x:v>38141</x:v>
      </x:c>
      <x:c r="B216" s="51" t="d">
        <x:v>2026-09-30T00:00:00.000Z</x:v>
      </x:c>
      <x:c r="C216" s="99" t="n">
        <x:v>0.4</x:v>
      </x:c>
      <x:c r="D216" s="100" t="n">
        <x:v>5.037747444444445</x:v>
      </x:c>
      <x:c r="E216" s="100" t="n">
        <x:v>10.902260111111111</x:v>
      </x:c>
      <x:c r="F216" s="99" t="n">
        <x:v>0.23538833333333337</x:v>
      </x:c>
      <x:c r="G216" s="99" t="n">
        <x:v>0.03127677777777778</x:v>
      </x:c>
      <x:c r="H216" s="101" t="n">
        <x:v>7366373</x:v>
      </x:c>
      <x:c r="I216" s="99" t="n">
        <x:v>-0.2716213038489599</x:v>
      </x:c>
      <x:c r="J216" s="100" t="n">
        <x:v>-43.22222222222222</x:v>
      </x:c>
      <x:c r="K216" s="100"/>
      <x:c r="L216" s="99" t="n">
        <x:v>0.6735555555555556</x:v>
      </x:c>
      <x:c r="M216" s="99" t="n">
        <x:v>0.7255555555555556</x:v>
      </x:c>
      <x:c r="N216" s="99"/>
      <x:c r="O216" s="99" t="n">
        <x:v>0.4047041111111111</x:v>
      </x:c>
      <x:c r="P216" s="99" t="n">
        <x:v>-0.0108</x:v>
      </x:c>
      <x:c r="Q216" s="99" t="n">
        <x:v>0.04449355555555556</x:v>
      </x:c>
      <x:c r="R216" s="99" t="n">
        <x:v>-0.06965622222222222</x:v>
      </x:c>
      <x:c r="S216" s="45"/>
      <x:c r="T216" s="45"/>
      <x:c r="U216" s="51" t="d">
        <x:v>2026-09-30T00:00:00.000Z</x:v>
      </x:c>
      <x:c r="V216" s="51" t="d">
        <x:v>2026-09-30T00:00:00.000Z</x:v>
      </x:c>
      <x:c r="W216" s="109" t="n">
        <x:v>9</x:v>
      </x:c>
      <x:c r="X216" s="109" t="n">
        <x:v>9</x:v>
      </x:c>
      <x:c r="Y216" s="45" t="str">
        <x:v>sbx-mex/Perfil_Tienda_DM</x:v>
      </x:c>
      <x:c r="Z216" s="45" t="str">
        <x:v>2a6b0d21379739482f0b4c7be9b0f9a022e15f5b</x:v>
      </x:c>
      <x:c r="AA216" s="45" t="str">
        <x:v>8456a41c5e02d454e70a2531577ffb2e29f73e57e44a7762de681d568aa4227a</x:v>
      </x:c>
    </x:row>
    <x:row r="217" ht="23" customHeight="1">
      <x:c r="A217" s="50" t="str">
        <x:v>38319</x:v>
      </x:c>
      <x:c r="B217" s="51" t="d">
        <x:v>2026-09-30T00:00:00.000Z</x:v>
      </x:c>
      <x:c r="C217" s="99" t="n">
        <x:v>0.550459</x:v>
      </x:c>
      <x:c r="D217" s="100" t="n">
        <x:v>5.896954222222222</x:v>
      </x:c>
      <x:c r="E217" s="100" t="n">
        <x:v>14.05195988888889</x:v>
      </x:c>
      <x:c r="F217" s="99" t="n">
        <x:v>0.1475031111111111</x:v>
      </x:c>
      <x:c r="G217" s="99" t="n">
        <x:v>-0.004558888888888887</x:v>
      </x:c>
      <x:c r="H217" s="101" t="n">
        <x:v>19807246</x:v>
      </x:c>
      <x:c r="I217" s="99" t="n">
        <x:v>0.003114787448650569</x:v>
      </x:c>
      <x:c r="J217" s="100" t="n">
        <x:v>-23.666666666666668</x:v>
      </x:c>
      <x:c r="K217" s="100"/>
      <x:c r="L217" s="99" t="n">
        <x:v>0.44766666666666666</x:v>
      </x:c>
      <x:c r="M217" s="99" t="n">
        <x:v>0.5633333333333334</x:v>
      </x:c>
      <x:c r="N217" s="99"/>
      <x:c r="O217" s="99" t="n">
        <x:v>0.3784613333333333</x:v>
      </x:c>
      <x:c r="P217" s="99" t="n">
        <x:v>0.008696555555555548</x:v>
      </x:c>
      <x:c r="Q217" s="99" t="n">
        <x:v>0.24241966666666664</x:v>
      </x:c>
      <x:c r="R217" s="99" t="n">
        <x:v>0.003435111111111111</x:v>
      </x:c>
      <x:c r="S217" s="45"/>
      <x:c r="T217" s="45"/>
      <x:c r="U217" s="51" t="d">
        <x:v>2026-09-30T00:00:00.000Z</x:v>
      </x:c>
      <x:c r="V217" s="51" t="d">
        <x:v>2026-09-30T00:00:00.000Z</x:v>
      </x:c>
      <x:c r="W217" s="109" t="n">
        <x:v>9</x:v>
      </x:c>
      <x:c r="X217" s="109" t="n">
        <x:v>9</x:v>
      </x:c>
      <x:c r="Y217" s="45" t="str">
        <x:v>sbx-mex/Perfil_Tienda_DM</x:v>
      </x:c>
      <x:c r="Z217" s="45" t="str">
        <x:v>2a6b0d21379739482f0b4c7be9b0f9a022e15f5b</x:v>
      </x:c>
      <x:c r="AA217" s="45" t="str">
        <x:v>8456a41c5e02d454e70a2531577ffb2e29f73e57e44a7762de681d568aa4227a</x:v>
      </x:c>
    </x:row>
    <x:row r="218" ht="23" customHeight="1">
      <x:c r="A218" s="50" t="str">
        <x:v>38441</x:v>
      </x:c>
      <x:c r="B218" s="51" t="d">
        <x:v>2026-09-30T00:00:00.000Z</x:v>
      </x:c>
      <x:c r="C218" s="99" t="n">
        <x:v>0.283465</x:v>
      </x:c>
      <x:c r="D218" s="100" t="n">
        <x:v>5.100831444444444</x:v>
      </x:c>
      <x:c r="E218" s="100" t="n">
        <x:v>11.796107666666666</x:v>
      </x:c>
      <x:c r="F218" s="99" t="n">
        <x:v>0.18982355555555555</x:v>
      </x:c>
      <x:c r="G218" s="99" t="n">
        <x:v>0.016677555555555553</x:v>
      </x:c>
      <x:c r="H218" s="101" t="n">
        <x:v>9976684</x:v>
      </x:c>
      <x:c r="I218" s="99" t="n">
        <x:v>-0.1663560380409178</x:v>
      </x:c>
      <x:c r="J218" s="100" t="n">
        <x:v>-15.11111111111111</x:v>
      </x:c>
      <x:c r="K218" s="100"/>
      <x:c r="L218" s="99" t="n">
        <x:v>0.5925555555555556</x:v>
      </x:c>
      <x:c r="M218" s="99" t="n">
        <x:v>0.6966666666666667</x:v>
      </x:c>
      <x:c r="N218" s="99"/>
      <x:c r="O218" s="99" t="n">
        <x:v>0.4018851111111111</x:v>
      </x:c>
      <x:c r="P218" s="99" t="n">
        <x:v>0.006494999999999985</x:v>
      </x:c>
      <x:c r="Q218" s="99" t="n">
        <x:v>0.15067633333333333</x:v>
      </x:c>
      <x:c r="R218" s="99" t="n">
        <x:v>-0.03578</x:v>
      </x:c>
      <x:c r="S218" s="45"/>
      <x:c r="T218" s="45"/>
      <x:c r="U218" s="51" t="d">
        <x:v>2026-09-30T00:00:00.000Z</x:v>
      </x:c>
      <x:c r="V218" s="51" t="d">
        <x:v>2026-09-30T00:00:00.000Z</x:v>
      </x:c>
      <x:c r="W218" s="109" t="n">
        <x:v>9</x:v>
      </x:c>
      <x:c r="X218" s="109" t="n">
        <x:v>9</x:v>
      </x:c>
      <x:c r="Y218" s="45" t="str">
        <x:v>sbx-mex/Perfil_Tienda_DM</x:v>
      </x:c>
      <x:c r="Z218" s="45" t="str">
        <x:v>2a6b0d21379739482f0b4c7be9b0f9a022e15f5b</x:v>
      </x:c>
      <x:c r="AA218" s="45" t="str">
        <x:v>8456a41c5e02d454e70a2531577ffb2e29f73e57e44a7762de681d568aa4227a</x:v>
      </x:c>
    </x:row>
    <x:row r="219" ht="23" customHeight="1">
      <x:c r="A219" s="50" t="str">
        <x:v>38485</x:v>
      </x:c>
      <x:c r="B219" s="51" t="d">
        <x:v>2026-09-30T00:00:00.000Z</x:v>
      </x:c>
      <x:c r="C219" s="99" t="n">
        <x:v>0.656716</x:v>
      </x:c>
      <x:c r="D219" s="100" t="n">
        <x:v>6.920696333333334</x:v>
      </x:c>
      <x:c r="E219" s="100" t="n">
        <x:v>17.32706388888889</x:v>
      </x:c>
      <x:c r="F219" s="99" t="n">
        <x:v>0.12950422222222222</x:v>
      </x:c>
      <x:c r="G219" s="99" t="n">
        <x:v>0.0038974444444444412</x:v>
      </x:c>
      <x:c r="H219" s="101" t="n">
        <x:v>20854223</x:v>
      </x:c>
      <x:c r="I219" s="99" t="n">
        <x:v>-0.04969076703626474</x:v>
      </x:c>
      <x:c r="J219" s="100" t="n">
        <x:v>-6.222222222222222</x:v>
      </x:c>
      <x:c r="K219" s="100"/>
      <x:c r="L219" s="99" t="n">
        <x:v>0.4634444444444445</x:v>
      </x:c>
      <x:c r="M219" s="99" t="n">
        <x:v>0.62</x:v>
      </x:c>
      <x:c r="N219" s="99"/>
      <x:c r="O219" s="99" t="n">
        <x:v>0.3759424444444444</x:v>
      </x:c>
      <x:c r="P219" s="99" t="n">
        <x:v>0.003350777777777783</x:v>
      </x:c>
      <x:c r="Q219" s="99" t="n">
        <x:v>0.24703188888888888</x:v>
      </x:c>
      <x:c r="R219" s="99" t="n">
        <x:v>-0.015491222222222227</x:v>
      </x:c>
      <x:c r="S219" s="45"/>
      <x:c r="T219" s="45"/>
      <x:c r="U219" s="51" t="d">
        <x:v>2026-09-30T00:00:00.000Z</x:v>
      </x:c>
      <x:c r="V219" s="51" t="d">
        <x:v>2026-09-30T00:00:00.000Z</x:v>
      </x:c>
      <x:c r="W219" s="109" t="n">
        <x:v>9</x:v>
      </x:c>
      <x:c r="X219" s="109" t="n">
        <x:v>9</x:v>
      </x:c>
      <x:c r="Y219" s="45" t="str">
        <x:v>sbx-mex/Perfil_Tienda_DM</x:v>
      </x:c>
      <x:c r="Z219" s="45" t="str">
        <x:v>2a6b0d21379739482f0b4c7be9b0f9a022e15f5b</x:v>
      </x:c>
      <x:c r="AA219" s="45" t="str">
        <x:v>8456a41c5e02d454e70a2531577ffb2e29f73e57e44a7762de681d568aa4227a</x:v>
      </x:c>
    </x:row>
    <x:row r="220" ht="23" customHeight="1">
      <x:c r="A220" s="50" t="str">
        <x:v>38547</x:v>
      </x:c>
      <x:c r="B220" s="51" t="d">
        <x:v>2026-09-30T00:00:00.000Z</x:v>
      </x:c>
      <x:c r="C220" s="99" t="n">
        <x:v>0.284866</x:v>
      </x:c>
      <x:c r="D220" s="100" t="n">
        <x:v>6.465533555555556</x:v>
      </x:c>
      <x:c r="E220" s="100" t="n">
        <x:v>16.976090777777777</x:v>
      </x:c>
      <x:c r="F220" s="99" t="n">
        <x:v>0.1397057777777778</x:v>
      </x:c>
      <x:c r="G220" s="99" t="n">
        <x:v>0.004042777777777776</x:v>
      </x:c>
      <x:c r="H220" s="101" t="n">
        <x:v>35523275</x:v>
      </x:c>
      <x:c r="I220" s="99" t="n">
        <x:v>0.025589461742230535</x:v>
      </x:c>
      <x:c r="J220" s="100" t="n">
        <x:v>-29.666666666666668</x:v>
      </x:c>
      <x:c r="K220" s="100"/>
      <x:c r="L220" s="99" t="n">
        <x:v>0.41988888888888887</x:v>
      </x:c>
      <x:c r="M220" s="99" t="n">
        <x:v>0.5633333333333334</x:v>
      </x:c>
      <x:c r="N220" s="99"/>
      <x:c r="O220" s="99" t="n">
        <x:v>0.3574234444444444</x:v>
      </x:c>
      <x:c r="P220" s="99" t="n">
        <x:v>-0.005550444444444432</x:v>
      </x:c>
      <x:c r="Q220" s="99" t="n">
        <x:v>0.3379567777777778</x:v>
      </x:c>
      <x:c r="R220" s="99" t="n">
        <x:v>-0.0057043333333333295</x:v>
      </x:c>
      <x:c r="S220" s="45" t="str">
        <x:v>01:19</x:v>
      </x:c>
      <x:c r="T220" s="45" t="str">
        <x:v>01:12</x:v>
      </x:c>
      <x:c r="U220" s="51" t="d">
        <x:v>2026-09-30T00:00:00.000Z</x:v>
      </x:c>
      <x:c r="V220" s="51" t="d">
        <x:v>2026-09-30T00:00:00.000Z</x:v>
      </x:c>
      <x:c r="W220" s="109" t="n">
        <x:v>9</x:v>
      </x:c>
      <x:c r="X220" s="109" t="n">
        <x:v>9</x:v>
      </x:c>
      <x:c r="Y220" s="45" t="str">
        <x:v>sbx-mex/Perfil_Tienda_DM</x:v>
      </x:c>
      <x:c r="Z220" s="45" t="str">
        <x:v>2a6b0d21379739482f0b4c7be9b0f9a022e15f5b</x:v>
      </x:c>
      <x:c r="AA220" s="45" t="str">
        <x:v>8456a41c5e02d454e70a2531577ffb2e29f73e57e44a7762de681d568aa4227a</x:v>
      </x:c>
    </x:row>
    <x:row r="221" ht="23" customHeight="1">
      <x:c r="A221" s="50" t="str">
        <x:v>38668</x:v>
      </x:c>
      <x:c r="B221" s="51" t="d">
        <x:v>2026-09-30T00:00:00.000Z</x:v>
      </x:c>
      <x:c r="C221" s="99" t="n">
        <x:v>0.307692</x:v>
      </x:c>
      <x:c r="D221" s="100" t="n">
        <x:v>5.549575</x:v>
      </x:c>
      <x:c r="E221" s="100" t="n">
        <x:v>12.64774</x:v>
      </x:c>
      <x:c r="F221" s="99" t="n">
        <x:v>0.1712102222222222</x:v>
      </x:c>
      <x:c r="G221" s="99" t="n">
        <x:v>-0.0061403333333333405</x:v>
      </x:c>
      <x:c r="H221" s="101" t="n">
        <x:v>13420535</x:v>
      </x:c>
      <x:c r="I221" s="99" t="n">
        <x:v>0.0035486495901955184</x:v>
      </x:c>
      <x:c r="J221" s="100" t="n">
        <x:v>6.222222222222222</x:v>
      </x:c>
      <x:c r="K221" s="100"/>
      <x:c r="L221" s="99" t="n">
        <x:v>0.6034444444444444</x:v>
      </x:c>
      <x:c r="M221" s="99" t="n">
        <x:v>0.6722222222222222</x:v>
      </x:c>
      <x:c r="N221" s="99"/>
      <x:c r="O221" s="99" t="n">
        <x:v>0.38319155555555556</x:v>
      </x:c>
      <x:c r="P221" s="99" t="n">
        <x:v>-0.011862777777777778</x:v>
      </x:c>
      <x:c r="Q221" s="99" t="n">
        <x:v>0.18916833333333333</x:v>
      </x:c>
      <x:c r="R221" s="99" t="n">
        <x:v>0.03776188888888889</x:v>
      </x:c>
      <x:c r="S221" s="45"/>
      <x:c r="T221" s="45"/>
      <x:c r="U221" s="51" t="d">
        <x:v>2026-09-30T00:00:00.000Z</x:v>
      </x:c>
      <x:c r="V221" s="51" t="d">
        <x:v>2026-09-30T00:00:00.000Z</x:v>
      </x:c>
      <x:c r="W221" s="109" t="n">
        <x:v>9</x:v>
      </x:c>
      <x:c r="X221" s="109" t="n">
        <x:v>9</x:v>
      </x:c>
      <x:c r="Y221" s="45" t="str">
        <x:v>sbx-mex/Perfil_Tienda_DM</x:v>
      </x:c>
      <x:c r="Z221" s="45" t="str">
        <x:v>2a6b0d21379739482f0b4c7be9b0f9a022e15f5b</x:v>
      </x:c>
      <x:c r="AA221" s="45" t="str">
        <x:v>8456a41c5e02d454e70a2531577ffb2e29f73e57e44a7762de681d568aa4227a</x:v>
      </x:c>
    </x:row>
    <x:row r="222" ht="23" customHeight="1">
      <x:c r="A222" s="50" t="str">
        <x:v>38841</x:v>
      </x:c>
      <x:c r="B222" s="51" t="d">
        <x:v>2026-09-30T00:00:00.000Z</x:v>
      </x:c>
      <x:c r="C222" s="99" t="n">
        <x:v>0.346154</x:v>
      </x:c>
      <x:c r="D222" s="100" t="n">
        <x:v>6.3522533333333335</x:v>
      </x:c>
      <x:c r="E222" s="100" t="n">
        <x:v>13.79576088888889</x:v>
      </x:c>
      <x:c r="F222" s="99" t="n">
        <x:v>0.16219022222222224</x:v>
      </x:c>
      <x:c r="G222" s="99" t="n">
        <x:v>0.015353555555555556</x:v>
      </x:c>
      <x:c r="H222" s="101" t="n">
        <x:v>17826215</x:v>
      </x:c>
      <x:c r="I222" s="99" t="n">
        <x:v>-0.1540158952250703</x:v>
      </x:c>
      <x:c r="J222" s="100" t="n">
        <x:v>-58.22222222222222</x:v>
      </x:c>
      <x:c r="K222" s="100"/>
      <x:c r="L222" s="99" t="n">
        <x:v>0.48799999999999993</x:v>
      </x:c>
      <x:c r="M222" s="99" t="n">
        <x:v>0.63</x:v>
      </x:c>
      <x:c r="N222" s="99"/>
      <x:c r="O222" s="99" t="n">
        <x:v>0.36505266666666664</x:v>
      </x:c>
      <x:c r="P222" s="99" t="n">
        <x:v>0.006164111111111111</x:v>
      </x:c>
      <x:c r="Q222" s="99" t="n">
        <x:v>0.23774633333333334</x:v>
      </x:c>
      <x:c r="R222" s="99" t="n">
        <x:v>-0.018457777777777778</x:v>
      </x:c>
      <x:c r="S222" s="45"/>
      <x:c r="T222" s="45"/>
      <x:c r="U222" s="51" t="d">
        <x:v>2026-09-30T00:00:00.000Z</x:v>
      </x:c>
      <x:c r="V222" s="51" t="d">
        <x:v>2026-09-30T00:00:00.000Z</x:v>
      </x:c>
      <x:c r="W222" s="109" t="n">
        <x:v>9</x:v>
      </x:c>
      <x:c r="X222" s="109" t="n">
        <x:v>9</x:v>
      </x:c>
      <x:c r="Y222" s="45" t="str">
        <x:v>sbx-mex/Perfil_Tienda_DM</x:v>
      </x:c>
      <x:c r="Z222" s="45" t="str">
        <x:v>2a6b0d21379739482f0b4c7be9b0f9a022e15f5b</x:v>
      </x:c>
      <x:c r="AA222" s="45" t="str">
        <x:v>8456a41c5e02d454e70a2531577ffb2e29f73e57e44a7762de681d568aa4227a</x:v>
      </x:c>
    </x:row>
    <x:row r="223" ht="23" customHeight="1">
      <x:c r="A223" s="50" t="str">
        <x:v>38896</x:v>
      </x:c>
      <x:c r="B223" s="51" t="d">
        <x:v>2026-09-30T00:00:00.000Z</x:v>
      </x:c>
      <x:c r="C223" s="99" t="n">
        <x:v>0.224299</x:v>
      </x:c>
      <x:c r="D223" s="100" t="n">
        <x:v>6.375683888888889</x:v>
      </x:c>
      <x:c r="E223" s="100" t="n">
        <x:v>15.843329555555556</x:v>
      </x:c>
      <x:c r="F223" s="99" t="n">
        <x:v>0.136765</x:v>
      </x:c>
      <x:c r="G223" s="99" t="n">
        <x:v>-0.008180333333333333</x:v>
      </x:c>
      <x:c r="H223" s="101" t="n">
        <x:v>31389638</x:v>
      </x:c>
      <x:c r="I223" s="99" t="n">
        <x:v>0.008997483145524843</x:v>
      </x:c>
      <x:c r="J223" s="100" t="n">
        <x:v>-40</x:v>
      </x:c>
      <x:c r="K223" s="100"/>
      <x:c r="L223" s="99" t="n">
        <x:v>0.47644444444444445</x:v>
      </x:c>
      <x:c r="M223" s="99" t="n">
        <x:v>0.6044444444444445</x:v>
      </x:c>
      <x:c r="N223" s="99"/>
      <x:c r="O223" s="99" t="n">
        <x:v>0.3603221111111111</x:v>
      </x:c>
      <x:c r="P223" s="99" t="n">
        <x:v>-0.02426377777777779</x:v>
      </x:c>
      <x:c r="Q223" s="99" t="n">
        <x:v>0.2806955555555556</x:v>
      </x:c>
      <x:c r="R223" s="99" t="n">
        <x:v>0.05376066666666665</x:v>
      </x:c>
      <x:c r="S223" s="45" t="str">
        <x:v>01:03</x:v>
      </x:c>
      <x:c r="T223" s="45" t="str">
        <x:v>01:05</x:v>
      </x:c>
      <x:c r="U223" s="51" t="d">
        <x:v>2026-09-30T00:00:00.000Z</x:v>
      </x:c>
      <x:c r="V223" s="51" t="d">
        <x:v>2026-09-30T00:00:00.000Z</x:v>
      </x:c>
      <x:c r="W223" s="109" t="n">
        <x:v>9</x:v>
      </x:c>
      <x:c r="X223" s="109" t="n">
        <x:v>9</x:v>
      </x:c>
      <x:c r="Y223" s="45" t="str">
        <x:v>sbx-mex/Perfil_Tienda_DM</x:v>
      </x:c>
      <x:c r="Z223" s="45" t="str">
        <x:v>2a6b0d21379739482f0b4c7be9b0f9a022e15f5b</x:v>
      </x:c>
      <x:c r="AA223" s="45" t="str">
        <x:v>8456a41c5e02d454e70a2531577ffb2e29f73e57e44a7762de681d568aa4227a</x:v>
      </x:c>
    </x:row>
    <x:row r="224" ht="23" customHeight="1">
      <x:c r="A224" s="50" t="str">
        <x:v>38957</x:v>
      </x:c>
      <x:c r="B224" s="51" t="d">
        <x:v>2026-09-30T00:00:00.000Z</x:v>
      </x:c>
      <x:c r="C224" s="99" t="n">
        <x:v>0.126316</x:v>
      </x:c>
      <x:c r="D224" s="100" t="n">
        <x:v>3.6339895555555555</x:v>
      </x:c>
      <x:c r="E224" s="100" t="n">
        <x:v>9.74270888888889</x:v>
      </x:c>
      <x:c r="F224" s="99" t="n">
        <x:v>0.22839255555555557</x:v>
      </x:c>
      <x:c r="G224" s="99" t="n">
        <x:v>-0.019443222222222226</x:v>
      </x:c>
      <x:c r="H224" s="101" t="n">
        <x:v>6640006</x:v>
      </x:c>
      <x:c r="I224" s="99" t="n">
        <x:v>0.060885916461080436</x:v>
      </x:c>
      <x:c r="J224" s="100" t="n">
        <x:v>1.2222222222222223</x:v>
      </x:c>
      <x:c r="K224" s="100"/>
      <x:c r="L224" s="99" t="n">
        <x:v>0.6415555555555555</x:v>
      </x:c>
      <x:c r="M224" s="99" t="n">
        <x:v>0.7322222222222222</x:v>
      </x:c>
      <x:c r="N224" s="99"/>
      <x:c r="O224" s="99" t="n">
        <x:v>0.3790626666666667</x:v>
      </x:c>
      <x:c r="P224" s="99" t="n">
        <x:v>0.046520888888888896</x:v>
      </x:c>
      <x:c r="Q224" s="99" t="n">
        <x:v>0.06996244444444445</x:v>
      </x:c>
      <x:c r="R224" s="99" t="n">
        <x:v>0.01945788888888889</x:v>
      </x:c>
      <x:c r="S224" s="45"/>
      <x:c r="T224" s="45"/>
      <x:c r="U224" s="51" t="d">
        <x:v>2026-09-30T00:00:00.000Z</x:v>
      </x:c>
      <x:c r="V224" s="51" t="d">
        <x:v>2026-09-30T00:00:00.000Z</x:v>
      </x:c>
      <x:c r="W224" s="109" t="n">
        <x:v>9</x:v>
      </x:c>
      <x:c r="X224" s="109" t="n">
        <x:v>9</x:v>
      </x:c>
      <x:c r="Y224" s="45" t="str">
        <x:v>sbx-mex/Perfil_Tienda_DM</x:v>
      </x:c>
      <x:c r="Z224" s="45" t="str">
        <x:v>2a6b0d21379739482f0b4c7be9b0f9a022e15f5b</x:v>
      </x:c>
      <x:c r="AA224" s="45" t="str">
        <x:v>8456a41c5e02d454e70a2531577ffb2e29f73e57e44a7762de681d568aa4227a</x:v>
      </x:c>
    </x:row>
    <x:row r="225" ht="23" customHeight="1">
      <x:c r="A225" s="50" t="str">
        <x:v>38987</x:v>
      </x:c>
      <x:c r="B225" s="51" t="d">
        <x:v>2026-09-30T00:00:00.000Z</x:v>
      </x:c>
      <x:c r="C225" s="99" t="n">
        <x:v>0.129032</x:v>
      </x:c>
      <x:c r="D225" s="100" t="n">
        <x:v>6.101642</x:v>
      </x:c>
      <x:c r="E225" s="100" t="n">
        <x:v>14.99986</x:v>
      </x:c>
      <x:c r="F225" s="99" t="n">
        <x:v>0.14560322222222222</x:v>
      </x:c>
      <x:c r="G225" s="99" t="n">
        <x:v>-0.0011740000000000053</x:v>
      </x:c>
      <x:c r="H225" s="101" t="n">
        <x:v>18698365</x:v>
      </x:c>
      <x:c r="I225" s="99" t="n">
        <x:v>0.005118963212580763</x:v>
      </x:c>
      <x:c r="J225" s="100" t="n">
        <x:v>21.666666666666668</x:v>
      </x:c>
      <x:c r="K225" s="100"/>
      <x:c r="L225" s="99" t="n">
        <x:v>0.5338888888888889</x:v>
      </x:c>
      <x:c r="M225" s="99" t="n">
        <x:v>0.6333333333333333</x:v>
      </x:c>
      <x:c r="N225" s="99"/>
      <x:c r="O225" s="99" t="n">
        <x:v>0.36824866666666667</x:v>
      </x:c>
      <x:c r="P225" s="99" t="n">
        <x:v>-0.010317888888888885</x:v>
      </x:c>
      <x:c r="Q225" s="99" t="n">
        <x:v>0.26918688888888886</x:v>
      </x:c>
      <x:c r="R225" s="99" t="n">
        <x:v>0.00430522222222221</x:v>
      </x:c>
      <x:c r="S225" s="45" t="str">
        <x:v>01:18</x:v>
      </x:c>
      <x:c r="T225" s="45" t="str">
        <x:v>01:14</x:v>
      </x:c>
      <x:c r="U225" s="51" t="d">
        <x:v>2026-09-30T00:00:00.000Z</x:v>
      </x:c>
      <x:c r="V225" s="51" t="d">
        <x:v>2026-09-30T00:00:00.000Z</x:v>
      </x:c>
      <x:c r="W225" s="109" t="n">
        <x:v>9</x:v>
      </x:c>
      <x:c r="X225" s="109" t="n">
        <x:v>9</x:v>
      </x:c>
      <x:c r="Y225" s="45" t="str">
        <x:v>sbx-mex/Perfil_Tienda_DM</x:v>
      </x:c>
      <x:c r="Z225" s="45" t="str">
        <x:v>2a6b0d21379739482f0b4c7be9b0f9a022e15f5b</x:v>
      </x:c>
      <x:c r="AA225" s="45" t="str">
        <x:v>8456a41c5e02d454e70a2531577ffb2e29f73e57e44a7762de681d568aa4227a</x:v>
      </x:c>
    </x:row>
    <x:row r="226" ht="23" customHeight="1">
      <x:c r="A226" s="50" t="str">
        <x:v>43059</x:v>
      </x:c>
      <x:c r="B226" s="51" t="d">
        <x:v>2026-09-30T00:00:00.000Z</x:v>
      </x:c>
      <x:c r="C226" s="99" t="n">
        <x:v>0.347107</x:v>
      </x:c>
      <x:c r="D226" s="100" t="n">
        <x:v>6.413964222222223</x:v>
      </x:c>
      <x:c r="E226" s="100" t="n">
        <x:v>15.255151444444444</x:v>
      </x:c>
      <x:c r="F226" s="99" t="n">
        <x:v>0.1405942222222222</x:v>
      </x:c>
      <x:c r="G226" s="99" t="n">
        <x:v>0.008894222222222222</x:v>
      </x:c>
      <x:c r="H226" s="101" t="n">
        <x:v>23057193</x:v>
      </x:c>
      <x:c r="I226" s="99" t="n">
        <x:v>0.041427016982113374</x:v>
      </x:c>
      <x:c r="J226" s="100" t="n">
        <x:v>75.28571428571429</x:v>
      </x:c>
      <x:c r="K226" s="100"/>
      <x:c r="L226" s="99" t="n">
        <x:v>0.5228888888888888</x:v>
      </x:c>
      <x:c r="M226" s="99" t="n">
        <x:v>0.6444444444444444</x:v>
      </x:c>
      <x:c r="N226" s="99"/>
      <x:c r="O226" s="99" t="n">
        <x:v>0.378576</x:v>
      </x:c>
      <x:c r="P226" s="99" t="n">
        <x:v>0.020941777777777767</x:v>
      </x:c>
      <x:c r="Q226" s="99" t="n">
        <x:v>0.26935811111111113</x:v>
      </x:c>
      <x:c r="R226" s="99" t="n">
        <x:v>0.0012284444444444456</x:v>
      </x:c>
      <x:c r="S226" s="45" t="str">
        <x:v>01:11</x:v>
      </x:c>
      <x:c r="T226" s="45" t="str">
        <x:v>01:13</x:v>
      </x:c>
      <x:c r="U226" s="51" t="d">
        <x:v>2026-09-30T00:00:00.000Z</x:v>
      </x:c>
      <x:c r="V226" s="51" t="d">
        <x:v>2026-09-30T00:00:00.000Z</x:v>
      </x:c>
      <x:c r="W226" s="109" t="n">
        <x:v>9</x:v>
      </x:c>
      <x:c r="X226" s="109" t="n">
        <x:v>9</x:v>
      </x:c>
      <x:c r="Y226" s="45" t="str">
        <x:v>sbx-mex/Perfil_Tienda_DM</x:v>
      </x:c>
      <x:c r="Z226" s="45" t="str">
        <x:v>2a6b0d21379739482f0b4c7be9b0f9a022e15f5b</x:v>
      </x:c>
      <x:c r="AA226" s="45" t="str">
        <x:v>8456a41c5e02d454e70a2531577ffb2e29f73e57e44a7762de681d568aa4227a</x:v>
      </x:c>
    </x:row>
    <x:row r="227" ht="23" customHeight="1">
      <x:c r="A227" s="50" t="str">
        <x:v>43068</x:v>
      </x:c>
      <x:c r="B227" s="51" t="d">
        <x:v>2026-09-30T00:00:00.000Z</x:v>
      </x:c>
      <x:c r="C227" s="99" t="n">
        <x:v>0.47191</x:v>
      </x:c>
      <x:c r="D227" s="100" t="n">
        <x:v>6.240949</x:v>
      </x:c>
      <x:c r="E227" s="100" t="n">
        <x:v>14.353526</x:v>
      </x:c>
      <x:c r="F227" s="99" t="n">
        <x:v>0.15489766666666668</x:v>
      </x:c>
      <x:c r="G227" s="99" t="n">
        <x:v>-0.005969888888888895</x:v>
      </x:c>
      <x:c r="H227" s="101" t="n">
        <x:v>16147095</x:v>
      </x:c>
      <x:c r="I227" s="99" t="n">
        <x:v>0.1346834971847679</x:v>
      </x:c>
      <x:c r="J227" s="100" t="n">
        <x:v>87</x:v>
      </x:c>
      <x:c r="K227" s="100"/>
      <x:c r="L227" s="99" t="n">
        <x:v>0.4811111111111111</x:v>
      </x:c>
      <x:c r="M227" s="99" t="n">
        <x:v>0.6044444444444443</x:v>
      </x:c>
      <x:c r="N227" s="99"/>
      <x:c r="O227" s="99" t="n">
        <x:v>0.3682006666666667</x:v>
      </x:c>
      <x:c r="P227" s="99" t="n">
        <x:v>0.05485377777777779</x:v>
      </x:c>
      <x:c r="Q227" s="99" t="n">
        <x:v>0.24542533333333333</x:v>
      </x:c>
      <x:c r="R227" s="99" t="n">
        <x:v>-0.04282644444444444</x:v>
      </x:c>
      <x:c r="S227" s="45"/>
      <x:c r="T227" s="45"/>
      <x:c r="U227" s="51" t="d">
        <x:v>2026-09-30T00:00:00.000Z</x:v>
      </x:c>
      <x:c r="V227" s="51" t="d">
        <x:v>2026-09-30T00:00:00.000Z</x:v>
      </x:c>
      <x:c r="W227" s="109" t="n">
        <x:v>9</x:v>
      </x:c>
      <x:c r="X227" s="109" t="n">
        <x:v>9</x:v>
      </x:c>
      <x:c r="Y227" s="45" t="str">
        <x:v>sbx-mex/Perfil_Tienda_DM</x:v>
      </x:c>
      <x:c r="Z227" s="45" t="str">
        <x:v>2a6b0d21379739482f0b4c7be9b0f9a022e15f5b</x:v>
      </x:c>
      <x:c r="AA227" s="45" t="str">
        <x:v>8456a41c5e02d454e70a2531577ffb2e29f73e57e44a7762de681d568aa4227a</x:v>
      </x:c>
    </x:row>
    <x:row r="228" ht="23" customHeight="1">
      <x:c r="A228" s="50" t="str">
        <x:v>38122</x:v>
      </x:c>
      <x:c r="B228" s="51" t="d">
        <x:v>2026-09-30T00:00:00.000Z</x:v>
      </x:c>
      <x:c r="C228" s="99" t="n">
        <x:v>0.292683</x:v>
      </x:c>
      <x:c r="D228" s="100" t="n">
        <x:v>5.8033238888888885</x:v>
      </x:c>
      <x:c r="E228" s="100" t="n">
        <x:v>11.878415666666667</x:v>
      </x:c>
      <x:c r="F228" s="99" t="n">
        <x:v>0.20593222222222224</x:v>
      </x:c>
      <x:c r="G228" s="99"/>
      <x:c r="H228" s="101" t="n">
        <x:v>8573132</x:v>
      </x:c>
      <x:c r="I228" s="99"/>
      <x:c r="J228" s="100" t="n">
        <x:v>4.888888888888889</x:v>
      </x:c>
      <x:c r="K228" s="100"/>
      <x:c r="L228" s="99" t="n">
        <x:v>0.5382222222222223</x:v>
      </x:c>
      <x:c r="M228" s="99" t="n">
        <x:v>0.6366666666666667</x:v>
      </x:c>
      <x:c r="N228" s="99"/>
      <x:c r="O228" s="99" t="n">
        <x:v>0.418241</x:v>
      </x:c>
      <x:c r="P228" s="99"/>
      <x:c r="Q228" s="99" t="n">
        <x:v>0.0013972222222222222</x:v>
      </x:c>
      <x:c r="R228" s="99"/>
      <x:c r="S228" s="45"/>
      <x:c r="T228" s="45"/>
      <x:c r="U228" s="51" t="d">
        <x:v>2026-09-30T00:00:00.000Z</x:v>
      </x:c>
      <x:c r="V228" s="51" t="d">
        <x:v>2026-09-30T00:00:00.000Z</x:v>
      </x:c>
      <x:c r="W228" s="109" t="n">
        <x:v>9</x:v>
      </x:c>
      <x:c r="X228" s="109" t="n">
        <x:v>9</x:v>
      </x:c>
      <x:c r="Y228" s="45" t="str">
        <x:v>sbx-mex/Perfil_Tienda_DM</x:v>
      </x:c>
      <x:c r="Z228" s="45" t="str">
        <x:v>2a6b0d21379739482f0b4c7be9b0f9a022e15f5b</x:v>
      </x:c>
      <x:c r="AA228" s="45" t="str">
        <x:v>8456a41c5e02d454e70a2531577ffb2e29f73e57e44a7762de681d568aa4227a</x:v>
      </x:c>
    </x:row>
    <x:row r="229" ht="23" customHeight="1">
      <x:c r="A229" s="50" t="str">
        <x:v>38148</x:v>
      </x:c>
      <x:c r="B229" s="51" t="d">
        <x:v>2026-09-30T00:00:00.000Z</x:v>
      </x:c>
      <x:c r="C229" s="99" t="n">
        <x:v>0.416667</x:v>
      </x:c>
      <x:c r="D229" s="100" t="n">
        <x:v>6.968954555555555</x:v>
      </x:c>
      <x:c r="E229" s="100" t="n">
        <x:v>15.363065666666667</x:v>
      </x:c>
      <x:c r="F229" s="99" t="n">
        <x:v>0.154911</x:v>
      </x:c>
      <x:c r="G229" s="99" t="n">
        <x:v>-0.017825222222222225</x:v>
      </x:c>
      <x:c r="H229" s="101" t="n">
        <x:v>13235861</x:v>
      </x:c>
      <x:c r="I229" s="99" t="n">
        <x:v>0.024553052498617278</x:v>
      </x:c>
      <x:c r="J229" s="100" t="n">
        <x:v>0.8888888888888888</x:v>
      </x:c>
      <x:c r="K229" s="100"/>
      <x:c r="L229" s="99" t="n">
        <x:v>0.4467777777777778</x:v>
      </x:c>
      <x:c r="M229" s="99" t="n">
        <x:v>0.5822222222222222</x:v>
      </x:c>
      <x:c r="N229" s="99"/>
      <x:c r="O229" s="99" t="n">
        <x:v>0.37979433333333334</x:v>
      </x:c>
      <x:c r="P229" s="99" t="n">
        <x:v>0.02640122222222221</x:v>
      </x:c>
      <x:c r="Q229" s="99" t="n">
        <x:v>0.17587211111111112</x:v>
      </x:c>
      <x:c r="R229" s="99" t="n">
        <x:v>-0.0010417777777777743</x:v>
      </x:c>
      <x:c r="S229" s="45"/>
      <x:c r="T229" s="45"/>
      <x:c r="U229" s="51" t="d">
        <x:v>2026-09-30T00:00:00.000Z</x:v>
      </x:c>
      <x:c r="V229" s="51" t="d">
        <x:v>2026-09-30T00:00:00.000Z</x:v>
      </x:c>
      <x:c r="W229" s="109" t="n">
        <x:v>9</x:v>
      </x:c>
      <x:c r="X229" s="109" t="n">
        <x:v>9</x:v>
      </x:c>
      <x:c r="Y229" s="45" t="str">
        <x:v>sbx-mex/Perfil_Tienda_DM</x:v>
      </x:c>
      <x:c r="Z229" s="45" t="str">
        <x:v>2a6b0d21379739482f0b4c7be9b0f9a022e15f5b</x:v>
      </x:c>
      <x:c r="AA229" s="45" t="str">
        <x:v>8456a41c5e02d454e70a2531577ffb2e29f73e57e44a7762de681d568aa4227a</x:v>
      </x:c>
    </x:row>
    <x:row r="230" ht="23" customHeight="1">
      <x:c r="A230" s="50" t="str">
        <x:v>38150</x:v>
      </x:c>
      <x:c r="B230" s="51" t="d">
        <x:v>2026-09-30T00:00:00.000Z</x:v>
      </x:c>
      <x:c r="C230" s="99" t="n">
        <x:v>0.244898</x:v>
      </x:c>
      <x:c r="D230" s="100" t="n">
        <x:v>4.926955</x:v>
      </x:c>
      <x:c r="E230" s="100" t="n">
        <x:v>10.932404777777778</x:v>
      </x:c>
      <x:c r="F230" s="99" t="n">
        <x:v>0.21527466666666667</x:v>
      </x:c>
      <x:c r="G230" s="99" t="n">
        <x:v>-0.08683155555555558</x:v>
      </x:c>
      <x:c r="H230" s="101" t="n">
        <x:v>6426909</x:v>
      </x:c>
      <x:c r="I230" s="99" t="n">
        <x:v>-0.029929539631745272</x:v>
      </x:c>
      <x:c r="J230" s="100" t="n">
        <x:v>35.44444444444444</x:v>
      </x:c>
      <x:c r="K230" s="100"/>
      <x:c r="L230" s="99" t="n">
        <x:v>0.7318888888888888</x:v>
      </x:c>
      <x:c r="M230" s="99" t="n">
        <x:v>0.7111111111111111</x:v>
      </x:c>
      <x:c r="N230" s="99"/>
      <x:c r="O230" s="99" t="n">
        <x:v>0.37895966666666664</x:v>
      </x:c>
      <x:c r="P230" s="99" t="n">
        <x:v>-0.004173999999999993</x:v>
      </x:c>
      <x:c r="Q230" s="99" t="n">
        <x:v>0.09110577777777779</x:v>
      </x:c>
      <x:c r="R230" s="99" t="n">
        <x:v>0.100734</x:v>
      </x:c>
      <x:c r="S230" s="45"/>
      <x:c r="T230" s="45"/>
      <x:c r="U230" s="51" t="d">
        <x:v>2026-09-30T00:00:00.000Z</x:v>
      </x:c>
      <x:c r="V230" s="51" t="d">
        <x:v>2026-09-30T00:00:00.000Z</x:v>
      </x:c>
      <x:c r="W230" s="109" t="n">
        <x:v>9</x:v>
      </x:c>
      <x:c r="X230" s="109" t="n">
        <x:v>9</x:v>
      </x:c>
      <x:c r="Y230" s="45" t="str">
        <x:v>sbx-mex/Perfil_Tienda_DM</x:v>
      </x:c>
      <x:c r="Z230" s="45" t="str">
        <x:v>2a6b0d21379739482f0b4c7be9b0f9a022e15f5b</x:v>
      </x:c>
      <x:c r="AA230" s="45" t="str">
        <x:v>8456a41c5e02d454e70a2531577ffb2e29f73e57e44a7762de681d568aa4227a</x:v>
      </x:c>
    </x:row>
    <x:row r="231" ht="23" customHeight="1">
      <x:c r="A231" s="50" t="str">
        <x:v>38189</x:v>
      </x:c>
      <x:c r="B231" s="51" t="d">
        <x:v>2026-09-30T00:00:00.000Z</x:v>
      </x:c>
      <x:c r="C231" s="99" t="n">
        <x:v>0.31746</x:v>
      </x:c>
      <x:c r="D231" s="100" t="n">
        <x:v>6.656564222222222</x:v>
      </x:c>
      <x:c r="E231" s="100" t="n">
        <x:v>13.316962111111112</x:v>
      </x:c>
      <x:c r="F231" s="99" t="n">
        <x:v>0.1726738888888889</x:v>
      </x:c>
      <x:c r="G231" s="99" t="n">
        <x:v>-0.0062287777777777775</x:v>
      </x:c>
      <x:c r="H231" s="101" t="n">
        <x:v>14786014</x:v>
      </x:c>
      <x:c r="I231" s="99" t="n">
        <x:v>-0.07950721968056673</x:v>
      </x:c>
      <x:c r="J231" s="100" t="n">
        <x:v>-19.11111111111111</x:v>
      </x:c>
      <x:c r="K231" s="100"/>
      <x:c r="L231" s="99" t="n">
        <x:v>0.5483333333333333</x:v>
      </x:c>
      <x:c r="M231" s="99" t="n">
        <x:v>0.5900000000000001</x:v>
      </x:c>
      <x:c r="N231" s="99"/>
      <x:c r="O231" s="99" t="n">
        <x:v>0.4176481111111111</x:v>
      </x:c>
      <x:c r="P231" s="99" t="n">
        <x:v>0.05453300000000001</x:v>
      </x:c>
      <x:c r="Q231" s="99" t="n">
        <x:v>0.16694655555555554</x:v>
      </x:c>
      <x:c r="R231" s="99" t="n">
        <x:v>-0.02447922222222222</x:v>
      </x:c>
      <x:c r="S231" s="45"/>
      <x:c r="T231" s="45"/>
      <x:c r="U231" s="51" t="d">
        <x:v>2026-09-30T00:00:00.000Z</x:v>
      </x:c>
      <x:c r="V231" s="51" t="d">
        <x:v>2026-09-30T00:00:00.000Z</x:v>
      </x:c>
      <x:c r="W231" s="109" t="n">
        <x:v>9</x:v>
      </x:c>
      <x:c r="X231" s="109" t="n">
        <x:v>9</x:v>
      </x:c>
      <x:c r="Y231" s="45" t="str">
        <x:v>sbx-mex/Perfil_Tienda_DM</x:v>
      </x:c>
      <x:c r="Z231" s="45" t="str">
        <x:v>2a6b0d21379739482f0b4c7be9b0f9a022e15f5b</x:v>
      </x:c>
      <x:c r="AA231" s="45" t="str">
        <x:v>8456a41c5e02d454e70a2531577ffb2e29f73e57e44a7762de681d568aa4227a</x:v>
      </x:c>
    </x:row>
    <x:row r="232" ht="23" customHeight="1">
      <x:c r="A232" s="50" t="str">
        <x:v>38225</x:v>
      </x:c>
      <x:c r="B232" s="51" t="d">
        <x:v>2026-09-30T00:00:00.000Z</x:v>
      </x:c>
      <x:c r="C232" s="99" t="n">
        <x:v>0.167832</x:v>
      </x:c>
      <x:c r="D232" s="100" t="n">
        <x:v>7.522421222222222</x:v>
      </x:c>
      <x:c r="E232" s="100" t="n">
        <x:v>15.39365888888889</x:v>
      </x:c>
      <x:c r="F232" s="99" t="n">
        <x:v>0.1478442222222222</x:v>
      </x:c>
      <x:c r="G232" s="99" t="n">
        <x:v>-0.008337333333333329</x:v>
      </x:c>
      <x:c r="H232" s="101" t="n">
        <x:v>13602267</x:v>
      </x:c>
      <x:c r="I232" s="99" t="n">
        <x:v>-0.01949268735788512</x:v>
      </x:c>
      <x:c r="J232" s="100" t="n">
        <x:v>-11</x:v>
      </x:c>
      <x:c r="K232" s="100"/>
      <x:c r="L232" s="99" t="n">
        <x:v>0.39633333333333337</x:v>
      </x:c>
      <x:c r="M232" s="99" t="n">
        <x:v>0.57</x:v>
      </x:c>
      <x:c r="N232" s="99"/>
      <x:c r="O232" s="99" t="n">
        <x:v>0.3786936666666667</x:v>
      </x:c>
      <x:c r="P232" s="99" t="n">
        <x:v>0.05103366666666667</x:v>
      </x:c>
      <x:c r="Q232" s="99" t="n">
        <x:v>0.18914411111111112</x:v>
      </x:c>
      <x:c r="R232" s="99" t="n">
        <x:v>-0.04377822222222221</x:v>
      </x:c>
      <x:c r="S232" s="45"/>
      <x:c r="T232" s="45"/>
      <x:c r="U232" s="51" t="d">
        <x:v>2026-09-30T00:00:00.000Z</x:v>
      </x:c>
      <x:c r="V232" s="51" t="d">
        <x:v>2026-09-30T00:00:00.000Z</x:v>
      </x:c>
      <x:c r="W232" s="109" t="n">
        <x:v>9</x:v>
      </x:c>
      <x:c r="X232" s="109" t="n">
        <x:v>9</x:v>
      </x:c>
      <x:c r="Y232" s="45" t="str">
        <x:v>sbx-mex/Perfil_Tienda_DM</x:v>
      </x:c>
      <x:c r="Z232" s="45" t="str">
        <x:v>2a6b0d21379739482f0b4c7be9b0f9a022e15f5b</x:v>
      </x:c>
      <x:c r="AA232" s="45" t="str">
        <x:v>8456a41c5e02d454e70a2531577ffb2e29f73e57e44a7762de681d568aa4227a</x:v>
      </x:c>
    </x:row>
    <x:row r="233" ht="23" customHeight="1">
      <x:c r="A233" s="50" t="str">
        <x:v>38361</x:v>
      </x:c>
      <x:c r="B233" s="51" t="d">
        <x:v>2026-09-30T00:00:00.000Z</x:v>
      </x:c>
      <x:c r="C233" s="99" t="n">
        <x:v>0.355556</x:v>
      </x:c>
      <x:c r="D233" s="100" t="n">
        <x:v>6.399393333333333</x:v>
      </x:c>
      <x:c r="E233" s="100" t="n">
        <x:v>15.348142111111112</x:v>
      </x:c>
      <x:c r="F233" s="99" t="n">
        <x:v>0.16585622222222224</x:v>
      </x:c>
      <x:c r="G233" s="99" t="n">
        <x:v>-0.004549222222222226</x:v>
      </x:c>
      <x:c r="H233" s="101" t="n">
        <x:v>11385662</x:v>
      </x:c>
      <x:c r="I233" s="99" t="n">
        <x:v>-0.11315984210106333</x:v>
      </x:c>
      <x:c r="J233" s="100" t="n">
        <x:v>-17.666666666666668</x:v>
      </x:c>
      <x:c r="K233" s="100"/>
      <x:c r="L233" s="99" t="n">
        <x:v>0.5812222222222222</x:v>
      </x:c>
      <x:c r="M233" s="99" t="n">
        <x:v>0.6688888888888889</x:v>
      </x:c>
      <x:c r="N233" s="99"/>
      <x:c r="O233" s="99" t="n">
        <x:v>0.38714455555555555</x:v>
      </x:c>
      <x:c r="P233" s="99" t="n">
        <x:v>0.026276666666666657</x:v>
      </x:c>
      <x:c r="Q233" s="99" t="n">
        <x:v>0.17308922222222223</x:v>
      </x:c>
      <x:c r="R233" s="99" t="n">
        <x:v>-0.022903888888888883</x:v>
      </x:c>
      <x:c r="S233" s="45"/>
      <x:c r="T233" s="45"/>
      <x:c r="U233" s="51" t="d">
        <x:v>2026-09-30T00:00:00.000Z</x:v>
      </x:c>
      <x:c r="V233" s="51" t="d">
        <x:v>2026-09-30T00:00:00.000Z</x:v>
      </x:c>
      <x:c r="W233" s="109" t="n">
        <x:v>9</x:v>
      </x:c>
      <x:c r="X233" s="109" t="n">
        <x:v>9</x:v>
      </x:c>
      <x:c r="Y233" s="45" t="str">
        <x:v>sbx-mex/Perfil_Tienda_DM</x:v>
      </x:c>
      <x:c r="Z233" s="45" t="str">
        <x:v>2a6b0d21379739482f0b4c7be9b0f9a022e15f5b</x:v>
      </x:c>
      <x:c r="AA233" s="45" t="str">
        <x:v>8456a41c5e02d454e70a2531577ffb2e29f73e57e44a7762de681d568aa4227a</x:v>
      </x:c>
    </x:row>
    <x:row r="234" ht="23" customHeight="1">
      <x:c r="A234" s="50" t="str">
        <x:v>38414</x:v>
      </x:c>
      <x:c r="B234" s="51" t="d">
        <x:v>2026-09-30T00:00:00.000Z</x:v>
      </x:c>
      <x:c r="C234" s="99" t="n">
        <x:v>0.125</x:v>
      </x:c>
      <x:c r="D234" s="100" t="n">
        <x:v>6.258130333333333</x:v>
      </x:c>
      <x:c r="E234" s="100" t="n">
        <x:v>12.594720444444444</x:v>
      </x:c>
      <x:c r="F234" s="99" t="n">
        <x:v>0.19118788888888888</x:v>
      </x:c>
      <x:c r="G234" s="99"/>
      <x:c r="H234" s="101" t="n">
        <x:v>7277102</x:v>
      </x:c>
      <x:c r="I234" s="99"/>
      <x:c r="J234" s="100" t="n">
        <x:v>-60.666666666666664</x:v>
      </x:c>
      <x:c r="K234" s="100"/>
      <x:c r="L234" s="99" t="n">
        <x:v>0.5032222222222222</x:v>
      </x:c>
      <x:c r="M234" s="99" t="n">
        <x:v>0.6022222222222222</x:v>
      </x:c>
      <x:c r="N234" s="99"/>
      <x:c r="O234" s="99" t="n">
        <x:v>0.41059788888888893</x:v>
      </x:c>
      <x:c r="P234" s="99"/>
      <x:c r="Q234" s="99" t="n">
        <x:v>0.015863555555555554</x:v>
      </x:c>
      <x:c r="R234" s="99"/>
      <x:c r="S234" s="45"/>
      <x:c r="T234" s="45"/>
      <x:c r="U234" s="51" t="d">
        <x:v>2026-09-30T00:00:00.000Z</x:v>
      </x:c>
      <x:c r="V234" s="51" t="d">
        <x:v>2026-09-30T00:00:00.000Z</x:v>
      </x:c>
      <x:c r="W234" s="109" t="n">
        <x:v>9</x:v>
      </x:c>
      <x:c r="X234" s="109" t="n">
        <x:v>9</x:v>
      </x:c>
      <x:c r="Y234" s="45" t="str">
        <x:v>sbx-mex/Perfil_Tienda_DM</x:v>
      </x:c>
      <x:c r="Z234" s="45" t="str">
        <x:v>2a6b0d21379739482f0b4c7be9b0f9a022e15f5b</x:v>
      </x:c>
      <x:c r="AA234" s="45" t="str">
        <x:v>8456a41c5e02d454e70a2531577ffb2e29f73e57e44a7762de681d568aa4227a</x:v>
      </x:c>
    </x:row>
    <x:row r="235" ht="23" customHeight="1">
      <x:c r="A235" s="50" t="str">
        <x:v>38438</x:v>
      </x:c>
      <x:c r="B235" s="51" t="d">
        <x:v>2026-09-30T00:00:00.000Z</x:v>
      </x:c>
      <x:c r="C235" s="99" t="n">
        <x:v>0.092308</x:v>
      </x:c>
      <x:c r="D235" s="100" t="n">
        <x:v>5.700517444444444</x:v>
      </x:c>
      <x:c r="E235" s="100" t="n">
        <x:v>11.775581666666666</x:v>
      </x:c>
      <x:c r="F235" s="99" t="n">
        <x:v>0.188411</x:v>
      </x:c>
      <x:c r="G235" s="99" t="n">
        <x:v>0.01369588888888889</x:v>
      </x:c>
      <x:c r="H235" s="101" t="n">
        <x:v>9735794</x:v>
      </x:c>
      <x:c r="I235" s="99" t="n">
        <x:v>-0.18330851494141642</x:v>
      </x:c>
      <x:c r="J235" s="100" t="n">
        <x:v>-39.77777777777778</x:v>
      </x:c>
      <x:c r="K235" s="100"/>
      <x:c r="L235" s="99" t="n">
        <x:v>0.6906666666666667</x:v>
      </x:c>
      <x:c r="M235" s="99" t="n">
        <x:v>0.6344444444444445</x:v>
      </x:c>
      <x:c r="N235" s="99"/>
      <x:c r="O235" s="99" t="n">
        <x:v>0.4048696666666667</x:v>
      </x:c>
      <x:c r="P235" s="99" t="n">
        <x:v>0.038674222222222235</x:v>
      </x:c>
      <x:c r="Q235" s="99" t="n">
        <x:v>0.083489</x:v>
      </x:c>
      <x:c r="R235" s="99" t="n">
        <x:v>-0.11707522222222222</x:v>
      </x:c>
      <x:c r="S235" s="45"/>
      <x:c r="T235" s="45"/>
      <x:c r="U235" s="51" t="d">
        <x:v>2026-09-30T00:00:00.000Z</x:v>
      </x:c>
      <x:c r="V235" s="51" t="d">
        <x:v>2026-09-30T00:00:00.000Z</x:v>
      </x:c>
      <x:c r="W235" s="109" t="n">
        <x:v>9</x:v>
      </x:c>
      <x:c r="X235" s="109" t="n">
        <x:v>9</x:v>
      </x:c>
      <x:c r="Y235" s="45" t="str">
        <x:v>sbx-mex/Perfil_Tienda_DM</x:v>
      </x:c>
      <x:c r="Z235" s="45" t="str">
        <x:v>2a6b0d21379739482f0b4c7be9b0f9a022e15f5b</x:v>
      </x:c>
      <x:c r="AA235" s="45" t="str">
        <x:v>8456a41c5e02d454e70a2531577ffb2e29f73e57e44a7762de681d568aa4227a</x:v>
      </x:c>
    </x:row>
    <x:row r="236" ht="23" customHeight="1">
      <x:c r="A236" s="50" t="str">
        <x:v>38508</x:v>
      </x:c>
      <x:c r="B236" s="51" t="d">
        <x:v>2026-09-30T00:00:00.000Z</x:v>
      </x:c>
      <x:c r="C236" s="99" t="n">
        <x:v>0.555556</x:v>
      </x:c>
      <x:c r="D236" s="100" t="n">
        <x:v>5.296557666666667</x:v>
      </x:c>
      <x:c r="E236" s="100" t="n">
        <x:v>11.693934</x:v>
      </x:c>
      <x:c r="F236" s="99" t="n">
        <x:v>0.25888544444444445</x:v>
      </x:c>
      <x:c r="G236" s="99" t="n">
        <x:v>0.05665833333333333</x:v>
      </x:c>
      <x:c r="H236" s="101" t="n">
        <x:v>7382031</x:v>
      </x:c>
      <x:c r="I236" s="99" t="n">
        <x:v>-0.09216001362497062</x:v>
      </x:c>
      <x:c r="J236" s="100" t="n">
        <x:v>-11.444444444444445</x:v>
      </x:c>
      <x:c r="K236" s="100"/>
      <x:c r="L236" s="99" t="n">
        <x:v>0.4374444444444444</x:v>
      </x:c>
      <x:c r="M236" s="99" t="n">
        <x:v>0.548888888888889</x:v>
      </x:c>
      <x:c r="N236" s="99"/>
      <x:c r="O236" s="99" t="n">
        <x:v>0.40125066666666664</x:v>
      </x:c>
      <x:c r="P236" s="99" t="n">
        <x:v>0.06308799999999999</x:v>
      </x:c>
      <x:c r="Q236" s="99" t="n">
        <x:v>0.028721777777777777</x:v>
      </x:c>
      <x:c r="R236" s="99" t="n">
        <x:v>-0.14592833333333333</x:v>
      </x:c>
      <x:c r="S236" s="45"/>
      <x:c r="T236" s="45"/>
      <x:c r="U236" s="51" t="d">
        <x:v>2026-09-30T00:00:00.000Z</x:v>
      </x:c>
      <x:c r="V236" s="51" t="d">
        <x:v>2026-09-30T00:00:00.000Z</x:v>
      </x:c>
      <x:c r="W236" s="109" t="n">
        <x:v>9</x:v>
      </x:c>
      <x:c r="X236" s="109" t="n">
        <x:v>9</x:v>
      </x:c>
      <x:c r="Y236" s="45" t="str">
        <x:v>sbx-mex/Perfil_Tienda_DM</x:v>
      </x:c>
      <x:c r="Z236" s="45" t="str">
        <x:v>2a6b0d21379739482f0b4c7be9b0f9a022e15f5b</x:v>
      </x:c>
      <x:c r="AA236" s="45" t="str">
        <x:v>8456a41c5e02d454e70a2531577ffb2e29f73e57e44a7762de681d568aa4227a</x:v>
      </x:c>
    </x:row>
    <x:row r="237" ht="23" customHeight="1">
      <x:c r="A237" s="50" t="str">
        <x:v>38534</x:v>
      </x:c>
      <x:c r="B237" s="51" t="d">
        <x:v>2026-09-30T00:00:00.000Z</x:v>
      </x:c>
      <x:c r="C237" s="99" t="n">
        <x:v>0.5</x:v>
      </x:c>
      <x:c r="D237" s="100" t="n">
        <x:v>7.287905333333334</x:v>
      </x:c>
      <x:c r="E237" s="100" t="n">
        <x:v>16.374259666666667</x:v>
      </x:c>
      <x:c r="F237" s="99" t="n">
        <x:v>0.14835222222222222</x:v>
      </x:c>
      <x:c r="G237" s="99" t="n">
        <x:v>-0.006404888888888886</x:v>
      </x:c>
      <x:c r="H237" s="101" t="n">
        <x:v>14109882</x:v>
      </x:c>
      <x:c r="I237" s="99" t="n">
        <x:v>-0.015560413860970068</x:v>
      </x:c>
      <x:c r="J237" s="100" t="n">
        <x:v>-8.333333333333334</x:v>
      </x:c>
      <x:c r="K237" s="100"/>
      <x:c r="L237" s="99" t="n">
        <x:v>0.43566666666666665</x:v>
      </x:c>
      <x:c r="M237" s="99" t="n">
        <x:v>0.5388888888888889</x:v>
      </x:c>
      <x:c r="N237" s="99"/>
      <x:c r="O237" s="99" t="n">
        <x:v>0.38549255555555556</x:v>
      </x:c>
      <x:c r="P237" s="99" t="n">
        <x:v>0.035902333333333335</x:v>
      </x:c>
      <x:c r="Q237" s="99" t="n">
        <x:v>0.20267044444444443</x:v>
      </x:c>
      <x:c r="R237" s="99" t="n">
        <x:v>0.054676777777777776</x:v>
      </x:c>
      <x:c r="S237" s="45"/>
      <x:c r="T237" s="45"/>
      <x:c r="U237" s="51" t="d">
        <x:v>2026-09-30T00:00:00.000Z</x:v>
      </x:c>
      <x:c r="V237" s="51" t="d">
        <x:v>2026-09-30T00:00:00.000Z</x:v>
      </x:c>
      <x:c r="W237" s="109" t="n">
        <x:v>9</x:v>
      </x:c>
      <x:c r="X237" s="109" t="n">
        <x:v>9</x:v>
      </x:c>
      <x:c r="Y237" s="45" t="str">
        <x:v>sbx-mex/Perfil_Tienda_DM</x:v>
      </x:c>
      <x:c r="Z237" s="45" t="str">
        <x:v>2a6b0d21379739482f0b4c7be9b0f9a022e15f5b</x:v>
      </x:c>
      <x:c r="AA237" s="45" t="str">
        <x:v>8456a41c5e02d454e70a2531577ffb2e29f73e57e44a7762de681d568aa4227a</x:v>
      </x:c>
    </x:row>
    <x:row r="238" ht="23" customHeight="1">
      <x:c r="A238" s="50" t="str">
        <x:v>38607</x:v>
      </x:c>
      <x:c r="B238" s="51" t="d">
        <x:v>2026-09-30T00:00:00.000Z</x:v>
      </x:c>
      <x:c r="C238" s="99" t="n">
        <x:v>0.141732</x:v>
      </x:c>
      <x:c r="D238" s="100" t="n">
        <x:v>5.911357555555556</x:v>
      </x:c>
      <x:c r="E238" s="100" t="n">
        <x:v>14.64073077777778</x:v>
      </x:c>
      <x:c r="F238" s="99" t="n">
        <x:v>0.14520355555555556</x:v>
      </x:c>
      <x:c r="G238" s="99" t="n">
        <x:v>0.007119666666666671</x:v>
      </x:c>
      <x:c r="H238" s="101" t="n">
        <x:v>24600715</x:v>
      </x:c>
      <x:c r="I238" s="99" t="n">
        <x:v>-0.06604950855526026</x:v>
      </x:c>
      <x:c r="J238" s="100" t="n">
        <x:v>-0.8888888888888888</x:v>
      </x:c>
      <x:c r="K238" s="100"/>
      <x:c r="L238" s="99" t="n">
        <x:v>0.5507777777777778</x:v>
      </x:c>
      <x:c r="M238" s="99" t="n">
        <x:v>0.6377777777777778</x:v>
      </x:c>
      <x:c r="N238" s="99"/>
      <x:c r="O238" s="99" t="n">
        <x:v>0.3431738888888889</x:v>
      </x:c>
      <x:c r="P238" s="99" t="n">
        <x:v>-0.01395288888888888</x:v>
      </x:c>
      <x:c r="Q238" s="99" t="n">
        <x:v>0.26164111111111116</x:v>
      </x:c>
      <x:c r="R238" s="99" t="n">
        <x:v>-0.024003666666666656</x:v>
      </x:c>
      <x:c r="S238" s="45" t="str">
        <x:v>01:04</x:v>
      </x:c>
      <x:c r="T238" s="45" t="str">
        <x:v>01:06</x:v>
      </x:c>
      <x:c r="U238" s="51" t="d">
        <x:v>2026-09-30T00:00:00.000Z</x:v>
      </x:c>
      <x:c r="V238" s="51" t="d">
        <x:v>2026-09-30T00:00:00.000Z</x:v>
      </x:c>
      <x:c r="W238" s="109" t="n">
        <x:v>9</x:v>
      </x:c>
      <x:c r="X238" s="109" t="n">
        <x:v>9</x:v>
      </x:c>
      <x:c r="Y238" s="45" t="str">
        <x:v>sbx-mex/Perfil_Tienda_DM</x:v>
      </x:c>
      <x:c r="Z238" s="45" t="str">
        <x:v>2a6b0d21379739482f0b4c7be9b0f9a022e15f5b</x:v>
      </x:c>
      <x:c r="AA238" s="45" t="str">
        <x:v>8456a41c5e02d454e70a2531577ffb2e29f73e57e44a7762de681d568aa4227a</x:v>
      </x:c>
    </x:row>
    <x:row r="239" ht="23" customHeight="1">
      <x:c r="A239" s="50" t="str">
        <x:v>38633</x:v>
      </x:c>
      <x:c r="B239" s="51" t="d">
        <x:v>2026-09-30T00:00:00.000Z</x:v>
      </x:c>
      <x:c r="C239" s="99" t="n">
        <x:v>0.891429</x:v>
      </x:c>
      <x:c r="D239" s="100" t="n">
        <x:v>6.233593</x:v>
      </x:c>
      <x:c r="E239" s="100" t="n">
        <x:v>13.964414222222223</x:v>
      </x:c>
      <x:c r="F239" s="99" t="n">
        <x:v>0.16485944444444445</x:v>
      </x:c>
      <x:c r="G239" s="99" t="n">
        <x:v>-0.007532777777777781</x:v>
      </x:c>
      <x:c r="H239" s="101" t="n">
        <x:v>14702445</x:v>
      </x:c>
      <x:c r="I239" s="99" t="n">
        <x:v>-0.05283599197783717</x:v>
      </x:c>
      <x:c r="J239" s="100" t="n">
        <x:v>-6.333333333333333</x:v>
      </x:c>
      <x:c r="K239" s="100"/>
      <x:c r="L239" s="99" t="n">
        <x:v>0.4918888888888888</x:v>
      </x:c>
      <x:c r="M239" s="99" t="n">
        <x:v>0.6044444444444445</x:v>
      </x:c>
      <x:c r="N239" s="99"/>
      <x:c r="O239" s="99" t="n">
        <x:v>0.37759766666666666</x:v>
      </x:c>
      <x:c r="P239" s="99" t="n">
        <x:v>0.020947333333333325</x:v>
      </x:c>
      <x:c r="Q239" s="99" t="n">
        <x:v>0.2416694444444444</x:v>
      </x:c>
      <x:c r="R239" s="99" t="n">
        <x:v>-0.02280588888888889</x:v>
      </x:c>
      <x:c r="S239" s="45" t="str">
        <x:v>01:34</x:v>
      </x:c>
      <x:c r="T239" s="45" t="str">
        <x:v>01:13</x:v>
      </x:c>
      <x:c r="U239" s="51" t="d">
        <x:v>2026-09-30T00:00:00.000Z</x:v>
      </x:c>
      <x:c r="V239" s="51" t="d">
        <x:v>2026-09-30T00:00:00.000Z</x:v>
      </x:c>
      <x:c r="W239" s="109" t="n">
        <x:v>9</x:v>
      </x:c>
      <x:c r="X239" s="109" t="n">
        <x:v>9</x:v>
      </x:c>
      <x:c r="Y239" s="45" t="str">
        <x:v>sbx-mex/Perfil_Tienda_DM</x:v>
      </x:c>
      <x:c r="Z239" s="45" t="str">
        <x:v>2a6b0d21379739482f0b4c7be9b0f9a022e15f5b</x:v>
      </x:c>
      <x:c r="AA239" s="45" t="str">
        <x:v>8456a41c5e02d454e70a2531577ffb2e29f73e57e44a7762de681d568aa4227a</x:v>
      </x:c>
    </x:row>
    <x:row r="240" ht="23" customHeight="1">
      <x:c r="A240" s="50" t="str">
        <x:v>38704</x:v>
      </x:c>
      <x:c r="B240" s="51" t="d">
        <x:v>2026-09-30T00:00:00.000Z</x:v>
      </x:c>
      <x:c r="C240" s="99" t="n">
        <x:v>0.539326</x:v>
      </x:c>
      <x:c r="D240" s="100" t="n">
        <x:v>9.243869777777778</x:v>
      </x:c>
      <x:c r="E240" s="100" t="n">
        <x:v>15.081217222222222</x:v>
      </x:c>
      <x:c r="F240" s="99" t="n">
        <x:v>0.17695044444444444</x:v>
      </x:c>
      <x:c r="G240" s="99" t="n">
        <x:v>-0.020759333333333334</x:v>
      </x:c>
      <x:c r="H240" s="101" t="n">
        <x:v>7176041</x:v>
      </x:c>
      <x:c r="I240" s="99" t="n">
        <x:v>-0.12321710313910461</x:v>
      </x:c>
      <x:c r="J240" s="100" t="n">
        <x:v>-29.77777777777778</x:v>
      </x:c>
      <x:c r="K240" s="100"/>
      <x:c r="L240" s="99" t="n">
        <x:v>0.5781111111111111</x:v>
      </x:c>
      <x:c r="M240" s="99" t="n">
        <x:v>0.5877777777777777</x:v>
      </x:c>
      <x:c r="N240" s="99"/>
      <x:c r="O240" s="99" t="n">
        <x:v>0.42539533333333335</x:v>
      </x:c>
      <x:c r="P240" s="99" t="n">
        <x:v>0.025902555555555547</x:v>
      </x:c>
      <x:c r="Q240" s="99" t="n">
        <x:v>0.24076233333333333</x:v>
      </x:c>
      <x:c r="R240" s="99" t="n">
        <x:v>0.016468999999999998</x:v>
      </x:c>
      <x:c r="S240" s="45"/>
      <x:c r="T240" s="45"/>
      <x:c r="U240" s="51" t="d">
        <x:v>2026-09-30T00:00:00.000Z</x:v>
      </x:c>
      <x:c r="V240" s="51" t="d">
        <x:v>2026-09-30T00:00:00.000Z</x:v>
      </x:c>
      <x:c r="W240" s="109" t="n">
        <x:v>9</x:v>
      </x:c>
      <x:c r="X240" s="109" t="n">
        <x:v>9</x:v>
      </x:c>
      <x:c r="Y240" s="45" t="str">
        <x:v>sbx-mex/Perfil_Tienda_DM</x:v>
      </x:c>
      <x:c r="Z240" s="45" t="str">
        <x:v>2a6b0d21379739482f0b4c7be9b0f9a022e15f5b</x:v>
      </x:c>
      <x:c r="AA240" s="45" t="str">
        <x:v>8456a41c5e02d454e70a2531577ffb2e29f73e57e44a7762de681d568aa4227a</x:v>
      </x:c>
    </x:row>
    <x:row r="241" ht="23" customHeight="1">
      <x:c r="A241" s="50" t="str">
        <x:v>38747</x:v>
      </x:c>
      <x:c r="B241" s="51" t="d">
        <x:v>2026-09-30T00:00:00.000Z</x:v>
      </x:c>
      <x:c r="C241" s="99" t="n">
        <x:v>0.444444</x:v>
      </x:c>
      <x:c r="D241" s="100" t="n">
        <x:v>6.184007222222222</x:v>
      </x:c>
      <x:c r="E241" s="100" t="n">
        <x:v>12.109096333333333</x:v>
      </x:c>
      <x:c r="F241" s="99" t="n">
        <x:v>0.18460466666666667</x:v>
      </x:c>
      <x:c r="G241" s="99" t="n">
        <x:v>-0.01047711111111111</x:v>
      </x:c>
      <x:c r="H241" s="101" t="n">
        <x:v>8933965</x:v>
      </x:c>
      <x:c r="I241" s="99" t="n">
        <x:v>0.05082329234065108</x:v>
      </x:c>
      <x:c r="J241" s="100" t="n">
        <x:v>2.7777777777777777</x:v>
      </x:c>
      <x:c r="K241" s="100"/>
      <x:c r="L241" s="99" t="n">
        <x:v>0.5296666666666667</x:v>
      </x:c>
      <x:c r="M241" s="99" t="n">
        <x:v>0.6722222222222222</x:v>
      </x:c>
      <x:c r="N241" s="99"/>
      <x:c r="O241" s="99" t="n">
        <x:v>0.36765133333333333</x:v>
      </x:c>
      <x:c r="P241" s="99" t="n">
        <x:v>0.05330566666666665</x:v>
      </x:c>
      <x:c r="Q241" s="99" t="n">
        <x:v>0.13366211111111112</x:v>
      </x:c>
      <x:c r="R241" s="99" t="n">
        <x:v>-0.011514111111111109</x:v>
      </x:c>
      <x:c r="S241" s="45"/>
      <x:c r="T241" s="45"/>
      <x:c r="U241" s="51" t="d">
        <x:v>2026-09-30T00:00:00.000Z</x:v>
      </x:c>
      <x:c r="V241" s="51" t="d">
        <x:v>2026-09-30T00:00:00.000Z</x:v>
      </x:c>
      <x:c r="W241" s="109" t="n">
        <x:v>9</x:v>
      </x:c>
      <x:c r="X241" s="109" t="n">
        <x:v>9</x:v>
      </x:c>
      <x:c r="Y241" s="45" t="str">
        <x:v>sbx-mex/Perfil_Tienda_DM</x:v>
      </x:c>
      <x:c r="Z241" s="45" t="str">
        <x:v>2a6b0d21379739482f0b4c7be9b0f9a022e15f5b</x:v>
      </x:c>
      <x:c r="AA241" s="45" t="str">
        <x:v>8456a41c5e02d454e70a2531577ffb2e29f73e57e44a7762de681d568aa4227a</x:v>
      </x:c>
    </x:row>
    <x:row r="242" ht="23" customHeight="1">
      <x:c r="A242" s="50" t="str">
        <x:v>38749</x:v>
      </x:c>
      <x:c r="B242" s="51" t="d">
        <x:v>2026-09-30T00:00:00.000Z</x:v>
      </x:c>
      <x:c r="C242" s="99" t="n">
        <x:v>0</x:v>
      </x:c>
      <x:c r="D242" s="100" t="n">
        <x:v>6.066799777777778</x:v>
      </x:c>
      <x:c r="E242" s="100" t="n">
        <x:v>12.110683222222223</x:v>
      </x:c>
      <x:c r="F242" s="99" t="n">
        <x:v>0.21929022222222225</x:v>
      </x:c>
      <x:c r="G242" s="99" t="n">
        <x:v>-0.0006284444444444438</x:v>
      </x:c>
      <x:c r="H242" s="101" t="n">
        <x:v>7270933</x:v>
      </x:c>
      <x:c r="I242" s="99" t="n">
        <x:v>-0.04640008399625728</x:v>
      </x:c>
      <x:c r="J242" s="100" t="n">
        <x:v>14.333333333333334</x:v>
      </x:c>
      <x:c r="K242" s="100"/>
      <x:c r="L242" s="99" t="n">
        <x:v>0.6004444444444444</x:v>
      </x:c>
      <x:c r="M242" s="99" t="n">
        <x:v>0.6544444444444444</x:v>
      </x:c>
      <x:c r="N242" s="99"/>
      <x:c r="O242" s="99" t="n">
        <x:v>0.39786844444444447</x:v>
      </x:c>
      <x:c r="P242" s="99" t="n">
        <x:v>0.031429444444444433</x:v>
      </x:c>
      <x:c r="Q242" s="99" t="n">
        <x:v>0.06837033333333334</x:v>
      </x:c>
      <x:c r="R242" s="99" t="n">
        <x:v>-0.01989977777777778</x:v>
      </x:c>
      <x:c r="S242" s="45"/>
      <x:c r="T242" s="45"/>
      <x:c r="U242" s="51" t="d">
        <x:v>2026-09-30T00:00:00.000Z</x:v>
      </x:c>
      <x:c r="V242" s="51" t="d">
        <x:v>2026-09-30T00:00:00.000Z</x:v>
      </x:c>
      <x:c r="W242" s="109" t="n">
        <x:v>9</x:v>
      </x:c>
      <x:c r="X242" s="109" t="n">
        <x:v>9</x:v>
      </x:c>
      <x:c r="Y242" s="45" t="str">
        <x:v>sbx-mex/Perfil_Tienda_DM</x:v>
      </x:c>
      <x:c r="Z242" s="45" t="str">
        <x:v>2a6b0d21379739482f0b4c7be9b0f9a022e15f5b</x:v>
      </x:c>
      <x:c r="AA242" s="45" t="str">
        <x:v>8456a41c5e02d454e70a2531577ffb2e29f73e57e44a7762de681d568aa4227a</x:v>
      </x:c>
    </x:row>
    <x:row r="243" ht="23" customHeight="1">
      <x:c r="A243" s="50" t="str">
        <x:v>38158</x:v>
      </x:c>
      <x:c r="B243" s="51" t="d">
        <x:v>2026-09-30T00:00:00.000Z</x:v>
      </x:c>
      <x:c r="C243" s="99" t="n">
        <x:v>0.230769</x:v>
      </x:c>
      <x:c r="D243" s="100" t="n">
        <x:v>6.759515444444444</x:v>
      </x:c>
      <x:c r="E243" s="100" t="n">
        <x:v>13.478828444444444</x:v>
      </x:c>
      <x:c r="F243" s="99" t="n">
        <x:v>0.17803311111111111</x:v>
      </x:c>
      <x:c r="G243" s="99" t="n">
        <x:v>-1.0689446666666664</x:v>
      </x:c>
      <x:c r="H243" s="101" t="n">
        <x:v>8624298</x:v>
      </x:c>
      <x:c r="I243" s="99" t="n">
        <x:v>-0.046759945388527124</x:v>
      </x:c>
      <x:c r="J243" s="100" t="n">
        <x:v>-17.77777777777778</x:v>
      </x:c>
      <x:c r="K243" s="100"/>
      <x:c r="L243" s="99" t="n">
        <x:v>0.6376666666666666</x:v>
      </x:c>
      <x:c r="M243" s="99" t="n">
        <x:v>0.7211111111111111</x:v>
      </x:c>
      <x:c r="N243" s="99"/>
      <x:c r="O243" s="99" t="n">
        <x:v>0.3691417777777778</x:v>
      </x:c>
      <x:c r="P243" s="99" t="n">
        <x:v>0.043368</x:v>
      </x:c>
      <x:c r="Q243" s="99" t="n">
        <x:v>0.16532344444444444</x:v>
      </x:c>
      <x:c r="R243" s="99" t="n">
        <x:v>2.1673957777777777</x:v>
      </x:c>
      <x:c r="S243" s="45"/>
      <x:c r="T243" s="45"/>
      <x:c r="U243" s="51" t="d">
        <x:v>2026-09-30T00:00:00.000Z</x:v>
      </x:c>
      <x:c r="V243" s="51" t="d">
        <x:v>2026-09-30T00:00:00.000Z</x:v>
      </x:c>
      <x:c r="W243" s="109" t="n">
        <x:v>9</x:v>
      </x:c>
      <x:c r="X243" s="109" t="n">
        <x:v>9</x:v>
      </x:c>
      <x:c r="Y243" s="45" t="str">
        <x:v>sbx-mex/Perfil_Tienda_DM</x:v>
      </x:c>
      <x:c r="Z243" s="45" t="str">
        <x:v>2a6b0d21379739482f0b4c7be9b0f9a022e15f5b</x:v>
      </x:c>
      <x:c r="AA243" s="45" t="str">
        <x:v>8456a41c5e02d454e70a2531577ffb2e29f73e57e44a7762de681d568aa4227a</x:v>
      </x:c>
    </x:row>
    <x:row r="244" ht="23" customHeight="1">
      <x:c r="A244" s="50" t="str">
        <x:v>38166</x:v>
      </x:c>
      <x:c r="B244" s="51" t="d">
        <x:v>2026-09-30T00:00:00.000Z</x:v>
      </x:c>
      <x:c r="C244" s="99" t="n">
        <x:v>0.504202</x:v>
      </x:c>
      <x:c r="D244" s="100" t="n">
        <x:v>6.067675111111111</x:v>
      </x:c>
      <x:c r="E244" s="100" t="n">
        <x:v>13.635192888888888</x:v>
      </x:c>
      <x:c r="F244" s="99" t="n">
        <x:v>0.17532111111111112</x:v>
      </x:c>
      <x:c r="G244" s="99" t="n">
        <x:v>-0.018217888888888888</x:v>
      </x:c>
      <x:c r="H244" s="101" t="n">
        <x:v>10175161</x:v>
      </x:c>
      <x:c r="I244" s="99" t="n">
        <x:v>-0.00003902193838101198</x:v>
      </x:c>
      <x:c r="J244" s="100" t="n">
        <x:v>-7.777777777777778</x:v>
      </x:c>
      <x:c r="K244" s="100"/>
      <x:c r="L244" s="99" t="n">
        <x:v>0.6513333333333333</x:v>
      </x:c>
      <x:c r="M244" s="99" t="n">
        <x:v>0.69</x:v>
      </x:c>
      <x:c r="N244" s="99"/>
      <x:c r="O244" s="99" t="n">
        <x:v>0.4091424444444444</x:v>
      </x:c>
      <x:c r="P244" s="99" t="n">
        <x:v>0.03486555555555555</x:v>
      </x:c>
      <x:c r="Q244" s="99" t="n">
        <x:v>0.14054</x:v>
      </x:c>
      <x:c r="R244" s="99" t="n">
        <x:v>0.007805999999999998</x:v>
      </x:c>
      <x:c r="S244" s="45"/>
      <x:c r="T244" s="45"/>
      <x:c r="U244" s="51" t="d">
        <x:v>2026-09-30T00:00:00.000Z</x:v>
      </x:c>
      <x:c r="V244" s="51" t="d">
        <x:v>2026-09-30T00:00:00.000Z</x:v>
      </x:c>
      <x:c r="W244" s="109" t="n">
        <x:v>9</x:v>
      </x:c>
      <x:c r="X244" s="109" t="n">
        <x:v>9</x:v>
      </x:c>
      <x:c r="Y244" s="45" t="str">
        <x:v>sbx-mex/Perfil_Tienda_DM</x:v>
      </x:c>
      <x:c r="Z244" s="45" t="str">
        <x:v>2a6b0d21379739482f0b4c7be9b0f9a022e15f5b</x:v>
      </x:c>
      <x:c r="AA244" s="45" t="str">
        <x:v>8456a41c5e02d454e70a2531577ffb2e29f73e57e44a7762de681d568aa4227a</x:v>
      </x:c>
    </x:row>
    <x:row r="245" ht="23" customHeight="1">
      <x:c r="A245" s="50" t="str">
        <x:v>38390</x:v>
      </x:c>
      <x:c r="B245" s="51" t="d">
        <x:v>2026-09-30T00:00:00.000Z</x:v>
      </x:c>
      <x:c r="C245" s="99" t="n">
        <x:v>0.444444</x:v>
      </x:c>
      <x:c r="D245" s="100" t="n">
        <x:v>6.890199222222222</x:v>
      </x:c>
      <x:c r="E245" s="100" t="n">
        <x:v>11.972593</x:v>
      </x:c>
      <x:c r="F245" s="99" t="n">
        <x:v>0.20237033333333335</x:v>
      </x:c>
      <x:c r="G245" s="99" t="n">
        <x:v>-0.009848777777777781</x:v>
      </x:c>
      <x:c r="H245" s="101" t="n">
        <x:v>7205244</x:v>
      </x:c>
      <x:c r="I245" s="99" t="n">
        <x:v>-0.06319206536585953</x:v>
      </x:c>
      <x:c r="J245" s="100" t="n">
        <x:v>-1</x:v>
      </x:c>
      <x:c r="K245" s="100"/>
      <x:c r="L245" s="99" t="n">
        <x:v>0.5838888888888889</x:v>
      </x:c>
      <x:c r="M245" s="99" t="n">
        <x:v>0.6355555555555555</x:v>
      </x:c>
      <x:c r="N245" s="99"/>
      <x:c r="O245" s="99" t="n">
        <x:v>0.43993144444444443</x:v>
      </x:c>
      <x:c r="P245" s="99" t="n">
        <x:v>0.07118055555555555</x:v>
      </x:c>
      <x:c r="Q245" s="99" t="n">
        <x:v>0.10173877777777778</x:v>
      </x:c>
      <x:c r="R245" s="99" t="n">
        <x:v>-0.04505700000000001</x:v>
      </x:c>
      <x:c r="S245" s="45"/>
      <x:c r="T245" s="45"/>
      <x:c r="U245" s="51" t="d">
        <x:v>2026-09-30T00:00:00.000Z</x:v>
      </x:c>
      <x:c r="V245" s="51" t="d">
        <x:v>2026-09-30T00:00:00.000Z</x:v>
      </x:c>
      <x:c r="W245" s="109" t="n">
        <x:v>9</x:v>
      </x:c>
      <x:c r="X245" s="109" t="n">
        <x:v>9</x:v>
      </x:c>
      <x:c r="Y245" s="45" t="str">
        <x:v>sbx-mex/Perfil_Tienda_DM</x:v>
      </x:c>
      <x:c r="Z245" s="45" t="str">
        <x:v>2a6b0d21379739482f0b4c7be9b0f9a022e15f5b</x:v>
      </x:c>
      <x:c r="AA245" s="45" t="str">
        <x:v>8456a41c5e02d454e70a2531577ffb2e29f73e57e44a7762de681d568aa4227a</x:v>
      </x:c>
    </x:row>
    <x:row r="246" ht="23" customHeight="1">
      <x:c r="A246" s="50" t="str">
        <x:v>38400</x:v>
      </x:c>
      <x:c r="B246" s="51" t="d">
        <x:v>2026-09-30T00:00:00.000Z</x:v>
      </x:c>
      <x:c r="C246" s="99" t="n">
        <x:v>0.25641</x:v>
      </x:c>
      <x:c r="D246" s="100" t="n">
        <x:v>6.966106777777778</x:v>
      </x:c>
      <x:c r="E246" s="100" t="n">
        <x:v>15.653249222222222</x:v>
      </x:c>
      <x:c r="F246" s="99" t="n">
        <x:v>0.13823466666666667</x:v>
      </x:c>
      <x:c r="G246" s="99" t="n">
        <x:v>0.006018555555555558</x:v>
      </x:c>
      <x:c r="H246" s="101" t="n">
        <x:v>22303789</x:v>
      </x:c>
      <x:c r="I246" s="99" t="n">
        <x:v>-0.04207830917608124</x:v>
      </x:c>
      <x:c r="J246" s="100" t="n">
        <x:v>6.888888888888889</x:v>
      </x:c>
      <x:c r="K246" s="100"/>
      <x:c r="L246" s="99" t="n">
        <x:v>0.47088888888888886</x:v>
      </x:c>
      <x:c r="M246" s="99" t="n">
        <x:v>0.5966666666666667</x:v>
      </x:c>
      <x:c r="N246" s="99"/>
      <x:c r="O246" s="99" t="n">
        <x:v>0.35186755555555554</x:v>
      </x:c>
      <x:c r="P246" s="99" t="n">
        <x:v>0.010902888888888894</x:v>
      </x:c>
      <x:c r="Q246" s="99" t="n">
        <x:v>0.34803911111111113</x:v>
      </x:c>
      <x:c r="R246" s="99" t="n">
        <x:v>-0.01743188888888889</x:v>
      </x:c>
      <x:c r="S246" s="45"/>
      <x:c r="T246" s="45"/>
      <x:c r="U246" s="51" t="d">
        <x:v>2026-09-30T00:00:00.000Z</x:v>
      </x:c>
      <x:c r="V246" s="51" t="d">
        <x:v>2026-09-30T00:00:00.000Z</x:v>
      </x:c>
      <x:c r="W246" s="109" t="n">
        <x:v>9</x:v>
      </x:c>
      <x:c r="X246" s="109" t="n">
        <x:v>9</x:v>
      </x:c>
      <x:c r="Y246" s="45" t="str">
        <x:v>sbx-mex/Perfil_Tienda_DM</x:v>
      </x:c>
      <x:c r="Z246" s="45" t="str">
        <x:v>2a6b0d21379739482f0b4c7be9b0f9a022e15f5b</x:v>
      </x:c>
      <x:c r="AA246" s="45" t="str">
        <x:v>8456a41c5e02d454e70a2531577ffb2e29f73e57e44a7762de681d568aa4227a</x:v>
      </x:c>
    </x:row>
    <x:row r="247" ht="23" customHeight="1">
      <x:c r="A247" s="50" t="str">
        <x:v>38445</x:v>
      </x:c>
      <x:c r="B247" s="51" t="d">
        <x:v>2026-09-30T00:00:00.000Z</x:v>
      </x:c>
      <x:c r="C247" s="99" t="n">
        <x:v>0.270677</x:v>
      </x:c>
      <x:c r="D247" s="100" t="n">
        <x:v>6.974097111111111</x:v>
      </x:c>
      <x:c r="E247" s="100" t="n">
        <x:v>14.597837888888888</x:v>
      </x:c>
      <x:c r="F247" s="99" t="n">
        <x:v>0.17469155555555557</x:v>
      </x:c>
      <x:c r="G247" s="99" t="n">
        <x:v>0.008141777777777772</x:v>
      </x:c>
      <x:c r="H247" s="101" t="n">
        <x:v>11549535</x:v>
      </x:c>
      <x:c r="I247" s="99" t="n">
        <x:v>-0.13628675106217725</x:v>
      </x:c>
      <x:c r="J247" s="100" t="n">
        <x:v>-17.333333333333332</x:v>
      </x:c>
      <x:c r="K247" s="100"/>
      <x:c r="L247" s="99" t="n">
        <x:v>0.5957777777777777</x:v>
      </x:c>
      <x:c r="M247" s="99" t="n">
        <x:v>0.6322222222222221</x:v>
      </x:c>
      <x:c r="N247" s="99"/>
      <x:c r="O247" s="99" t="n">
        <x:v>0.40508133333333335</x:v>
      </x:c>
      <x:c r="P247" s="99" t="n">
        <x:v>0.03311766666666667</x:v>
      </x:c>
      <x:c r="Q247" s="99" t="n">
        <x:v>0.1639302222222222</x:v>
      </x:c>
      <x:c r="R247" s="99" t="n">
        <x:v>-0.035344999999999994</x:v>
      </x:c>
      <x:c r="S247" s="45"/>
      <x:c r="T247" s="45"/>
      <x:c r="U247" s="51" t="d">
        <x:v>2026-09-30T00:00:00.000Z</x:v>
      </x:c>
      <x:c r="V247" s="51" t="d">
        <x:v>2026-09-30T00:00:00.000Z</x:v>
      </x:c>
      <x:c r="W247" s="109" t="n">
        <x:v>9</x:v>
      </x:c>
      <x:c r="X247" s="109" t="n">
        <x:v>9</x:v>
      </x:c>
      <x:c r="Y247" s="45" t="str">
        <x:v>sbx-mex/Perfil_Tienda_DM</x:v>
      </x:c>
      <x:c r="Z247" s="45" t="str">
        <x:v>2a6b0d21379739482f0b4c7be9b0f9a022e15f5b</x:v>
      </x:c>
      <x:c r="AA247" s="45" t="str">
        <x:v>8456a41c5e02d454e70a2531577ffb2e29f73e57e44a7762de681d568aa4227a</x:v>
      </x:c>
    </x:row>
    <x:row r="248" ht="23" customHeight="1">
      <x:c r="A248" s="50" t="str">
        <x:v>38512</x:v>
      </x:c>
      <x:c r="B248" s="51" t="d">
        <x:v>2026-09-30T00:00:00.000Z</x:v>
      </x:c>
      <x:c r="C248" s="99" t="n">
        <x:v>0.144578</x:v>
      </x:c>
      <x:c r="D248" s="100" t="n">
        <x:v>5.808709666666667</x:v>
      </x:c>
      <x:c r="E248" s="100" t="n">
        <x:v>12.501118333333332</x:v>
      </x:c>
      <x:c r="F248" s="99" t="n">
        <x:v>0.2019201111111111</x:v>
      </x:c>
      <x:c r="G248" s="99" t="n">
        <x:v>0.020143111111111105</x:v>
      </x:c>
      <x:c r="H248" s="101" t="n">
        <x:v>6404395</x:v>
      </x:c>
      <x:c r="I248" s="99" t="n">
        <x:v>-0.14261558183603373</x:v>
      </x:c>
      <x:c r="J248" s="100" t="n">
        <x:v>-18.444444444444443</x:v>
      </x:c>
      <x:c r="K248" s="100"/>
      <x:c r="L248" s="99" t="n">
        <x:v>0.6945555555555556</x:v>
      </x:c>
      <x:c r="M248" s="99" t="n">
        <x:v>0.7222222222222222</x:v>
      </x:c>
      <x:c r="N248" s="99"/>
      <x:c r="O248" s="99" t="n">
        <x:v>0.39050300000000004</x:v>
      </x:c>
      <x:c r="P248" s="99" t="n">
        <x:v>0.03863955555555555</x:v>
      </x:c>
      <x:c r="Q248" s="99" t="n">
        <x:v>0.15325244444444444</x:v>
      </x:c>
      <x:c r="R248" s="99" t="n">
        <x:v>-0.053471888888888895</x:v>
      </x:c>
      <x:c r="S248" s="45"/>
      <x:c r="T248" s="45"/>
      <x:c r="U248" s="51" t="d">
        <x:v>2026-09-30T00:00:00.000Z</x:v>
      </x:c>
      <x:c r="V248" s="51" t="d">
        <x:v>2026-09-30T00:00:00.000Z</x:v>
      </x:c>
      <x:c r="W248" s="109" t="n">
        <x:v>9</x:v>
      </x:c>
      <x:c r="X248" s="109" t="n">
        <x:v>9</x:v>
      </x:c>
      <x:c r="Y248" s="45" t="str">
        <x:v>sbx-mex/Perfil_Tienda_DM</x:v>
      </x:c>
      <x:c r="Z248" s="45" t="str">
        <x:v>2a6b0d21379739482f0b4c7be9b0f9a022e15f5b</x:v>
      </x:c>
      <x:c r="AA248" s="45" t="str">
        <x:v>8456a41c5e02d454e70a2531577ffb2e29f73e57e44a7762de681d568aa4227a</x:v>
      </x:c>
    </x:row>
    <x:row r="249" ht="23" customHeight="1">
      <x:c r="A249" s="50" t="str">
        <x:v>38532</x:v>
      </x:c>
      <x:c r="B249" s="51" t="d">
        <x:v>2026-09-30T00:00:00.000Z</x:v>
      </x:c>
      <x:c r="C249" s="99" t="n">
        <x:v>0.431655</x:v>
      </x:c>
      <x:c r="D249" s="100" t="n">
        <x:v>7.296309666666667</x:v>
      </x:c>
      <x:c r="E249" s="100" t="n">
        <x:v>15.897473444444444</x:v>
      </x:c>
      <x:c r="F249" s="99" t="n">
        <x:v>0.1773117777777778</x:v>
      </x:c>
      <x:c r="G249" s="99" t="n">
        <x:v>0.023477555555555547</x:v>
      </x:c>
      <x:c r="H249" s="101" t="n">
        <x:v>11005203</x:v>
      </x:c>
      <x:c r="I249" s="99" t="n">
        <x:v>-0.12244221073377493</x:v>
      </x:c>
      <x:c r="J249" s="100" t="n">
        <x:v>-4.444444444444445</x:v>
      </x:c>
      <x:c r="K249" s="100"/>
      <x:c r="L249" s="99" t="n">
        <x:v>0.62</x:v>
      </x:c>
      <x:c r="M249" s="99" t="n">
        <x:v>0.6666666666666666</x:v>
      </x:c>
      <x:c r="N249" s="99"/>
      <x:c r="O249" s="99" t="n">
        <x:v>0.38414044444444445</x:v>
      </x:c>
      <x:c r="P249" s="99" t="n">
        <x:v>0.009816666666666665</x:v>
      </x:c>
      <x:c r="Q249" s="99" t="n">
        <x:v>0.1775851111111111</x:v>
      </x:c>
      <x:c r="R249" s="99" t="n">
        <x:v>0.008301333333333326</x:v>
      </x:c>
      <x:c r="S249" s="45"/>
      <x:c r="T249" s="45"/>
      <x:c r="U249" s="51" t="d">
        <x:v>2026-09-30T00:00:00.000Z</x:v>
      </x:c>
      <x:c r="V249" s="51" t="d">
        <x:v>2026-09-30T00:00:00.000Z</x:v>
      </x:c>
      <x:c r="W249" s="109" t="n">
        <x:v>9</x:v>
      </x:c>
      <x:c r="X249" s="109" t="n">
        <x:v>9</x:v>
      </x:c>
      <x:c r="Y249" s="45" t="str">
        <x:v>sbx-mex/Perfil_Tienda_DM</x:v>
      </x:c>
      <x:c r="Z249" s="45" t="str">
        <x:v>2a6b0d21379739482f0b4c7be9b0f9a022e15f5b</x:v>
      </x:c>
      <x:c r="AA249" s="45" t="str">
        <x:v>8456a41c5e02d454e70a2531577ffb2e29f73e57e44a7762de681d568aa4227a</x:v>
      </x:c>
    </x:row>
    <x:row r="250" ht="23" customHeight="1">
      <x:c r="A250" s="50" t="str">
        <x:v>38751</x:v>
      </x:c>
      <x:c r="B250" s="51" t="d">
        <x:v>2026-09-30T00:00:00.000Z</x:v>
      </x:c>
      <x:c r="C250" s="99" t="n">
        <x:v>0.11215</x:v>
      </x:c>
      <x:c r="D250" s="100" t="n">
        <x:v>6.390012888888888</x:v>
      </x:c>
      <x:c r="E250" s="100" t="n">
        <x:v>13.310616111111111</x:v>
      </x:c>
      <x:c r="F250" s="99" t="n">
        <x:v>0.195528</x:v>
      </x:c>
      <x:c r="G250" s="99" t="n">
        <x:v>-0.01944766666666667</x:v>
      </x:c>
      <x:c r="H250" s="101" t="n">
        <x:v>7702554</x:v>
      </x:c>
      <x:c r="I250" s="99" t="n">
        <x:v>-0.06636550719966416</x:v>
      </x:c>
      <x:c r="J250" s="100" t="n">
        <x:v>-26.555555555555557</x:v>
      </x:c>
      <x:c r="K250" s="100"/>
      <x:c r="L250" s="99" t="n">
        <x:v>0.5738888888888889</x:v>
      </x:c>
      <x:c r="M250" s="99" t="n">
        <x:v>0.5466666666666666</x:v>
      </x:c>
      <x:c r="N250" s="99"/>
      <x:c r="O250" s="99" t="n">
        <x:v>0.418584</x:v>
      </x:c>
      <x:c r="P250" s="99" t="n">
        <x:v>0.034230777777777784</x:v>
      </x:c>
      <x:c r="Q250" s="99" t="n">
        <x:v>0.053788555555555555</x:v>
      </x:c>
      <x:c r="R250" s="99" t="n">
        <x:v>-0.010708888888888891</x:v>
      </x:c>
      <x:c r="S250" s="45"/>
      <x:c r="T250" s="45"/>
      <x:c r="U250" s="51" t="d">
        <x:v>2026-09-30T00:00:00.000Z</x:v>
      </x:c>
      <x:c r="V250" s="51" t="d">
        <x:v>2026-09-30T00:00:00.000Z</x:v>
      </x:c>
      <x:c r="W250" s="109" t="n">
        <x:v>9</x:v>
      </x:c>
      <x:c r="X250" s="109" t="n">
        <x:v>9</x:v>
      </x:c>
      <x:c r="Y250" s="45" t="str">
        <x:v>sbx-mex/Perfil_Tienda_DM</x:v>
      </x:c>
      <x:c r="Z250" s="45" t="str">
        <x:v>2a6b0d21379739482f0b4c7be9b0f9a022e15f5b</x:v>
      </x:c>
      <x:c r="AA250" s="45" t="str">
        <x:v>8456a41c5e02d454e70a2531577ffb2e29f73e57e44a7762de681d568aa4227a</x:v>
      </x:c>
    </x:row>
    <x:row r="251" ht="23" customHeight="1">
      <x:c r="A251" s="50" t="str">
        <x:v>38755</x:v>
      </x:c>
      <x:c r="B251" s="51" t="d">
        <x:v>2026-09-30T00:00:00.000Z</x:v>
      </x:c>
      <x:c r="C251" s="99" t="n">
        <x:v>0.75</x:v>
      </x:c>
      <x:c r="D251" s="100" t="n">
        <x:v>8.208678222222224</x:v>
      </x:c>
      <x:c r="E251" s="100" t="n">
        <x:v>13.321596444444445</x:v>
      </x:c>
      <x:c r="F251" s="99" t="n">
        <x:v>0.2468867777777778</x:v>
      </x:c>
      <x:c r="G251" s="99" t="n">
        <x:v>0.05959611111111112</x:v>
      </x:c>
      <x:c r="H251" s="101" t="n">
        <x:v>6652590</x:v>
      </x:c>
      <x:c r="I251" s="99" t="n">
        <x:v>-0.2307203246973355</x:v>
      </x:c>
      <x:c r="J251" s="100" t="n">
        <x:v>10.222222222222221</x:v>
      </x:c>
      <x:c r="K251" s="100"/>
      <x:c r="L251" s="99" t="n">
        <x:v>0.7441111111111112</x:v>
      </x:c>
      <x:c r="M251" s="99" t="n">
        <x:v>0.6477777777777778</x:v>
      </x:c>
      <x:c r="N251" s="99"/>
      <x:c r="O251" s="99" t="n">
        <x:v>0.4142152222222222</x:v>
      </x:c>
      <x:c r="P251" s="99" t="n">
        <x:v>0.03365822222222222</x:v>
      </x:c>
      <x:c r="Q251" s="99" t="n">
        <x:v>0.1681297777777778</x:v>
      </x:c>
      <x:c r="R251" s="99" t="n">
        <x:v>-0.08472666666666667</x:v>
      </x:c>
      <x:c r="S251" s="45"/>
      <x:c r="T251" s="45"/>
      <x:c r="U251" s="51" t="d">
        <x:v>2026-09-30T00:00:00.000Z</x:v>
      </x:c>
      <x:c r="V251" s="51" t="d">
        <x:v>2026-09-30T00:00:00.000Z</x:v>
      </x:c>
      <x:c r="W251" s="109" t="n">
        <x:v>9</x:v>
      </x:c>
      <x:c r="X251" s="109" t="n">
        <x:v>9</x:v>
      </x:c>
      <x:c r="Y251" s="45" t="str">
        <x:v>sbx-mex/Perfil_Tienda_DM</x:v>
      </x:c>
      <x:c r="Z251" s="45" t="str">
        <x:v>2a6b0d21379739482f0b4c7be9b0f9a022e15f5b</x:v>
      </x:c>
      <x:c r="AA251" s="45" t="str">
        <x:v>8456a41c5e02d454e70a2531577ffb2e29f73e57e44a7762de681d568aa4227a</x:v>
      </x:c>
    </x:row>
    <x:row r="252" ht="23" customHeight="1">
      <x:c r="A252" s="50" t="str">
        <x:v>38777</x:v>
      </x:c>
      <x:c r="B252" s="51" t="d">
        <x:v>2026-09-30T00:00:00.000Z</x:v>
      </x:c>
      <x:c r="C252" s="99" t="n">
        <x:v>0.284024</x:v>
      </x:c>
      <x:c r="D252" s="100" t="n">
        <x:v>5.426789666666667</x:v>
      </x:c>
      <x:c r="E252" s="100" t="n">
        <x:v>12.23739988888889</x:v>
      </x:c>
      <x:c r="F252" s="99" t="n">
        <x:v>0.18228444444444444</x:v>
      </x:c>
      <x:c r="G252" s="99" t="n">
        <x:v>-0.1968028888888889</x:v>
      </x:c>
      <x:c r="H252" s="101" t="n">
        <x:v>12267576</x:v>
      </x:c>
      <x:c r="I252" s="99" t="n">
        <x:v>0.8738977848867511</x:v>
      </x:c>
      <x:c r="J252" s="100" t="n">
        <x:v>-32.111111111111114</x:v>
      </x:c>
      <x:c r="K252" s="100"/>
      <x:c r="L252" s="99" t="n">
        <x:v>0.498</x:v>
      </x:c>
      <x:c r="M252" s="99" t="n">
        <x:v>0.5733333333333334</x:v>
      </x:c>
      <x:c r="N252" s="99"/>
      <x:c r="O252" s="99" t="n">
        <x:v>0.366149</x:v>
      </x:c>
      <x:c r="P252" s="99" t="n">
        <x:v>0.029266888888888898</x:v>
      </x:c>
      <x:c r="Q252" s="99" t="n">
        <x:v>0.13940833333333333</x:v>
      </x:c>
      <x:c r="R252" s="99" t="n">
        <x:v>0.4053963333333333</x:v>
      </x:c>
      <x:c r="S252" s="45"/>
      <x:c r="T252" s="45"/>
      <x:c r="U252" s="51" t="d">
        <x:v>2026-09-30T00:00:00.000Z</x:v>
      </x:c>
      <x:c r="V252" s="51" t="d">
        <x:v>2026-09-30T00:00:00.000Z</x:v>
      </x:c>
      <x:c r="W252" s="109" t="n">
        <x:v>9</x:v>
      </x:c>
      <x:c r="X252" s="109" t="n">
        <x:v>9</x:v>
      </x:c>
      <x:c r="Y252" s="45" t="str">
        <x:v>sbx-mex/Perfil_Tienda_DM</x:v>
      </x:c>
      <x:c r="Z252" s="45" t="str">
        <x:v>2a6b0d21379739482f0b4c7be9b0f9a022e15f5b</x:v>
      </x:c>
      <x:c r="AA252" s="45" t="str">
        <x:v>8456a41c5e02d454e70a2531577ffb2e29f73e57e44a7762de681d568aa4227a</x:v>
      </x:c>
    </x:row>
    <x:row r="253" ht="23" customHeight="1">
      <x:c r="A253" s="50" t="str">
        <x:v>38780</x:v>
      </x:c>
      <x:c r="B253" s="51" t="d">
        <x:v>2026-09-30T00:00:00.000Z</x:v>
      </x:c>
      <x:c r="C253" s="99" t="n">
        <x:v>0.683544</x:v>
      </x:c>
      <x:c r="D253" s="100" t="n">
        <x:v>7.679768666666667</x:v>
      </x:c>
      <x:c r="E253" s="100" t="n">
        <x:v>12.724910000000001</x:v>
      </x:c>
      <x:c r="F253" s="99" t="n">
        <x:v>0.21957088888888887</x:v>
      </x:c>
      <x:c r="G253" s="99" t="n">
        <x:v>-0.01819433333333333</x:v>
      </x:c>
      <x:c r="H253" s="101" t="n">
        <x:v>10842852</x:v>
      </x:c>
      <x:c r="I253" s="99" t="n">
        <x:v>0.07472492318647417</x:v>
      </x:c>
      <x:c r="J253" s="100" t="n">
        <x:v>-8.555555555555555</x:v>
      </x:c>
      <x:c r="K253" s="100"/>
      <x:c r="L253" s="99" t="n">
        <x:v>0.6142222222222222</x:v>
      </x:c>
      <x:c r="M253" s="99" t="n">
        <x:v>0.6599999999999999</x:v>
      </x:c>
      <x:c r="N253" s="99"/>
      <x:c r="O253" s="99" t="n">
        <x:v>0.3592701111111111</x:v>
      </x:c>
      <x:c r="P253" s="99" t="n">
        <x:v>-0.032123000000000006</x:v>
      </x:c>
      <x:c r="Q253" s="99" t="n">
        <x:v>0.1511028888888889</x:v>
      </x:c>
      <x:c r="R253" s="99" t="n">
        <x:v>0.02746722222222222</x:v>
      </x:c>
      <x:c r="S253" s="45"/>
      <x:c r="T253" s="45"/>
      <x:c r="U253" s="51" t="d">
        <x:v>2026-09-30T00:00:00.000Z</x:v>
      </x:c>
      <x:c r="V253" s="51" t="d">
        <x:v>2026-09-30T00:00:00.000Z</x:v>
      </x:c>
      <x:c r="W253" s="109" t="n">
        <x:v>9</x:v>
      </x:c>
      <x:c r="X253" s="109" t="n">
        <x:v>9</x:v>
      </x:c>
      <x:c r="Y253" s="45" t="str">
        <x:v>sbx-mex/Perfil_Tienda_DM</x:v>
      </x:c>
      <x:c r="Z253" s="45" t="str">
        <x:v>2a6b0d21379739482f0b4c7be9b0f9a022e15f5b</x:v>
      </x:c>
      <x:c r="AA253" s="45" t="str">
        <x:v>8456a41c5e02d454e70a2531577ffb2e29f73e57e44a7762de681d568aa4227a</x:v>
      </x:c>
    </x:row>
    <x:row r="254" ht="23" customHeight="1">
      <x:c r="A254" s="50" t="str">
        <x:v>38798</x:v>
      </x:c>
      <x:c r="B254" s="51" t="d">
        <x:v>2026-09-30T00:00:00.000Z</x:v>
      </x:c>
      <x:c r="C254" s="99" t="n">
        <x:v>0.659341</x:v>
      </x:c>
      <x:c r="D254" s="100" t="n">
        <x:v>8.020236555555556</x:v>
      </x:c>
      <x:c r="E254" s="100" t="n">
        <x:v>14.385092777777778</x:v>
      </x:c>
      <x:c r="F254" s="99" t="n">
        <x:v>0.22612755555555555</x:v>
      </x:c>
      <x:c r="G254" s="99" t="n">
        <x:v>0.03580122222222223</x:v>
      </x:c>
      <x:c r="H254" s="101" t="n">
        <x:v>5876987</x:v>
      </x:c>
      <x:c r="I254" s="99" t="n">
        <x:v>-0.25811442206990687</x:v>
      </x:c>
      <x:c r="J254" s="100" t="n">
        <x:v>-41.111111111111114</x:v>
      </x:c>
      <x:c r="K254" s="100"/>
      <x:c r="L254" s="99" t="n">
        <x:v>0.6334444444444445</x:v>
      </x:c>
      <x:c r="M254" s="99" t="n">
        <x:v>0.5966666666666667</x:v>
      </x:c>
      <x:c r="N254" s="99"/>
      <x:c r="O254" s="99" t="n">
        <x:v>0.43416666666666665</x:v>
      </x:c>
      <x:c r="P254" s="99" t="n">
        <x:v>0.037481777777777774</x:v>
      </x:c>
      <x:c r="Q254" s="99" t="n">
        <x:v>0.0914848888888889</x:v>
      </x:c>
      <x:c r="R254" s="99" t="n">
        <x:v>-0.09444622222222222</x:v>
      </x:c>
      <x:c r="S254" s="45"/>
      <x:c r="T254" s="45"/>
      <x:c r="U254" s="51" t="d">
        <x:v>2026-09-30T00:00:00.000Z</x:v>
      </x:c>
      <x:c r="V254" s="51" t="d">
        <x:v>2026-09-30T00:00:00.000Z</x:v>
      </x:c>
      <x:c r="W254" s="109" t="n">
        <x:v>9</x:v>
      </x:c>
      <x:c r="X254" s="109" t="n">
        <x:v>9</x:v>
      </x:c>
      <x:c r="Y254" s="45" t="str">
        <x:v>sbx-mex/Perfil_Tienda_DM</x:v>
      </x:c>
      <x:c r="Z254" s="45" t="str">
        <x:v>2a6b0d21379739482f0b4c7be9b0f9a022e15f5b</x:v>
      </x:c>
      <x:c r="AA254" s="45" t="str">
        <x:v>8456a41c5e02d454e70a2531577ffb2e29f73e57e44a7762de681d568aa4227a</x:v>
      </x:c>
    </x:row>
    <x:row r="255" ht="23" customHeight="1">
      <x:c r="A255" s="50" t="str">
        <x:v>38810</x:v>
      </x:c>
      <x:c r="B255" s="51" t="d">
        <x:v>2026-09-30T00:00:00.000Z</x:v>
      </x:c>
      <x:c r="C255" s="99" t="n">
        <x:v>0.320856</x:v>
      </x:c>
      <x:c r="D255" s="100" t="n">
        <x:v>5.444598444444445</x:v>
      </x:c>
      <x:c r="E255" s="100" t="n">
        <x:v>12.630492222222223</x:v>
      </x:c>
      <x:c r="F255" s="99" t="n">
        <x:v>0.16330233333333333</x:v>
      </x:c>
      <x:c r="G255" s="99" t="n">
        <x:v>-0.003089111111111107</x:v>
      </x:c>
      <x:c r="H255" s="101" t="n">
        <x:v>15266924</x:v>
      </x:c>
      <x:c r="I255" s="99" t="n">
        <x:v>-0.01825695671393568</x:v>
      </x:c>
      <x:c r="J255" s="100" t="n">
        <x:v>3.111111111111111</x:v>
      </x:c>
      <x:c r="K255" s="100"/>
      <x:c r="L255" s="99" t="n">
        <x:v>0.4137777777777778</x:v>
      </x:c>
      <x:c r="M255" s="99" t="n">
        <x:v>0.5222222222222223</x:v>
      </x:c>
      <x:c r="N255" s="99"/>
      <x:c r="O255" s="99" t="n">
        <x:v>0.3703323333333333</x:v>
      </x:c>
      <x:c r="P255" s="99" t="n">
        <x:v>0.035609666666666664</x:v>
      </x:c>
      <x:c r="Q255" s="99" t="n">
        <x:v>0.17990355555555557</x:v>
      </x:c>
      <x:c r="R255" s="99" t="n">
        <x:v>-0.04158922222222222</x:v>
      </x:c>
      <x:c r="S255" s="45" t="str">
        <x:v>01:23</x:v>
      </x:c>
      <x:c r="T255" s="45" t="str">
        <x:v>01:14</x:v>
      </x:c>
      <x:c r="U255" s="51" t="d">
        <x:v>2026-09-30T00:00:00.000Z</x:v>
      </x:c>
      <x:c r="V255" s="51" t="d">
        <x:v>2026-09-30T00:00:00.000Z</x:v>
      </x:c>
      <x:c r="W255" s="109" t="n">
        <x:v>9</x:v>
      </x:c>
      <x:c r="X255" s="109" t="n">
        <x:v>9</x:v>
      </x:c>
      <x:c r="Y255" s="45" t="str">
        <x:v>sbx-mex/Perfil_Tienda_DM</x:v>
      </x:c>
      <x:c r="Z255" s="45" t="str">
        <x:v>2a6b0d21379739482f0b4c7be9b0f9a022e15f5b</x:v>
      </x:c>
      <x:c r="AA255" s="45" t="str">
        <x:v>8456a41c5e02d454e70a2531577ffb2e29f73e57e44a7762de681d568aa4227a</x:v>
      </x:c>
    </x:row>
    <x:row r="256" ht="23" customHeight="1">
      <x:c r="A256" s="50" t="str">
        <x:v>38929</x:v>
      </x:c>
      <x:c r="B256" s="51" t="d">
        <x:v>2026-09-30T00:00:00.000Z</x:v>
      </x:c>
      <x:c r="C256" s="99" t="n">
        <x:v>0</x:v>
      </x:c>
      <x:c r="D256" s="100" t="n">
        <x:v>4.157121999999999</x:v>
      </x:c>
      <x:c r="E256" s="100" t="n">
        <x:v>9.798966333333333</x:v>
      </x:c>
      <x:c r="F256" s="99" t="n">
        <x:v>0.17918422222222222</x:v>
      </x:c>
      <x:c r="G256" s="99" t="n">
        <x:v>0.028302444444444446</x:v>
      </x:c>
      <x:c r="H256" s="101" t="n">
        <x:v>11424142</x:v>
      </x:c>
      <x:c r="I256" s="99" t="n">
        <x:v>-0.21214344788556472</x:v>
      </x:c>
      <x:c r="J256" s="100" t="n">
        <x:v>-32.22222222222222</x:v>
      </x:c>
      <x:c r="K256" s="100"/>
      <x:c r="L256" s="99" t="n">
        <x:v>0.6888888888888889</x:v>
      </x:c>
      <x:c r="M256" s="99" t="n">
        <x:v>0.8155555555555556</x:v>
      </x:c>
      <x:c r="N256" s="99"/>
      <x:c r="O256" s="99" t="n">
        <x:v>0.3022238888888889</x:v>
      </x:c>
      <x:c r="P256" s="99" t="n">
        <x:v>0.0027542222222222195</x:v>
      </x:c>
      <x:c r="Q256" s="99" t="n">
        <x:v>0.2100887777777778</x:v>
      </x:c>
      <x:c r="R256" s="99" t="n">
        <x:v>-0.0632481111111111</x:v>
      </x:c>
      <x:c r="S256" s="45"/>
      <x:c r="T256" s="45"/>
      <x:c r="U256" s="51" t="d">
        <x:v>2026-09-30T00:00:00.000Z</x:v>
      </x:c>
      <x:c r="V256" s="51" t="d">
        <x:v>2026-09-30T00:00:00.000Z</x:v>
      </x:c>
      <x:c r="W256" s="109" t="n">
        <x:v>9</x:v>
      </x:c>
      <x:c r="X256" s="109" t="n">
        <x:v>9</x:v>
      </x:c>
      <x:c r="Y256" s="45" t="str">
        <x:v>sbx-mex/Perfil_Tienda_DM</x:v>
      </x:c>
      <x:c r="Z256" s="45" t="str">
        <x:v>2a6b0d21379739482f0b4c7be9b0f9a022e15f5b</x:v>
      </x:c>
      <x:c r="AA256" s="45" t="str">
        <x:v>8456a41c5e02d454e70a2531577ffb2e29f73e57e44a7762de681d568aa4227a</x:v>
      </x:c>
    </x:row>
    <x:row r="257" ht="23" customHeight="1">
      <x:c r="A257" s="50" t="str">
        <x:v>43162</x:v>
      </x:c>
      <x:c r="B257" s="51" t="d">
        <x:v>2026-09-30T00:00:00.000Z</x:v>
      </x:c>
      <x:c r="C257" s="99" t="n">
        <x:v>0.236842</x:v>
      </x:c>
      <x:c r="D257" s="100" t="n">
        <x:v>5.449285111111111</x:v>
      </x:c>
      <x:c r="E257" s="100" t="n">
        <x:v>11.915714666666666</x:v>
      </x:c>
      <x:c r="F257" s="99" t="n">
        <x:v>0.13947877777777778</x:v>
      </x:c>
      <x:c r="G257" s="99" t="n">
        <x:v>-0.07228022222222223</x:v>
      </x:c>
      <x:c r="H257" s="101" t="n">
        <x:v>15601897</x:v>
      </x:c>
      <x:c r="I257" s="99" t="n">
        <x:v>0.7566818637127306</x:v>
      </x:c>
      <x:c r="J257" s="100" t="n">
        <x:v>274</x:v>
      </x:c>
      <x:c r="K257" s="100"/>
      <x:c r="L257" s="99" t="n">
        <x:v>0.5992222222222222</x:v>
      </x:c>
      <x:c r="M257" s="99" t="n">
        <x:v>0.7122222222222222</x:v>
      </x:c>
      <x:c r="N257" s="99"/>
      <x:c r="O257" s="99" t="n">
        <x:v>0.27989888888888886</x:v>
      </x:c>
      <x:c r="P257" s="99" t="n">
        <x:v>-0.05105266666666666</x:v>
      </x:c>
      <x:c r="Q257" s="99" t="n">
        <x:v>0.2919568888888889</x:v>
      </x:c>
      <x:c r="R257" s="99" t="n">
        <x:v>0.07427455555555557</x:v>
      </x:c>
      <x:c r="S257" s="45"/>
      <x:c r="T257" s="45"/>
      <x:c r="U257" s="51" t="d">
        <x:v>2026-09-30T00:00:00.000Z</x:v>
      </x:c>
      <x:c r="V257" s="51" t="d">
        <x:v>2026-09-30T00:00:00.000Z</x:v>
      </x:c>
      <x:c r="W257" s="109" t="n">
        <x:v>9</x:v>
      </x:c>
      <x:c r="X257" s="109" t="n">
        <x:v>9</x:v>
      </x:c>
      <x:c r="Y257" s="45" t="str">
        <x:v>sbx-mex/Perfil_Tienda_DM</x:v>
      </x:c>
      <x:c r="Z257" s="45" t="str">
        <x:v>2a6b0d21379739482f0b4c7be9b0f9a022e15f5b</x:v>
      </x:c>
      <x:c r="AA257" s="45" t="str">
        <x:v>8456a41c5e02d454e70a2531577ffb2e29f73e57e44a7762de681d568aa4227a</x:v>
      </x:c>
    </x:row>
    <x:row r="258" ht="23" customHeight="1">
      <x:c r="A258" s="50" t="str">
        <x:v>38193</x:v>
      </x:c>
      <x:c r="B258" s="51" t="d">
        <x:v>2026-09-30T00:00:00.000Z</x:v>
      </x:c>
      <x:c r="C258" s="99" t="n">
        <x:v>0.504673</x:v>
      </x:c>
      <x:c r="D258" s="100" t="n">
        <x:v>7.507113222222222</x:v>
      </x:c>
      <x:c r="E258" s="100" t="n">
        <x:v>14.526209333333334</x:v>
      </x:c>
      <x:c r="F258" s="99" t="n">
        <x:v>0.16278355555555557</x:v>
      </x:c>
      <x:c r="G258" s="99" t="n">
        <x:v>-0.015685625</x:v>
      </x:c>
      <x:c r="H258" s="101" t="n">
        <x:v>17015956</x:v>
      </x:c>
      <x:c r="I258" s="99" t="n">
        <x:v>-0.008641556670574313</x:v>
      </x:c>
      <x:c r="J258" s="100" t="n">
        <x:v>3.3333333333333335</x:v>
      </x:c>
      <x:c r="K258" s="100"/>
      <x:c r="L258" s="99" t="n">
        <x:v>0.42166666666666663</x:v>
      </x:c>
      <x:c r="M258" s="99" t="n">
        <x:v>0.5655555555555556</x:v>
      </x:c>
      <x:c r="N258" s="99"/>
      <x:c r="O258" s="99" t="n">
        <x:v>0.38758566666666666</x:v>
      </x:c>
      <x:c r="P258" s="99" t="n">
        <x:v>0.03971575</x:v>
      </x:c>
      <x:c r="Q258" s="99" t="n">
        <x:v>0.1934722222222222</x:v>
      </x:c>
      <x:c r="R258" s="99" t="n">
        <x:v>-0.03035225</x:v>
      </x:c>
      <x:c r="S258" s="45"/>
      <x:c r="T258" s="45"/>
      <x:c r="U258" s="51" t="d">
        <x:v>2026-09-30T00:00:00.000Z</x:v>
      </x:c>
      <x:c r="V258" s="51" t="d">
        <x:v>2026-09-30T00:00:00.000Z</x:v>
      </x:c>
      <x:c r="W258" s="109" t="n">
        <x:v>9</x:v>
      </x:c>
      <x:c r="X258" s="109" t="n">
        <x:v>9</x:v>
      </x:c>
      <x:c r="Y258" s="45" t="str">
        <x:v>sbx-mex/Perfil_Tienda_DM</x:v>
      </x:c>
      <x:c r="Z258" s="45" t="str">
        <x:v>2a6b0d21379739482f0b4c7be9b0f9a022e15f5b</x:v>
      </x:c>
      <x:c r="AA258" s="45" t="str">
        <x:v>8456a41c5e02d454e70a2531577ffb2e29f73e57e44a7762de681d568aa4227a</x:v>
      </x:c>
    </x:row>
    <x:row r="259" ht="23" customHeight="1">
      <x:c r="A259" s="50" t="str">
        <x:v>38372</x:v>
      </x:c>
      <x:c r="B259" s="51" t="d">
        <x:v>2026-09-30T00:00:00.000Z</x:v>
      </x:c>
      <x:c r="C259" s="99" t="n">
        <x:v>0.40678</x:v>
      </x:c>
      <x:c r="D259" s="100" t="n">
        <x:v>6.773926333333334</x:v>
      </x:c>
      <x:c r="E259" s="100" t="n">
        <x:v>12.441080555555555</x:v>
      </x:c>
      <x:c r="F259" s="99" t="n">
        <x:v>0.18874344444444444</x:v>
      </x:c>
      <x:c r="G259" s="99" t="n">
        <x:v>0.010020888888888892</x:v>
      </x:c>
      <x:c r="H259" s="101" t="n">
        <x:v>12072653</x:v>
      </x:c>
      <x:c r="I259" s="99" t="n">
        <x:v>-0.14015524314049277</x:v>
      </x:c>
      <x:c r="J259" s="100" t="n">
        <x:v>-31</x:v>
      </x:c>
      <x:c r="K259" s="100"/>
      <x:c r="L259" s="99" t="n">
        <x:v>0.5161111111111112</x:v>
      </x:c>
      <x:c r="M259" s="99" t="n">
        <x:v>0.6033333333333333</x:v>
      </x:c>
      <x:c r="N259" s="99"/>
      <x:c r="O259" s="99" t="n">
        <x:v>0.4249615555555556</x:v>
      </x:c>
      <x:c r="P259" s="99" t="n">
        <x:v>0.051326333333333335</x:v>
      </x:c>
      <x:c r="Q259" s="99" t="n">
        <x:v>0.12966633333333333</x:v>
      </x:c>
      <x:c r="R259" s="99" t="n">
        <x:v>-0.06308811111111111</x:v>
      </x:c>
      <x:c r="S259" s="45"/>
      <x:c r="T259" s="45"/>
      <x:c r="U259" s="51" t="d">
        <x:v>2026-09-30T00:00:00.000Z</x:v>
      </x:c>
      <x:c r="V259" s="51" t="d">
        <x:v>2026-09-30T00:00:00.000Z</x:v>
      </x:c>
      <x:c r="W259" s="109" t="n">
        <x:v>9</x:v>
      </x:c>
      <x:c r="X259" s="109" t="n">
        <x:v>9</x:v>
      </x:c>
      <x:c r="Y259" s="45" t="str">
        <x:v>sbx-mex/Perfil_Tienda_DM</x:v>
      </x:c>
      <x:c r="Z259" s="45" t="str">
        <x:v>2a6b0d21379739482f0b4c7be9b0f9a022e15f5b</x:v>
      </x:c>
      <x:c r="AA259" s="45" t="str">
        <x:v>8456a41c5e02d454e70a2531577ffb2e29f73e57e44a7762de681d568aa4227a</x:v>
      </x:c>
    </x:row>
    <x:row r="260" ht="23" customHeight="1">
      <x:c r="A260" s="50" t="str">
        <x:v>38416</x:v>
      </x:c>
      <x:c r="B260" s="51" t="d">
        <x:v>2026-09-30T00:00:00.000Z</x:v>
      </x:c>
      <x:c r="C260" s="99" t="n">
        <x:v>0.496552</x:v>
      </x:c>
      <x:c r="D260" s="100" t="n">
        <x:v>6.320136000000001</x:v>
      </x:c>
      <x:c r="E260" s="100" t="n">
        <x:v>13.276249777777778</x:v>
      </x:c>
      <x:c r="F260" s="99" t="n">
        <x:v>0.20219322222222222</x:v>
      </x:c>
      <x:c r="G260" s="99" t="n">
        <x:v>0.014088666666666673</x:v>
      </x:c>
      <x:c r="H260" s="101" t="n">
        <x:v>9814854</x:v>
      </x:c>
      <x:c r="I260" s="99" t="n">
        <x:v>-0.07446085882954978</x:v>
      </x:c>
      <x:c r="J260" s="100" t="n">
        <x:v>-16.77777777777778</x:v>
      </x:c>
      <x:c r="K260" s="100"/>
      <x:c r="L260" s="99" t="n">
        <x:v>0.4288888888888889</x:v>
      </x:c>
      <x:c r="M260" s="99" t="n">
        <x:v>0.63</x:v>
      </x:c>
      <x:c r="N260" s="99"/>
      <x:c r="O260" s="99" t="n">
        <x:v>0.4281111111111111</x:v>
      </x:c>
      <x:c r="P260" s="99" t="n">
        <x:v>0.04600822222222223</x:v>
      </x:c>
      <x:c r="Q260" s="99" t="n">
        <x:v>0.07184933333333333</x:v>
      </x:c>
      <x:c r="R260" s="99" t="n">
        <x:v>-0.051694222222222225</x:v>
      </x:c>
      <x:c r="S260" s="45"/>
      <x:c r="T260" s="45"/>
      <x:c r="U260" s="51" t="d">
        <x:v>2026-09-30T00:00:00.000Z</x:v>
      </x:c>
      <x:c r="V260" s="51" t="d">
        <x:v>2026-09-30T00:00:00.000Z</x:v>
      </x:c>
      <x:c r="W260" s="109" t="n">
        <x:v>9</x:v>
      </x:c>
      <x:c r="X260" s="109" t="n">
        <x:v>9</x:v>
      </x:c>
      <x:c r="Y260" s="45" t="str">
        <x:v>sbx-mex/Perfil_Tienda_DM</x:v>
      </x:c>
      <x:c r="Z260" s="45" t="str">
        <x:v>2a6b0d21379739482f0b4c7be9b0f9a022e15f5b</x:v>
      </x:c>
      <x:c r="AA260" s="45" t="str">
        <x:v>8456a41c5e02d454e70a2531577ffb2e29f73e57e44a7762de681d568aa4227a</x:v>
      </x:c>
    </x:row>
    <x:row r="261" ht="23" customHeight="1">
      <x:c r="A261" s="50" t="str">
        <x:v>38499</x:v>
      </x:c>
      <x:c r="B261" s="51" t="d">
        <x:v>2026-09-30T00:00:00.000Z</x:v>
      </x:c>
      <x:c r="C261" s="99" t="n">
        <x:v>0.338983</x:v>
      </x:c>
      <x:c r="D261" s="100" t="n">
        <x:v>6.276281777777778</x:v>
      </x:c>
      <x:c r="E261" s="100" t="n">
        <x:v>13.487293000000001</x:v>
      </x:c>
      <x:c r="F261" s="99" t="n">
        <x:v>0.17603444444444444</x:v>
      </x:c>
      <x:c r="G261" s="99" t="n">
        <x:v>-0.014660444444444452</x:v>
      </x:c>
      <x:c r="H261" s="101" t="n">
        <x:v>13379748</x:v>
      </x:c>
      <x:c r="I261" s="99" t="n">
        <x:v>-0.10459899107392467</x:v>
      </x:c>
      <x:c r="J261" s="100" t="n">
        <x:v>-48.333333333333336</x:v>
      </x:c>
      <x:c r="K261" s="100"/>
      <x:c r="L261" s="99" t="n">
        <x:v>0.5705555555555555</x:v>
      </x:c>
      <x:c r="M261" s="99" t="n">
        <x:v>0.5733333333333334</x:v>
      </x:c>
      <x:c r="N261" s="99"/>
      <x:c r="O261" s="99" t="n">
        <x:v>0.42215222222222226</x:v>
      </x:c>
      <x:c r="P261" s="99" t="n">
        <x:v>0.05697833333333334</x:v>
      </x:c>
      <x:c r="Q261" s="99" t="n">
        <x:v>0.11369</x:v>
      </x:c>
      <x:c r="R261" s="99" t="n">
        <x:v>-0.07205644444444444</x:v>
      </x:c>
      <x:c r="S261" s="45"/>
      <x:c r="T261" s="45"/>
      <x:c r="U261" s="51" t="d">
        <x:v>2026-09-30T00:00:00.000Z</x:v>
      </x:c>
      <x:c r="V261" s="51" t="d">
        <x:v>2026-09-30T00:00:00.000Z</x:v>
      </x:c>
      <x:c r="W261" s="109" t="n">
        <x:v>9</x:v>
      </x:c>
      <x:c r="X261" s="109" t="n">
        <x:v>9</x:v>
      </x:c>
      <x:c r="Y261" s="45" t="str">
        <x:v>sbx-mex/Perfil_Tienda_DM</x:v>
      </x:c>
      <x:c r="Z261" s="45" t="str">
        <x:v>2a6b0d21379739482f0b4c7be9b0f9a022e15f5b</x:v>
      </x:c>
      <x:c r="AA261" s="45" t="str">
        <x:v>8456a41c5e02d454e70a2531577ffb2e29f73e57e44a7762de681d568aa4227a</x:v>
      </x:c>
    </x:row>
    <x:row r="262" ht="23" customHeight="1">
      <x:c r="A262" s="50" t="str">
        <x:v>38530</x:v>
      </x:c>
      <x:c r="B262" s="51" t="d">
        <x:v>2026-09-30T00:00:00.000Z</x:v>
      </x:c>
      <x:c r="C262" s="99" t="n">
        <x:v>0.347826</x:v>
      </x:c>
      <x:c r="D262" s="100" t="n">
        <x:v>7.269114333333333</x:v>
      </x:c>
      <x:c r="E262" s="100" t="n">
        <x:v>16.05716866666667</x:v>
      </x:c>
      <x:c r="F262" s="99" t="n">
        <x:v>0.14346466666666668</x:v>
      </x:c>
      <x:c r="G262" s="99" t="n">
        <x:v>0.00691511111111111</x:v>
      </x:c>
      <x:c r="H262" s="101" t="n">
        <x:v>24495392</x:v>
      </x:c>
      <x:c r="I262" s="99" t="n">
        <x:v>-0.12451494651056705</x:v>
      </x:c>
      <x:c r="J262" s="100" t="n">
        <x:v>-36.44444444444444</x:v>
      </x:c>
      <x:c r="K262" s="100"/>
      <x:c r="L262" s="99" t="n">
        <x:v>0.403</x:v>
      </x:c>
      <x:c r="M262" s="99" t="n">
        <x:v>0.5744444444444444</x:v>
      </x:c>
      <x:c r="N262" s="99"/>
      <x:c r="O262" s="99" t="n">
        <x:v>0.38165611111111114</x:v>
      </x:c>
      <x:c r="P262" s="99" t="n">
        <x:v>0.03911455555555556</x:v>
      </x:c>
      <x:c r="Q262" s="99" t="n">
        <x:v>0.23731555555555556</x:v>
      </x:c>
      <x:c r="R262" s="99" t="n">
        <x:v>-0.05896811111111111</x:v>
      </x:c>
      <x:c r="S262" s="45" t="str">
        <x:v>01:47</x:v>
      </x:c>
      <x:c r="T262" s="45" t="str">
        <x:v>01:49</x:v>
      </x:c>
      <x:c r="U262" s="51" t="d">
        <x:v>2026-09-30T00:00:00.000Z</x:v>
      </x:c>
      <x:c r="V262" s="51" t="d">
        <x:v>2026-09-30T00:00:00.000Z</x:v>
      </x:c>
      <x:c r="W262" s="109" t="n">
        <x:v>9</x:v>
      </x:c>
      <x:c r="X262" s="109" t="n">
        <x:v>9</x:v>
      </x:c>
      <x:c r="Y262" s="45" t="str">
        <x:v>sbx-mex/Perfil_Tienda_DM</x:v>
      </x:c>
      <x:c r="Z262" s="45" t="str">
        <x:v>2a6b0d21379739482f0b4c7be9b0f9a022e15f5b</x:v>
      </x:c>
      <x:c r="AA262" s="45" t="str">
        <x:v>8456a41c5e02d454e70a2531577ffb2e29f73e57e44a7762de681d568aa4227a</x:v>
      </x:c>
    </x:row>
    <x:row r="263" ht="23" customHeight="1">
      <x:c r="A263" s="50" t="str">
        <x:v>38549</x:v>
      </x:c>
      <x:c r="B263" s="51" t="d">
        <x:v>2026-09-30T00:00:00.000Z</x:v>
      </x:c>
      <x:c r="C263" s="99" t="n">
        <x:v>0.47191</x:v>
      </x:c>
      <x:c r="D263" s="100" t="n">
        <x:v>7.0112658888888895</x:v>
      </x:c>
      <x:c r="E263" s="100" t="n">
        <x:v>14.025029888888888</x:v>
      </x:c>
      <x:c r="F263" s="99" t="n">
        <x:v>0.17894466666666667</x:v>
      </x:c>
      <x:c r="G263" s="99" t="n">
        <x:v>0.02024166666666667</x:v>
      </x:c>
      <x:c r="H263" s="101" t="n">
        <x:v>13878779</x:v>
      </x:c>
      <x:c r="I263" s="99" t="n">
        <x:v>-0.13516319774877283</x:v>
      </x:c>
      <x:c r="J263" s="100" t="n">
        <x:v>-37</x:v>
      </x:c>
      <x:c r="K263" s="100"/>
      <x:c r="L263" s="99" t="n">
        <x:v>0.5086666666666667</x:v>
      </x:c>
      <x:c r="M263" s="99" t="n">
        <x:v>0.6233333333333334</x:v>
      </x:c>
      <x:c r="N263" s="99"/>
      <x:c r="O263" s="99" t="n">
        <x:v>0.39037777777777777</x:v>
      </x:c>
      <x:c r="P263" s="99" t="n">
        <x:v>0.06426022222222223</x:v>
      </x:c>
      <x:c r="Q263" s="99" t="n">
        <x:v>0.17801177777777777</x:v>
      </x:c>
      <x:c r="R263" s="99" t="n">
        <x:v>-0.0979248888888889</x:v>
      </x:c>
      <x:c r="S263" s="45"/>
      <x:c r="T263" s="45"/>
      <x:c r="U263" s="51" t="d">
        <x:v>2026-09-30T00:00:00.000Z</x:v>
      </x:c>
      <x:c r="V263" s="51" t="d">
        <x:v>2026-09-30T00:00:00.000Z</x:v>
      </x:c>
      <x:c r="W263" s="109" t="n">
        <x:v>9</x:v>
      </x:c>
      <x:c r="X263" s="109" t="n">
        <x:v>9</x:v>
      </x:c>
      <x:c r="Y263" s="45" t="str">
        <x:v>sbx-mex/Perfil_Tienda_DM</x:v>
      </x:c>
      <x:c r="Z263" s="45" t="str">
        <x:v>2a6b0d21379739482f0b4c7be9b0f9a022e15f5b</x:v>
      </x:c>
      <x:c r="AA263" s="45" t="str">
        <x:v>8456a41c5e02d454e70a2531577ffb2e29f73e57e44a7762de681d568aa4227a</x:v>
      </x:c>
    </x:row>
    <x:row r="264" ht="23" customHeight="1">
      <x:c r="A264" s="50" t="str">
        <x:v>38587</x:v>
      </x:c>
      <x:c r="B264" s="51" t="d">
        <x:v>2026-09-30T00:00:00.000Z</x:v>
      </x:c>
      <x:c r="C264" s="99" t="n">
        <x:v>0.338028</x:v>
      </x:c>
      <x:c r="D264" s="100" t="n">
        <x:v>5.961738555555556</x:v>
      </x:c>
      <x:c r="E264" s="100" t="n">
        <x:v>10.354734777777777</x:v>
      </x:c>
      <x:c r="F264" s="99" t="n">
        <x:v>0.2134888888888889</x:v>
      </x:c>
      <x:c r="G264" s="99" t="n">
        <x:v>0.03499166666666667</x:v>
      </x:c>
      <x:c r="H264" s="101" t="n">
        <x:v>9730325</x:v>
      </x:c>
      <x:c r="I264" s="99" t="n">
        <x:v>-0.08104276214283879</x:v>
      </x:c>
      <x:c r="J264" s="100" t="n">
        <x:v>-7.444444444444445</x:v>
      </x:c>
      <x:c r="K264" s="100"/>
      <x:c r="L264" s="99" t="n">
        <x:v>0.5166666666666667</x:v>
      </x:c>
      <x:c r="M264" s="99" t="n">
        <x:v>0.6322222222222221</x:v>
      </x:c>
      <x:c r="N264" s="99"/>
      <x:c r="O264" s="99" t="n">
        <x:v>0.40015533333333336</x:v>
      </x:c>
      <x:c r="P264" s="99" t="n">
        <x:v>0.033219222222222226</x:v>
      </x:c>
      <x:c r="Q264" s="99" t="n">
        <x:v>0.10640688888888888</x:v>
      </x:c>
      <x:c r="R264" s="99" t="n">
        <x:v>-0.05454166666666666</x:v>
      </x:c>
      <x:c r="S264" s="45"/>
      <x:c r="T264" s="45"/>
      <x:c r="U264" s="51" t="d">
        <x:v>2026-09-30T00:00:00.000Z</x:v>
      </x:c>
      <x:c r="V264" s="51" t="d">
        <x:v>2026-09-30T00:00:00.000Z</x:v>
      </x:c>
      <x:c r="W264" s="109" t="n">
        <x:v>9</x:v>
      </x:c>
      <x:c r="X264" s="109" t="n">
        <x:v>9</x:v>
      </x:c>
      <x:c r="Y264" s="45" t="str">
        <x:v>sbx-mex/Perfil_Tienda_DM</x:v>
      </x:c>
      <x:c r="Z264" s="45" t="str">
        <x:v>2a6b0d21379739482f0b4c7be9b0f9a022e15f5b</x:v>
      </x:c>
      <x:c r="AA264" s="45" t="str">
        <x:v>8456a41c5e02d454e70a2531577ffb2e29f73e57e44a7762de681d568aa4227a</x:v>
      </x:c>
    </x:row>
    <x:row r="265" ht="23" customHeight="1">
      <x:c r="A265" s="50" t="str">
        <x:v>38715</x:v>
      </x:c>
      <x:c r="B265" s="51" t="d">
        <x:v>2026-09-30T00:00:00.000Z</x:v>
      </x:c>
      <x:c r="C265" s="99" t="n">
        <x:v>0.48583</x:v>
      </x:c>
      <x:c r="D265" s="100" t="n">
        <x:v>7.014526</x:v>
      </x:c>
      <x:c r="E265" s="100" t="n">
        <x:v>15.570258666666668</x:v>
      </x:c>
      <x:c r="F265" s="99" t="n">
        <x:v>0.14803311111111112</x:v>
      </x:c>
      <x:c r="G265" s="99" t="n">
        <x:v>-0.0015977777777777828</x:v>
      </x:c>
      <x:c r="H265" s="101" t="n">
        <x:v>21564474</x:v>
      </x:c>
      <x:c r="I265" s="99" t="n">
        <x:v>-0.08703418960808063</x:v>
      </x:c>
      <x:c r="J265" s="100" t="n">
        <x:v>-22.22222222222222</x:v>
      </x:c>
      <x:c r="K265" s="100"/>
      <x:c r="L265" s="99" t="n">
        <x:v>0.5157777777777778</x:v>
      </x:c>
      <x:c r="M265" s="99" t="n">
        <x:v>0.5477777777777777</x:v>
      </x:c>
      <x:c r="N265" s="99"/>
      <x:c r="O265" s="99" t="n">
        <x:v>0.37423822222222225</x:v>
      </x:c>
      <x:c r="P265" s="99" t="n">
        <x:v>0.04134711111111112</x:v>
      </x:c>
      <x:c r="Q265" s="99" t="n">
        <x:v>0.224402</x:v>
      </x:c>
      <x:c r="R265" s="99" t="n">
        <x:v>-0.05882488888888889</x:v>
      </x:c>
      <x:c r="S265" s="45" t="str">
        <x:v>01:36</x:v>
      </x:c>
      <x:c r="T265" s="45" t="str">
        <x:v>01:25</x:v>
      </x:c>
      <x:c r="U265" s="51" t="d">
        <x:v>2026-09-30T00:00:00.000Z</x:v>
      </x:c>
      <x:c r="V265" s="51" t="d">
        <x:v>2026-09-30T00:00:00.000Z</x:v>
      </x:c>
      <x:c r="W265" s="109" t="n">
        <x:v>9</x:v>
      </x:c>
      <x:c r="X265" s="109" t="n">
        <x:v>9</x:v>
      </x:c>
      <x:c r="Y265" s="45" t="str">
        <x:v>sbx-mex/Perfil_Tienda_DM</x:v>
      </x:c>
      <x:c r="Z265" s="45" t="str">
        <x:v>2a6b0d21379739482f0b4c7be9b0f9a022e15f5b</x:v>
      </x:c>
      <x:c r="AA265" s="45" t="str">
        <x:v>8456a41c5e02d454e70a2531577ffb2e29f73e57e44a7762de681d568aa4227a</x:v>
      </x:c>
    </x:row>
    <x:row r="266" ht="23" customHeight="1">
      <x:c r="A266" s="50" t="str">
        <x:v>38764</x:v>
      </x:c>
      <x:c r="B266" s="51" t="d">
        <x:v>2026-09-30T00:00:00.000Z</x:v>
      </x:c>
      <x:c r="C266" s="99" t="n">
        <x:v>0.091603</x:v>
      </x:c>
      <x:c r="D266" s="100" t="n">
        <x:v>5.238961</x:v>
      </x:c>
      <x:c r="E266" s="100" t="n">
        <x:v>11.770639555555555</x:v>
      </x:c>
      <x:c r="F266" s="99" t="n">
        <x:v>0.2025611111111111</x:v>
      </x:c>
      <x:c r="G266" s="99" t="n">
        <x:v>0.00912744444444445</x:v>
      </x:c>
      <x:c r="H266" s="101" t="n">
        <x:v>8918998</x:v>
      </x:c>
      <x:c r="I266" s="99" t="n">
        <x:v>-0.03142298355411788</x:v>
      </x:c>
      <x:c r="J266" s="100" t="n">
        <x:v>12.88888888888889</x:v>
      </x:c>
      <x:c r="K266" s="100"/>
      <x:c r="L266" s="99" t="n">
        <x:v>0.5735555555555556</x:v>
      </x:c>
      <x:c r="M266" s="99" t="n">
        <x:v>0.6688888888888889</x:v>
      </x:c>
      <x:c r="N266" s="99"/>
      <x:c r="O266" s="99" t="n">
        <x:v>0.3882494444444444</x:v>
      </x:c>
      <x:c r="P266" s="99" t="n">
        <x:v>0.0031125555555555507</x:v>
      </x:c>
      <x:c r="Q266" s="99" t="n">
        <x:v>0.1919437777777778</x:v>
      </x:c>
      <x:c r="R266" s="99" t="n">
        <x:v>0.012132444444444446</x:v>
      </x:c>
      <x:c r="S266" s="45"/>
      <x:c r="T266" s="45"/>
      <x:c r="U266" s="51" t="d">
        <x:v>2026-09-30T00:00:00.000Z</x:v>
      </x:c>
      <x:c r="V266" s="51" t="d">
        <x:v>2026-09-30T00:00:00.000Z</x:v>
      </x:c>
      <x:c r="W266" s="109" t="n">
        <x:v>9</x:v>
      </x:c>
      <x:c r="X266" s="109" t="n">
        <x:v>9</x:v>
      </x:c>
      <x:c r="Y266" s="45" t="str">
        <x:v>sbx-mex/Perfil_Tienda_DM</x:v>
      </x:c>
      <x:c r="Z266" s="45" t="str">
        <x:v>2a6b0d21379739482f0b4c7be9b0f9a022e15f5b</x:v>
      </x:c>
      <x:c r="AA266" s="45" t="str">
        <x:v>8456a41c5e02d454e70a2531577ffb2e29f73e57e44a7762de681d568aa4227a</x:v>
      </x:c>
    </x:row>
    <x:row r="267" ht="23" customHeight="1">
      <x:c r="A267" s="50" t="str">
        <x:v>38951</x:v>
      </x:c>
      <x:c r="B267" s="51" t="d">
        <x:v>2026-09-30T00:00:00.000Z</x:v>
      </x:c>
      <x:c r="C267" s="99" t="n">
        <x:v>0.393443</x:v>
      </x:c>
      <x:c r="D267" s="100" t="n">
        <x:v>7.139645777777777</x:v>
      </x:c>
      <x:c r="E267" s="100" t="n">
        <x:v>11.071834777777777</x:v>
      </x:c>
      <x:c r="F267" s="99" t="n">
        <x:v>0.23562433333333332</x:v>
      </x:c>
      <x:c r="G267" s="99" t="n">
        <x:v>-0.0016573333333333316</x:v>
      </x:c>
      <x:c r="H267" s="101" t="n">
        <x:v>7271617</x:v>
      </x:c>
      <x:c r="I267" s="99" t="n">
        <x:v>-0.18143894382879466</x:v>
      </x:c>
      <x:c r="J267" s="100" t="n">
        <x:v>-67.44444444444444</x:v>
      </x:c>
      <x:c r="K267" s="100"/>
      <x:c r="L267" s="99" t="n">
        <x:v>0.6567777777777778</x:v>
      </x:c>
      <x:c r="M267" s="99" t="n">
        <x:v>0.6711111111111111</x:v>
      </x:c>
      <x:c r="N267" s="99"/>
      <x:c r="O267" s="99" t="n">
        <x:v>0.38420344444444443</x:v>
      </x:c>
      <x:c r="P267" s="99" t="n">
        <x:v>0.04827188888888888</x:v>
      </x:c>
      <x:c r="Q267" s="99" t="n">
        <x:v>0.14823844444444445</x:v>
      </x:c>
      <x:c r="R267" s="99" t="n">
        <x:v>-0.038145888888888896</x:v>
      </x:c>
      <x:c r="S267" s="45"/>
      <x:c r="T267" s="45"/>
      <x:c r="U267" s="51" t="d">
        <x:v>2026-09-30T00:00:00.000Z</x:v>
      </x:c>
      <x:c r="V267" s="51" t="d">
        <x:v>2026-09-30T00:00:00.000Z</x:v>
      </x:c>
      <x:c r="W267" s="109" t="n">
        <x:v>9</x:v>
      </x:c>
      <x:c r="X267" s="109" t="n">
        <x:v>9</x:v>
      </x:c>
      <x:c r="Y267" s="45" t="str">
        <x:v>sbx-mex/Perfil_Tienda_DM</x:v>
      </x:c>
      <x:c r="Z267" s="45" t="str">
        <x:v>2a6b0d21379739482f0b4c7be9b0f9a022e15f5b</x:v>
      </x:c>
      <x:c r="AA267" s="45" t="str">
        <x:v>8456a41c5e02d454e70a2531577ffb2e29f73e57e44a7762de681d568aa4227a</x:v>
      </x:c>
    </x:row>
    <x:row r="268" ht="23" customHeight="1">
      <x:c r="A268" s="50" t="str">
        <x:v>43105</x:v>
      </x:c>
      <x:c r="B268" s="51" t="d">
        <x:v>2026-09-30T00:00:00.000Z</x:v>
      </x:c>
      <x:c r="C268" s="99" t="n">
        <x:v>0.966443</x:v>
      </x:c>
      <x:c r="D268" s="100" t="n">
        <x:v>7.946049111111112</x:v>
      </x:c>
      <x:c r="E268" s="100" t="n">
        <x:v>15.975402555555556</x:v>
      </x:c>
      <x:c r="F268" s="99" t="n">
        <x:v>0.15008888888888888</x:v>
      </x:c>
      <x:c r="G268" s="99" t="n">
        <x:v>-0.010893333333333331</x:v>
      </x:c>
      <x:c r="H268" s="101" t="n">
        <x:v>13404278</x:v>
      </x:c>
      <x:c r="I268" s="99" t="n">
        <x:v>-0.028760413292565512</x:v>
      </x:c>
      <x:c r="J268" s="100" t="n">
        <x:v>45.857142857142854</x:v>
      </x:c>
      <x:c r="K268" s="100"/>
      <x:c r="L268" s="99" t="n">
        <x:v>0.5138888888888888</x:v>
      </x:c>
      <x:c r="M268" s="99" t="n">
        <x:v>0.5888888888888889</x:v>
      </x:c>
      <x:c r="N268" s="99"/>
      <x:c r="O268" s="99" t="n">
        <x:v>0.38191422222222227</x:v>
      </x:c>
      <x:c r="P268" s="99" t="n">
        <x:v>0.05438733333333333</x:v>
      </x:c>
      <x:c r="Q268" s="99" t="n">
        <x:v>0.22640155555555555</x:v>
      </x:c>
      <x:c r="R268" s="99" t="n">
        <x:v>-0.08574799999999999</x:v>
      </x:c>
      <x:c r="S268" s="45"/>
      <x:c r="T268" s="45"/>
      <x:c r="U268" s="51" t="d">
        <x:v>2026-09-30T00:00:00.000Z</x:v>
      </x:c>
      <x:c r="V268" s="51" t="d">
        <x:v>2026-09-30T00:00:00.000Z</x:v>
      </x:c>
      <x:c r="W268" s="109" t="n">
        <x:v>9</x:v>
      </x:c>
      <x:c r="X268" s="109" t="n">
        <x:v>9</x:v>
      </x:c>
      <x:c r="Y268" s="45" t="str">
        <x:v>sbx-mex/Perfil_Tienda_DM</x:v>
      </x:c>
      <x:c r="Z268" s="45" t="str">
        <x:v>2a6b0d21379739482f0b4c7be9b0f9a022e15f5b</x:v>
      </x:c>
      <x:c r="AA268" s="45" t="str">
        <x:v>8456a41c5e02d454e70a2531577ffb2e29f73e57e44a7762de681d568aa4227a</x:v>
      </x:c>
    </x:row>
    <x:row r="269" ht="23" customHeight="1">
      <x:c r="A269" s="50" t="str">
        <x:v>38121</x:v>
      </x:c>
      <x:c r="B269" s="51" t="d">
        <x:v>2026-09-30T00:00:00.000Z</x:v>
      </x:c>
      <x:c r="C269" s="99" t="n">
        <x:v>0.156863</x:v>
      </x:c>
      <x:c r="D269" s="100" t="n">
        <x:v>6.127564888888888</x:v>
      </x:c>
      <x:c r="E269" s="100" t="n">
        <x:v>13.557093777777778</x:v>
      </x:c>
      <x:c r="F269" s="99" t="n">
        <x:v>0.1735781111111111</x:v>
      </x:c>
      <x:c r="G269" s="99" t="n">
        <x:v>-0.0013069999999999996</x:v>
      </x:c>
      <x:c r="H269" s="101" t="n">
        <x:v>12235597</x:v>
      </x:c>
      <x:c r="I269" s="99" t="n">
        <x:v>-0.041347984093292434</x:v>
      </x:c>
      <x:c r="J269" s="100" t="n">
        <x:v>-5.333333333333333</x:v>
      </x:c>
      <x:c r="K269" s="100"/>
      <x:c r="L269" s="99" t="n">
        <x:v>0.64</x:v>
      </x:c>
      <x:c r="M269" s="99" t="n">
        <x:v>0.67</x:v>
      </x:c>
      <x:c r="N269" s="99"/>
      <x:c r="O269" s="99" t="n">
        <x:v>0.36412155555555553</x:v>
      </x:c>
      <x:c r="P269" s="99" t="n">
        <x:v>0.016222999999999987</x:v>
      </x:c>
      <x:c r="Q269" s="99" t="n">
        <x:v>0.1843771111111111</x:v>
      </x:c>
      <x:c r="R269" s="99" t="n">
        <x:v>-0.011304222222222222</x:v>
      </x:c>
      <x:c r="S269" s="45"/>
      <x:c r="T269" s="45"/>
      <x:c r="U269" s="51" t="d">
        <x:v>2026-09-30T00:00:00.000Z</x:v>
      </x:c>
      <x:c r="V269" s="51" t="d">
        <x:v>2026-09-30T00:00:00.000Z</x:v>
      </x:c>
      <x:c r="W269" s="109" t="n">
        <x:v>9</x:v>
      </x:c>
      <x:c r="X269" s="109" t="n">
        <x:v>9</x:v>
      </x:c>
      <x:c r="Y269" s="45" t="str">
        <x:v>sbx-mex/Perfil_Tienda_DM</x:v>
      </x:c>
      <x:c r="Z269" s="45" t="str">
        <x:v>2a6b0d21379739482f0b4c7be9b0f9a022e15f5b</x:v>
      </x:c>
      <x:c r="AA269" s="45" t="str">
        <x:v>8456a41c5e02d454e70a2531577ffb2e29f73e57e44a7762de681d568aa4227a</x:v>
      </x:c>
    </x:row>
    <x:row r="270" ht="23" customHeight="1">
      <x:c r="A270" s="50" t="str">
        <x:v>38366</x:v>
      </x:c>
      <x:c r="B270" s="51" t="d">
        <x:v>2026-09-30T00:00:00.000Z</x:v>
      </x:c>
      <x:c r="C270" s="99" t="n">
        <x:v>0.076923</x:v>
      </x:c>
      <x:c r="D270" s="100" t="n">
        <x:v>6.573362111111111</x:v>
      </x:c>
      <x:c r="E270" s="100" t="n">
        <x:v>13.77533211111111</x:v>
      </x:c>
      <x:c r="F270" s="99" t="n">
        <x:v>0.16279433333333335</x:v>
      </x:c>
      <x:c r="G270" s="99" t="n">
        <x:v>-0.0047240000000000025</x:v>
      </x:c>
      <x:c r="H270" s="101" t="n">
        <x:v>13426777</x:v>
      </x:c>
      <x:c r="I270" s="99" t="n">
        <x:v>-0.005586363025224417</x:v>
      </x:c>
      <x:c r="J270" s="100" t="n">
        <x:v>-2.888888888888889</x:v>
      </x:c>
      <x:c r="K270" s="100"/>
      <x:c r="L270" s="99" t="n">
        <x:v>0.5428888888888889</x:v>
      </x:c>
      <x:c r="M270" s="99" t="n">
        <x:v>0.6044444444444445</x:v>
      </x:c>
      <x:c r="N270" s="99"/>
      <x:c r="O270" s="99" t="n">
        <x:v>0.379411</x:v>
      </x:c>
      <x:c r="P270" s="99" t="n">
        <x:v>0.017242000000000004</x:v>
      </x:c>
      <x:c r="Q270" s="99" t="n">
        <x:v>0.22640333333333335</x:v>
      </x:c>
      <x:c r="R270" s="99" t="n">
        <x:v>-0.0017844444444444435</x:v>
      </x:c>
      <x:c r="S270" s="45"/>
      <x:c r="T270" s="45"/>
      <x:c r="U270" s="51" t="d">
        <x:v>2026-09-30T00:00:00.000Z</x:v>
      </x:c>
      <x:c r="V270" s="51" t="d">
        <x:v>2026-09-30T00:00:00.000Z</x:v>
      </x:c>
      <x:c r="W270" s="109" t="n">
        <x:v>9</x:v>
      </x:c>
      <x:c r="X270" s="109" t="n">
        <x:v>9</x:v>
      </x:c>
      <x:c r="Y270" s="45" t="str">
        <x:v>sbx-mex/Perfil_Tienda_DM</x:v>
      </x:c>
      <x:c r="Z270" s="45" t="str">
        <x:v>2a6b0d21379739482f0b4c7be9b0f9a022e15f5b</x:v>
      </x:c>
      <x:c r="AA270" s="45" t="str">
        <x:v>8456a41c5e02d454e70a2531577ffb2e29f73e57e44a7762de681d568aa4227a</x:v>
      </x:c>
    </x:row>
    <x:row r="271" ht="23" customHeight="1">
      <x:c r="A271" s="50" t="str">
        <x:v>38386</x:v>
      </x:c>
      <x:c r="B271" s="51" t="d">
        <x:v>2026-09-30T00:00:00.000Z</x:v>
      </x:c>
      <x:c r="C271" s="99" t="n">
        <x:v>0.705882</x:v>
      </x:c>
      <x:c r="D271" s="100" t="n">
        <x:v>7.274538777777778</x:v>
      </x:c>
      <x:c r="E271" s="100" t="n">
        <x:v>14.07321788888889</x:v>
      </x:c>
      <x:c r="F271" s="99" t="n">
        <x:v>0.16572033333333336</x:v>
      </x:c>
      <x:c r="G271" s="99" t="n">
        <x:v>-0.02600955555555555</x:v>
      </x:c>
      <x:c r="H271" s="101" t="n">
        <x:v>11406566</x:v>
      </x:c>
      <x:c r="I271" s="99" t="n">
        <x:v>0.08200524001865794</x:v>
      </x:c>
      <x:c r="J271" s="100" t="n">
        <x:v>12.11111111111111</x:v>
      </x:c>
      <x:c r="K271" s="100"/>
      <x:c r="L271" s="99" t="n">
        <x:v>0.5315555555555556</x:v>
      </x:c>
      <x:c r="M271" s="99" t="n">
        <x:v>0.6466666666666667</x:v>
      </x:c>
      <x:c r="N271" s="99"/>
      <x:c r="O271" s="99" t="n">
        <x:v>0.39194744444444446</x:v>
      </x:c>
      <x:c r="P271" s="99" t="n">
        <x:v>0.020512888888888883</x:v>
      </x:c>
      <x:c r="Q271" s="99" t="n">
        <x:v>0.1522721111111111</x:v>
      </x:c>
      <x:c r="R271" s="99" t="n">
        <x:v>0.03649188888888889</x:v>
      </x:c>
      <x:c r="S271" s="45"/>
      <x:c r="T271" s="45"/>
      <x:c r="U271" s="51" t="d">
        <x:v>2026-09-30T00:00:00.000Z</x:v>
      </x:c>
      <x:c r="V271" s="51" t="d">
        <x:v>2026-09-30T00:00:00.000Z</x:v>
      </x:c>
      <x:c r="W271" s="109" t="n">
        <x:v>9</x:v>
      </x:c>
      <x:c r="X271" s="109" t="n">
        <x:v>9</x:v>
      </x:c>
      <x:c r="Y271" s="45" t="str">
        <x:v>sbx-mex/Perfil_Tienda_DM</x:v>
      </x:c>
      <x:c r="Z271" s="45" t="str">
        <x:v>2a6b0d21379739482f0b4c7be9b0f9a022e15f5b</x:v>
      </x:c>
      <x:c r="AA271" s="45" t="str">
        <x:v>8456a41c5e02d454e70a2531577ffb2e29f73e57e44a7762de681d568aa4227a</x:v>
      </x:c>
    </x:row>
    <x:row r="272" ht="23" customHeight="1">
      <x:c r="A272" s="50" t="str">
        <x:v>38461</x:v>
      </x:c>
      <x:c r="B272" s="51" t="d">
        <x:v>2026-09-30T00:00:00.000Z</x:v>
      </x:c>
      <x:c r="C272" s="99" t="n">
        <x:v>0.155844</x:v>
      </x:c>
      <x:c r="D272" s="100" t="n">
        <x:v>5.730521222222222</x:v>
      </x:c>
      <x:c r="E272" s="100" t="n">
        <x:v>13.530874555555556</x:v>
      </x:c>
      <x:c r="F272" s="99" t="n">
        <x:v>0.16601100000000002</x:v>
      </x:c>
      <x:c r="G272" s="99" t="n">
        <x:v>0.011758444444444445</x:v>
      </x:c>
      <x:c r="H272" s="101" t="n">
        <x:v>13856879</x:v>
      </x:c>
      <x:c r="I272" s="99" t="n">
        <x:v>-0.08419705775938502</x:v>
      </x:c>
      <x:c r="J272" s="100" t="n">
        <x:v>2.2222222222222223</x:v>
      </x:c>
      <x:c r="K272" s="100"/>
      <x:c r="L272" s="99" t="n">
        <x:v>0.534</x:v>
      </x:c>
      <x:c r="M272" s="99" t="n">
        <x:v>0.6911111111111111</x:v>
      </x:c>
      <x:c r="N272" s="99"/>
      <x:c r="O272" s="99" t="n">
        <x:v>0.3521086666666667</x:v>
      </x:c>
      <x:c r="P272" s="99" t="n">
        <x:v>0.004820111111111124</x:v>
      </x:c>
      <x:c r="Q272" s="99" t="n">
        <x:v>0.14540711111111113</x:v>
      </x:c>
      <x:c r="R272" s="99" t="n">
        <x:v>-0.04646644444444444</x:v>
      </x:c>
      <x:c r="S272" s="45"/>
      <x:c r="T272" s="45"/>
      <x:c r="U272" s="51" t="d">
        <x:v>2026-09-30T00:00:00.000Z</x:v>
      </x:c>
      <x:c r="V272" s="51" t="d">
        <x:v>2026-09-30T00:00:00.000Z</x:v>
      </x:c>
      <x:c r="W272" s="109" t="n">
        <x:v>9</x:v>
      </x:c>
      <x:c r="X272" s="109" t="n">
        <x:v>9</x:v>
      </x:c>
      <x:c r="Y272" s="45" t="str">
        <x:v>sbx-mex/Perfil_Tienda_DM</x:v>
      </x:c>
      <x:c r="Z272" s="45" t="str">
        <x:v>2a6b0d21379739482f0b4c7be9b0f9a022e15f5b</x:v>
      </x:c>
      <x:c r="AA272" s="45" t="str">
        <x:v>8456a41c5e02d454e70a2531577ffb2e29f73e57e44a7762de681d568aa4227a</x:v>
      </x:c>
    </x:row>
    <x:row r="273" ht="23" customHeight="1">
      <x:c r="A273" s="50" t="str">
        <x:v>38538</x:v>
      </x:c>
      <x:c r="B273" s="51" t="d">
        <x:v>2026-09-30T00:00:00.000Z</x:v>
      </x:c>
      <x:c r="C273" s="99" t="n">
        <x:v>0.555556</x:v>
      </x:c>
      <x:c r="D273" s="100" t="n">
        <x:v>6.941359111111111</x:v>
      </x:c>
      <x:c r="E273" s="100" t="n">
        <x:v>12.995175444444445</x:v>
      </x:c>
      <x:c r="F273" s="99" t="n">
        <x:v>0.18273988888888887</x:v>
      </x:c>
      <x:c r="G273" s="99" t="n">
        <x:v>-0.018568000000000005</x:v>
      </x:c>
      <x:c r="H273" s="101" t="n">
        <x:v>8832866</x:v>
      </x:c>
      <x:c r="I273" s="99" t="n">
        <x:v>0.12875658442757265</x:v>
      </x:c>
      <x:c r="J273" s="100" t="n">
        <x:v>-34.333333333333336</x:v>
      </x:c>
      <x:c r="K273" s="100"/>
      <x:c r="L273" s="99" t="n">
        <x:v>0.5633333333333334</x:v>
      </x:c>
      <x:c r="M273" s="99" t="n">
        <x:v>0.6644444444444444</x:v>
      </x:c>
      <x:c r="N273" s="99"/>
      <x:c r="O273" s="99" t="n">
        <x:v>0.38534955555555556</x:v>
      </x:c>
      <x:c r="P273" s="99" t="n">
        <x:v>0.03991077777777777</x:v>
      </x:c>
      <x:c r="Q273" s="99" t="n">
        <x:v>0.16197777777777778</x:v>
      </x:c>
      <x:c r="R273" s="99" t="n">
        <x:v>0.02636844444444444</x:v>
      </x:c>
      <x:c r="S273" s="45"/>
      <x:c r="T273" s="45"/>
      <x:c r="U273" s="51" t="d">
        <x:v>2026-09-30T00:00:00.000Z</x:v>
      </x:c>
      <x:c r="V273" s="51" t="d">
        <x:v>2026-09-30T00:00:00.000Z</x:v>
      </x:c>
      <x:c r="W273" s="109" t="n">
        <x:v>9</x:v>
      </x:c>
      <x:c r="X273" s="109" t="n">
        <x:v>9</x:v>
      </x:c>
      <x:c r="Y273" s="45" t="str">
        <x:v>sbx-mex/Perfil_Tienda_DM</x:v>
      </x:c>
      <x:c r="Z273" s="45" t="str">
        <x:v>2a6b0d21379739482f0b4c7be9b0f9a022e15f5b</x:v>
      </x:c>
      <x:c r="AA273" s="45" t="str">
        <x:v>8456a41c5e02d454e70a2531577ffb2e29f73e57e44a7762de681d568aa4227a</x:v>
      </x:c>
    </x:row>
    <x:row r="274" ht="23" customHeight="1">
      <x:c r="A274" s="50" t="str">
        <x:v>38644</x:v>
      </x:c>
      <x:c r="B274" s="51" t="d">
        <x:v>2026-09-30T00:00:00.000Z</x:v>
      </x:c>
      <x:c r="C274" s="99" t="n">
        <x:v>0.369231</x:v>
      </x:c>
      <x:c r="D274" s="100" t="n">
        <x:v>8.007284111111112</x:v>
      </x:c>
      <x:c r="E274" s="100" t="n">
        <x:v>14.374454444444446</x:v>
      </x:c>
      <x:c r="F274" s="99" t="n">
        <x:v>0.17630966666666667</x:v>
      </x:c>
      <x:c r="G274" s="99" t="n">
        <x:v>0.03010144444444445</x:v>
      </x:c>
      <x:c r="H274" s="101" t="n">
        <x:v>11137667</x:v>
      </x:c>
      <x:c r="I274" s="99" t="n">
        <x:v>-0.13637713958880548</x:v>
      </x:c>
      <x:c r="J274" s="100" t="n">
        <x:v>1.1111111111111112</x:v>
      </x:c>
      <x:c r="K274" s="100"/>
      <x:c r="L274" s="99" t="n">
        <x:v>0.5394444444444445</x:v>
      </x:c>
      <x:c r="M274" s="99" t="n">
        <x:v>0.6766666666666666</x:v>
      </x:c>
      <x:c r="N274" s="99"/>
      <x:c r="O274" s="99" t="n">
        <x:v>0.36615055555555553</x:v>
      </x:c>
      <x:c r="P274" s="99" t="n">
        <x:v>0.01822933333333332</x:v>
      </x:c>
      <x:c r="Q274" s="99" t="n">
        <x:v>0.11104566666666667</x:v>
      </x:c>
      <x:c r="R274" s="99" t="n">
        <x:v>-0.076096</x:v>
      </x:c>
      <x:c r="S274" s="45"/>
      <x:c r="T274" s="45"/>
      <x:c r="U274" s="51" t="d">
        <x:v>2026-09-30T00:00:00.000Z</x:v>
      </x:c>
      <x:c r="V274" s="51" t="d">
        <x:v>2026-09-30T00:00:00.000Z</x:v>
      </x:c>
      <x:c r="W274" s="109" t="n">
        <x:v>9</x:v>
      </x:c>
      <x:c r="X274" s="109" t="n">
        <x:v>9</x:v>
      </x:c>
      <x:c r="Y274" s="45" t="str">
        <x:v>sbx-mex/Perfil_Tienda_DM</x:v>
      </x:c>
      <x:c r="Z274" s="45" t="str">
        <x:v>2a6b0d21379739482f0b4c7be9b0f9a022e15f5b</x:v>
      </x:c>
      <x:c r="AA274" s="45" t="str">
        <x:v>8456a41c5e02d454e70a2531577ffb2e29f73e57e44a7762de681d568aa4227a</x:v>
      </x:c>
    </x:row>
    <x:row r="275" ht="23" customHeight="1">
      <x:c r="A275" s="50" t="str">
        <x:v>38709</x:v>
      </x:c>
      <x:c r="B275" s="51" t="d">
        <x:v>2026-09-30T00:00:00.000Z</x:v>
      </x:c>
      <x:c r="C275" s="99" t="n">
        <x:v>0</x:v>
      </x:c>
      <x:c r="D275" s="100" t="n">
        <x:v>8.378156666666666</x:v>
      </x:c>
      <x:c r="E275" s="100" t="n">
        <x:v>13.575483666666667</x:v>
      </x:c>
      <x:c r="F275" s="99" t="n">
        <x:v>0.22349366666666665</x:v>
      </x:c>
      <x:c r="G275" s="99" t="n">
        <x:v>-0.001473555555555552</x:v>
      </x:c>
      <x:c r="H275" s="101" t="n">
        <x:v>6725444</x:v>
      </x:c>
      <x:c r="I275" s="99" t="n">
        <x:v>0.012575572145569147</x:v>
      </x:c>
      <x:c r="J275" s="100" t="n">
        <x:v>21.555555555555557</x:v>
      </x:c>
      <x:c r="K275" s="100"/>
      <x:c r="L275" s="99" t="n">
        <x:v>0.8946666666666666</x:v>
      </x:c>
      <x:c r="M275" s="99" t="n">
        <x:v>0.8811111111111111</x:v>
      </x:c>
      <x:c r="N275" s="99"/>
      <x:c r="O275" s="99" t="n">
        <x:v>0.5077382222222222</x:v>
      </x:c>
      <x:c r="P275" s="99" t="n">
        <x:v>-0.11521100000000001</x:v>
      </x:c>
      <x:c r="Q275" s="99" t="n">
        <x:v>0.09340888888888889</x:v>
      </x:c>
      <x:c r="R275" s="99" t="n">
        <x:v>0.15296522222222222</x:v>
      </x:c>
      <x:c r="S275" s="45"/>
      <x:c r="T275" s="45"/>
      <x:c r="U275" s="51" t="d">
        <x:v>2026-09-30T00:00:00.000Z</x:v>
      </x:c>
      <x:c r="V275" s="51" t="d">
        <x:v>2026-09-30T00:00:00.000Z</x:v>
      </x:c>
      <x:c r="W275" s="109" t="n">
        <x:v>9</x:v>
      </x:c>
      <x:c r="X275" s="109" t="n">
        <x:v>9</x:v>
      </x:c>
      <x:c r="Y275" s="45" t="str">
        <x:v>sbx-mex/Perfil_Tienda_DM</x:v>
      </x:c>
      <x:c r="Z275" s="45" t="str">
        <x:v>2a6b0d21379739482f0b4c7be9b0f9a022e15f5b</x:v>
      </x:c>
      <x:c r="AA275" s="45" t="str">
        <x:v>8456a41c5e02d454e70a2531577ffb2e29f73e57e44a7762de681d568aa4227a</x:v>
      </x:c>
    </x:row>
    <x:row r="276" ht="23" customHeight="1">
      <x:c r="A276" s="50" t="str">
        <x:v>38717</x:v>
      </x:c>
      <x:c r="B276" s="51" t="d">
        <x:v>2026-09-30T00:00:00.000Z</x:v>
      </x:c>
      <x:c r="C276" s="99" t="n">
        <x:v>0.223602</x:v>
      </x:c>
      <x:c r="D276" s="100" t="n">
        <x:v>7.821738333333333</x:v>
      </x:c>
      <x:c r="E276" s="100" t="n">
        <x:v>15.216871999999999</x:v>
      </x:c>
      <x:c r="F276" s="99" t="n">
        <x:v>0.14785355555555554</x:v>
      </x:c>
      <x:c r="G276" s="99" t="n">
        <x:v>-0.01220288888888889</x:v>
      </x:c>
      <x:c r="H276" s="101" t="n">
        <x:v>29909408</x:v>
      </x:c>
      <x:c r="I276" s="99" t="n">
        <x:v>0.14337962870327092</x:v>
      </x:c>
      <x:c r="J276" s="100" t="n">
        <x:v>40.77777777777778</x:v>
      </x:c>
      <x:c r="K276" s="100"/>
      <x:c r="L276" s="99" t="n">
        <x:v>0.4368888888888889</x:v>
      </x:c>
      <x:c r="M276" s="99" t="n">
        <x:v>0.5922222222222222</x:v>
      </x:c>
      <x:c r="N276" s="99"/>
      <x:c r="O276" s="99" t="n">
        <x:v>0.33471633333333334</x:v>
      </x:c>
      <x:c r="P276" s="99" t="n">
        <x:v>-0.013046444444444435</x:v>
      </x:c>
      <x:c r="Q276" s="99" t="n">
        <x:v>0.2512168888888889</x:v>
      </x:c>
      <x:c r="R276" s="99" t="n">
        <x:v>-0.030898888888888896</x:v>
      </x:c>
      <x:c r="S276" s="45" t="str">
        <x:v>01:19</x:v>
      </x:c>
      <x:c r="T276" s="45" t="str">
        <x:v>01:19</x:v>
      </x:c>
      <x:c r="U276" s="51" t="d">
        <x:v>2026-09-30T00:00:00.000Z</x:v>
      </x:c>
      <x:c r="V276" s="51" t="d">
        <x:v>2026-09-30T00:00:00.000Z</x:v>
      </x:c>
      <x:c r="W276" s="109" t="n">
        <x:v>9</x:v>
      </x:c>
      <x:c r="X276" s="109" t="n">
        <x:v>9</x:v>
      </x:c>
      <x:c r="Y276" s="45" t="str">
        <x:v>sbx-mex/Perfil_Tienda_DM</x:v>
      </x:c>
      <x:c r="Z276" s="45" t="str">
        <x:v>2a6b0d21379739482f0b4c7be9b0f9a022e15f5b</x:v>
      </x:c>
      <x:c r="AA276" s="45" t="str">
        <x:v>8456a41c5e02d454e70a2531577ffb2e29f73e57e44a7762de681d568aa4227a</x:v>
      </x:c>
    </x:row>
    <x:row r="277" ht="23" customHeight="1">
      <x:c r="A277" s="50" t="str">
        <x:v>38720</x:v>
      </x:c>
      <x:c r="B277" s="51" t="d">
        <x:v>2026-09-30T00:00:00.000Z</x:v>
      </x:c>
      <x:c r="C277" s="99" t="n">
        <x:v>0.324324</x:v>
      </x:c>
      <x:c r="D277" s="100" t="n">
        <x:v>8.456592444444444</x:v>
      </x:c>
      <x:c r="E277" s="100" t="n">
        <x:v>12.680798333333334</x:v>
      </x:c>
      <x:c r="F277" s="99" t="n">
        <x:v>0.17653944444444444</x:v>
      </x:c>
      <x:c r="G277" s="99" t="n">
        <x:v>0.00900277777777778</x:v>
      </x:c>
      <x:c r="H277" s="101" t="n">
        <x:v>16347367</x:v>
      </x:c>
      <x:c r="I277" s="99" t="n">
        <x:v>-0.05903377651223907</x:v>
      </x:c>
      <x:c r="J277" s="100" t="n">
        <x:v>-79.44444444444444</x:v>
      </x:c>
      <x:c r="K277" s="100"/>
      <x:c r="L277" s="99" t="n">
        <x:v>0.5496666666666666</x:v>
      </x:c>
      <x:c r="M277" s="99" t="n">
        <x:v>0.6677777777777778</x:v>
      </x:c>
      <x:c r="N277" s="99"/>
      <x:c r="O277" s="99" t="n">
        <x:v>0.3155798888888889</x:v>
      </x:c>
      <x:c r="P277" s="99" t="n">
        <x:v>-0.028277888888888898</x:v>
      </x:c>
      <x:c r="Q277" s="99" t="n">
        <x:v>0.26129877777777777</x:v>
      </x:c>
      <x:c r="R277" s="99" t="n">
        <x:v>0.010959555555555556</x:v>
      </x:c>
      <x:c r="S277" s="45"/>
      <x:c r="T277" s="45"/>
      <x:c r="U277" s="51" t="d">
        <x:v>2026-09-30T00:00:00.000Z</x:v>
      </x:c>
      <x:c r="V277" s="51" t="d">
        <x:v>2026-09-30T00:00:00.000Z</x:v>
      </x:c>
      <x:c r="W277" s="109" t="n">
        <x:v>9</x:v>
      </x:c>
      <x:c r="X277" s="109" t="n">
        <x:v>9</x:v>
      </x:c>
      <x:c r="Y277" s="45" t="str">
        <x:v>sbx-mex/Perfil_Tienda_DM</x:v>
      </x:c>
      <x:c r="Z277" s="45" t="str">
        <x:v>2a6b0d21379739482f0b4c7be9b0f9a022e15f5b</x:v>
      </x:c>
      <x:c r="AA277" s="45" t="str">
        <x:v>8456a41c5e02d454e70a2531577ffb2e29f73e57e44a7762de681d568aa4227a</x:v>
      </x:c>
    </x:row>
    <x:row r="278" ht="23" customHeight="1">
      <x:c r="A278" s="50" t="str">
        <x:v>38722</x:v>
      </x:c>
      <x:c r="B278" s="51" t="d">
        <x:v>2026-09-30T00:00:00.000Z</x:v>
      </x:c>
      <x:c r="C278" s="99" t="n">
        <x:v>0.431138</x:v>
      </x:c>
      <x:c r="D278" s="100" t="n">
        <x:v>5.446338</x:v>
      </x:c>
      <x:c r="E278" s="100" t="n">
        <x:v>10.743904555555556</x:v>
      </x:c>
      <x:c r="F278" s="99" t="n">
        <x:v>0.2728332222222222</x:v>
      </x:c>
      <x:c r="G278" s="99" t="n">
        <x:v>0.07748566666666666</x:v>
      </x:c>
      <x:c r="H278" s="101" t="n">
        <x:v>9392271</x:v>
      </x:c>
      <x:c r="I278" s="99" t="n">
        <x:v>-0.17967422461718574</x:v>
      </x:c>
      <x:c r="J278" s="100" t="n">
        <x:v>-34.888888888888886</x:v>
      </x:c>
      <x:c r="K278" s="100"/>
      <x:c r="L278" s="99" t="n">
        <x:v>0.502</x:v>
      </x:c>
      <x:c r="M278" s="99" t="n">
        <x:v>0.6433333333333333</x:v>
      </x:c>
      <x:c r="N278" s="99"/>
      <x:c r="O278" s="99" t="n">
        <x:v>0.3826198888888889</x:v>
      </x:c>
      <x:c r="P278" s="99" t="n">
        <x:v>-0.03100266666666667</x:v>
      </x:c>
      <x:c r="Q278" s="99" t="n">
        <x:v>0.04952211111111112</x:v>
      </x:c>
      <x:c r="R278" s="99" t="n">
        <x:v>-0.047029555555555554</x:v>
      </x:c>
      <x:c r="S278" s="45"/>
      <x:c r="T278" s="45"/>
      <x:c r="U278" s="51" t="d">
        <x:v>2026-09-30T00:00:00.000Z</x:v>
      </x:c>
      <x:c r="V278" s="51" t="d">
        <x:v>2026-09-30T00:00:00.000Z</x:v>
      </x:c>
      <x:c r="W278" s="109" t="n">
        <x:v>9</x:v>
      </x:c>
      <x:c r="X278" s="109" t="n">
        <x:v>9</x:v>
      </x:c>
      <x:c r="Y278" s="45" t="str">
        <x:v>sbx-mex/Perfil_Tienda_DM</x:v>
      </x:c>
      <x:c r="Z278" s="45" t="str">
        <x:v>2a6b0d21379739482f0b4c7be9b0f9a022e15f5b</x:v>
      </x:c>
      <x:c r="AA278" s="45" t="str">
        <x:v>8456a41c5e02d454e70a2531577ffb2e29f73e57e44a7762de681d568aa4227a</x:v>
      </x:c>
    </x:row>
    <x:row r="279" ht="23" customHeight="1">
      <x:c r="A279" s="50" t="str">
        <x:v>38727</x:v>
      </x:c>
      <x:c r="B279" s="51" t="d">
        <x:v>2026-09-30T00:00:00.000Z</x:v>
      </x:c>
      <x:c r="C279" s="99" t="n">
        <x:v>0.186047</x:v>
      </x:c>
      <x:c r="D279" s="100" t="n">
        <x:v>6.057262</x:v>
      </x:c>
      <x:c r="E279" s="100" t="n">
        <x:v>11.691508444444445</x:v>
      </x:c>
      <x:c r="F279" s="99" t="n">
        <x:v>0.19648244444444446</x:v>
      </x:c>
      <x:c r="G279" s="99" t="n">
        <x:v>0.022343777777777782</x:v>
      </x:c>
      <x:c r="H279" s="101" t="n">
        <x:v>10148121</x:v>
      </x:c>
      <x:c r="I279" s="99" t="n">
        <x:v>-0.16081837035530078</x:v>
      </x:c>
      <x:c r="J279" s="100" t="n">
        <x:v>-12</x:v>
      </x:c>
      <x:c r="K279" s="100"/>
      <x:c r="L279" s="99" t="n">
        <x:v>0.6322222222222221</x:v>
      </x:c>
      <x:c r="M279" s="99" t="n">
        <x:v>0.6877777777777777</x:v>
      </x:c>
      <x:c r="N279" s="99"/>
      <x:c r="O279" s="99" t="n">
        <x:v>0.33504255555555557</x:v>
      </x:c>
      <x:c r="P279" s="99" t="n">
        <x:v>-0.016792444444444443</x:v>
      </x:c>
      <x:c r="Q279" s="99" t="n">
        <x:v>0.1471802222222222</x:v>
      </x:c>
      <x:c r="R279" s="99" t="n">
        <x:v>-0.03571777777777777</x:v>
      </x:c>
      <x:c r="S279" s="45"/>
      <x:c r="T279" s="45"/>
      <x:c r="U279" s="51" t="d">
        <x:v>2026-09-30T00:00:00.000Z</x:v>
      </x:c>
      <x:c r="V279" s="51" t="d">
        <x:v>2026-09-30T00:00:00.000Z</x:v>
      </x:c>
      <x:c r="W279" s="109" t="n">
        <x:v>9</x:v>
      </x:c>
      <x:c r="X279" s="109" t="n">
        <x:v>9</x:v>
      </x:c>
      <x:c r="Y279" s="45" t="str">
        <x:v>sbx-mex/Perfil_Tienda_DM</x:v>
      </x:c>
      <x:c r="Z279" s="45" t="str">
        <x:v>2a6b0d21379739482f0b4c7be9b0f9a022e15f5b</x:v>
      </x:c>
      <x:c r="AA279" s="45" t="str">
        <x:v>8456a41c5e02d454e70a2531577ffb2e29f73e57e44a7762de681d568aa4227a</x:v>
      </x:c>
    </x:row>
    <x:row r="280" ht="23" customHeight="1">
      <x:c r="A280" s="50" t="str">
        <x:v>38773</x:v>
      </x:c>
      <x:c r="B280" s="51" t="d">
        <x:v>2026-09-30T00:00:00.000Z</x:v>
      </x:c>
      <x:c r="C280" s="99" t="n">
        <x:v>0.285714</x:v>
      </x:c>
      <x:c r="D280" s="100" t="n">
        <x:v>6.51472575</x:v>
      </x:c>
      <x:c r="E280" s="100" t="n">
        <x:v>12.35888675</x:v>
      </x:c>
      <x:c r="F280" s="99" t="n">
        <x:v>0.48869944444444446</x:v>
      </x:c>
      <x:c r="G280" s="99" t="n">
        <x:v>0.2259473333333333</x:v>
      </x:c>
      <x:c r="H280" s="101" t="n">
        <x:v>4957150</x:v>
      </x:c>
      <x:c r="I280" s="99" t="n">
        <x:v>-0.20469524478171686</x:v>
      </x:c>
      <x:c r="J280" s="100" t="n">
        <x:v>-46.22222222222222</x:v>
      </x:c>
      <x:c r="K280" s="100"/>
      <x:c r="L280" s="99" t="n">
        <x:v>0.633</x:v>
      </x:c>
      <x:c r="M280" s="99" t="n">
        <x:v>0.83125</x:v>
      </x:c>
      <x:c r="N280" s="99"/>
      <x:c r="O280" s="99" t="n">
        <x:v>0.3805705555555556</x:v>
      </x:c>
      <x:c r="P280" s="99" t="n">
        <x:v>0.012450333333333341</x:v>
      </x:c>
      <x:c r="Q280" s="99" t="n">
        <x:v>-0.5019006666666667</x:v>
      </x:c>
      <x:c r="R280" s="99" t="n">
        <x:v>-0.5818628888888889</x:v>
      </x:c>
      <x:c r="S280" s="45"/>
      <x:c r="T280" s="45"/>
      <x:c r="U280" s="51" t="d">
        <x:v>2026-09-30T00:00:00.000Z</x:v>
      </x:c>
      <x:c r="V280" s="51" t="d">
        <x:v>2026-09-30T00:00:00.000Z</x:v>
      </x:c>
      <x:c r="W280" s="109" t="n">
        <x:v>9</x:v>
      </x:c>
      <x:c r="X280" s="109" t="n">
        <x:v>9</x:v>
      </x:c>
      <x:c r="Y280" s="45" t="str">
        <x:v>sbx-mex/Perfil_Tienda_DM</x:v>
      </x:c>
      <x:c r="Z280" s="45" t="str">
        <x:v>2a6b0d21379739482f0b4c7be9b0f9a022e15f5b</x:v>
      </x:c>
      <x:c r="AA280" s="45" t="str">
        <x:v>8456a41c5e02d454e70a2531577ffb2e29f73e57e44a7762de681d568aa4227a</x:v>
      </x:c>
    </x:row>
    <x:row r="281" ht="23" customHeight="1">
      <x:c r="A281" s="50" t="str">
        <x:v>43041</x:v>
      </x:c>
      <x:c r="B281" s="51" t="d">
        <x:v>2026-09-30T00:00:00.000Z</x:v>
      </x:c>
      <x:c r="C281" s="99" t="n">
        <x:v>0.424779</x:v>
      </x:c>
      <x:c r="D281" s="100" t="n">
        <x:v>5.213968444444444</x:v>
      </x:c>
      <x:c r="E281" s="100" t="n">
        <x:v>12.622312</x:v>
      </x:c>
      <x:c r="F281" s="99" t="n">
        <x:v>0.19131755555555557</x:v>
      </x:c>
      <x:c r="G281" s="99" t="n">
        <x:v>-0.08007199999999999</x:v>
      </x:c>
      <x:c r="H281" s="101" t="n">
        <x:v>9161390</x:v>
      </x:c>
      <x:c r="I281" s="99" t="n">
        <x:v>0.3758578674045818</x:v>
      </x:c>
      <x:c r="J281" s="100" t="n">
        <x:v>27.444444444444443</x:v>
      </x:c>
      <x:c r="K281" s="100"/>
      <x:c r="L281" s="99" t="n">
        <x:v>0.5541111111111111</x:v>
      </x:c>
      <x:c r="M281" s="99" t="n">
        <x:v>0.7611111111111111</x:v>
      </x:c>
      <x:c r="N281" s="99"/>
      <x:c r="O281" s="99" t="n">
        <x:v>0.37973033333333334</x:v>
      </x:c>
      <x:c r="P281" s="99" t="n">
        <x:v>0.05188755555555555</x:v>
      </x:c>
      <x:c r="Q281" s="99" t="n">
        <x:v>0.14912555555555557</x:v>
      </x:c>
      <x:c r="R281" s="99" t="n">
        <x:v>0.303376</x:v>
      </x:c>
      <x:c r="S281" s="45"/>
      <x:c r="T281" s="45"/>
      <x:c r="U281" s="51" t="d">
        <x:v>2026-09-30T00:00:00.000Z</x:v>
      </x:c>
      <x:c r="V281" s="51" t="d">
        <x:v>2026-09-30T00:00:00.000Z</x:v>
      </x:c>
      <x:c r="W281" s="109" t="n">
        <x:v>9</x:v>
      </x:c>
      <x:c r="X281" s="109" t="n">
        <x:v>9</x:v>
      </x:c>
      <x:c r="Y281" s="45" t="str">
        <x:v>sbx-mex/Perfil_Tienda_DM</x:v>
      </x:c>
      <x:c r="Z281" s="45" t="str">
        <x:v>2a6b0d21379739482f0b4c7be9b0f9a022e15f5b</x:v>
      </x:c>
      <x:c r="AA281" s="45" t="str">
        <x:v>8456a41c5e02d454e70a2531577ffb2e29f73e57e44a7762de681d568aa4227a</x:v>
      </x:c>
    </x:row>
    <x:row r="282" ht="23" customHeight="1">
      <x:c r="A282" s="50" t="str">
        <x:v>38135</x:v>
      </x:c>
      <x:c r="B282" s="51"/>
      <x:c r="C282" s="99"/>
      <x:c r="D282" s="100"/>
      <x:c r="E282" s="100"/>
      <x:c r="F282" s="99"/>
      <x:c r="G282" s="99"/>
      <x:c r="H282" s="101"/>
      <x:c r="I282" s="99"/>
      <x:c r="J282" s="100"/>
      <x:c r="K282" s="100"/>
      <x:c r="L282" s="99"/>
      <x:c r="M282" s="99"/>
      <x:c r="N282" s="99"/>
      <x:c r="O282" s="99"/>
      <x:c r="P282" s="99"/>
      <x:c r="Q282" s="99"/>
      <x:c r="R282" s="99"/>
      <x:c r="S282" s="45"/>
      <x:c r="T282" s="45"/>
      <x:c r="U282" s="51"/>
      <x:c r="V282" s="51"/>
      <x:c r="W282" s="109" t="n">
        <x:v>0</x:v>
      </x:c>
      <x:c r="X282" s="109" t="n">
        <x:v>0</x:v>
      </x:c>
      <x:c r="Y282" s="45"/>
      <x:c r="Z282" s="45"/>
      <x:c r="AA282" s="45"/>
    </x:row>
    <x:row r="283" ht="23" customHeight="1">
      <x:c r="A283" s="50" t="str">
        <x:v>38455</x:v>
      </x:c>
      <x:c r="B283" s="51"/>
      <x:c r="C283" s="99"/>
      <x:c r="D283" s="100"/>
      <x:c r="E283" s="100"/>
      <x:c r="F283" s="99"/>
      <x:c r="G283" s="99"/>
      <x:c r="H283" s="101"/>
      <x:c r="I283" s="99"/>
      <x:c r="J283" s="100"/>
      <x:c r="K283" s="100"/>
      <x:c r="L283" s="99"/>
      <x:c r="M283" s="99"/>
      <x:c r="N283" s="99"/>
      <x:c r="O283" s="99"/>
      <x:c r="P283" s="99"/>
      <x:c r="Q283" s="99"/>
      <x:c r="R283" s="99"/>
      <x:c r="S283" s="45"/>
      <x:c r="T283" s="45"/>
      <x:c r="U283" s="51"/>
      <x:c r="V283" s="51"/>
      <x:c r="W283" s="109" t="n">
        <x:v>0</x:v>
      </x:c>
      <x:c r="X283" s="109" t="n">
        <x:v>0</x:v>
      </x:c>
      <x:c r="Y283" s="45"/>
      <x:c r="Z283" s="45"/>
      <x:c r="AA283" s="45"/>
    </x:row>
    <x:row r="284" ht="23" customHeight="1">
      <x:c r="A284" s="50" t="str">
        <x:v>38493</x:v>
      </x:c>
      <x:c r="B284" s="51"/>
      <x:c r="C284" s="99"/>
      <x:c r="D284" s="100"/>
      <x:c r="E284" s="100"/>
      <x:c r="F284" s="99"/>
      <x:c r="G284" s="99"/>
      <x:c r="H284" s="101"/>
      <x:c r="I284" s="99"/>
      <x:c r="J284" s="100"/>
      <x:c r="K284" s="100"/>
      <x:c r="L284" s="99"/>
      <x:c r="M284" s="99"/>
      <x:c r="N284" s="99"/>
      <x:c r="O284" s="99"/>
      <x:c r="P284" s="99"/>
      <x:c r="Q284" s="99"/>
      <x:c r="R284" s="99"/>
      <x:c r="S284" s="45"/>
      <x:c r="T284" s="45"/>
      <x:c r="U284" s="51"/>
      <x:c r="V284" s="51"/>
      <x:c r="W284" s="109" t="n">
        <x:v>0</x:v>
      </x:c>
      <x:c r="X284" s="109" t="n">
        <x:v>0</x:v>
      </x:c>
      <x:c r="Y284" s="45"/>
      <x:c r="Z284" s="45"/>
      <x:c r="AA284" s="45"/>
    </x:row>
    <x:row r="285" ht="23" customHeight="1">
      <x:c r="A285" s="50" t="str">
        <x:v>38528</x:v>
      </x:c>
      <x:c r="B285" s="51"/>
      <x:c r="C285" s="99"/>
      <x:c r="D285" s="100"/>
      <x:c r="E285" s="100"/>
      <x:c r="F285" s="99"/>
      <x:c r="G285" s="99"/>
      <x:c r="H285" s="101"/>
      <x:c r="I285" s="99"/>
      <x:c r="J285" s="100"/>
      <x:c r="K285" s="100"/>
      <x:c r="L285" s="99"/>
      <x:c r="M285" s="99"/>
      <x:c r="N285" s="99"/>
      <x:c r="O285" s="99"/>
      <x:c r="P285" s="99"/>
      <x:c r="Q285" s="99"/>
      <x:c r="R285" s="99"/>
      <x:c r="S285" s="45"/>
      <x:c r="T285" s="45"/>
      <x:c r="U285" s="51"/>
      <x:c r="V285" s="51"/>
      <x:c r="W285" s="109" t="n">
        <x:v>0</x:v>
      </x:c>
      <x:c r="X285" s="109" t="n">
        <x:v>0</x:v>
      </x:c>
      <x:c r="Y285" s="45"/>
      <x:c r="Z285" s="45"/>
      <x:c r="AA285" s="45"/>
    </x:row>
    <x:row r="286" ht="23" customHeight="1">
      <x:c r="A286" s="50" t="str">
        <x:v>38772</x:v>
      </x:c>
      <x:c r="B286" s="51"/>
      <x:c r="C286" s="99"/>
      <x:c r="D286" s="100"/>
      <x:c r="E286" s="100"/>
      <x:c r="F286" s="99"/>
      <x:c r="G286" s="99"/>
      <x:c r="H286" s="101"/>
      <x:c r="I286" s="99"/>
      <x:c r="J286" s="100"/>
      <x:c r="K286" s="100"/>
      <x:c r="L286" s="99"/>
      <x:c r="M286" s="99"/>
      <x:c r="N286" s="99"/>
      <x:c r="O286" s="99"/>
      <x:c r="P286" s="99"/>
      <x:c r="Q286" s="99"/>
      <x:c r="R286" s="99"/>
      <x:c r="S286" s="45"/>
      <x:c r="T286" s="45"/>
      <x:c r="U286" s="51"/>
      <x:c r="V286" s="51"/>
      <x:c r="W286" s="109" t="n">
        <x:v>0</x:v>
      </x:c>
      <x:c r="X286" s="109" t="n">
        <x:v>0</x:v>
      </x:c>
      <x:c r="Y286" s="45"/>
      <x:c r="Z286" s="45"/>
      <x:c r="AA286" s="45"/>
    </x:row>
    <x:row r="287" ht="23" customHeight="1">
      <x:c r="A287" s="50" t="str">
        <x:v>38914</x:v>
      </x:c>
      <x:c r="B287" s="51"/>
      <x:c r="C287" s="99"/>
      <x:c r="D287" s="100"/>
      <x:c r="E287" s="100"/>
      <x:c r="F287" s="99"/>
      <x:c r="G287" s="99"/>
      <x:c r="H287" s="101"/>
      <x:c r="I287" s="99"/>
      <x:c r="J287" s="100"/>
      <x:c r="K287" s="100"/>
      <x:c r="L287" s="99"/>
      <x:c r="M287" s="99"/>
      <x:c r="N287" s="99"/>
      <x:c r="O287" s="99"/>
      <x:c r="P287" s="99"/>
      <x:c r="Q287" s="99"/>
      <x:c r="R287" s="99"/>
      <x:c r="S287" s="45"/>
      <x:c r="T287" s="45"/>
      <x:c r="U287" s="51"/>
      <x:c r="V287" s="51"/>
      <x:c r="W287" s="109" t="n">
        <x:v>0</x:v>
      </x:c>
      <x:c r="X287" s="109" t="n">
        <x:v>0</x:v>
      </x:c>
      <x:c r="Y287" s="45"/>
      <x:c r="Z287" s="45"/>
      <x:c r="AA287" s="45"/>
    </x:row>
    <x:row r="288" ht="23" customHeight="1">
      <x:c r="A288" s="50" t="str">
        <x:v>38108</x:v>
      </x:c>
      <x:c r="B288" s="51" t="d">
        <x:v>2026-09-30T00:00:00.000Z</x:v>
      </x:c>
      <x:c r="C288" s="99" t="n">
        <x:v>0.184615</x:v>
      </x:c>
      <x:c r="D288" s="100" t="n">
        <x:v>5.536809444444445</x:v>
      </x:c>
      <x:c r="E288" s="100" t="n">
        <x:v>10.954329111111111</x:v>
      </x:c>
      <x:c r="F288" s="99" t="n">
        <x:v>0.2009922222222222</x:v>
      </x:c>
      <x:c r="G288" s="99" t="n">
        <x:v>0.030918800000000003</x:v>
      </x:c>
      <x:c r="H288" s="101" t="n">
        <x:v>9317277</x:v>
      </x:c>
      <x:c r="I288" s="99" t="n">
        <x:v>0.06960710853112828</x:v>
      </x:c>
      <x:c r="J288" s="100" t="n">
        <x:v>-6.333333333333333</x:v>
      </x:c>
      <x:c r="K288" s="100"/>
      <x:c r="L288" s="99" t="n">
        <x:v>0.6284444444444444</x:v>
      </x:c>
      <x:c r="M288" s="99" t="n">
        <x:v>0.6688888888888889</x:v>
      </x:c>
      <x:c r="N288" s="99"/>
      <x:c r="O288" s="99" t="n">
        <x:v>0.38832466666666665</x:v>
      </x:c>
      <x:c r="P288" s="99" t="n">
        <x:v>0.025130400000000008</x:v>
      </x:c>
      <x:c r="Q288" s="99" t="n">
        <x:v>0.010960222222222224</x:v>
      </x:c>
      <x:c r="R288" s="99" t="n">
        <x:v>0.13757099999999997</x:v>
      </x:c>
      <x:c r="S288" s="45"/>
      <x:c r="T288" s="45"/>
      <x:c r="U288" s="51" t="d">
        <x:v>2026-09-30T00:00:00.000Z</x:v>
      </x:c>
      <x:c r="V288" s="51" t="d">
        <x:v>2026-09-30T00:00:00.000Z</x:v>
      </x:c>
      <x:c r="W288" s="109" t="n">
        <x:v>9</x:v>
      </x:c>
      <x:c r="X288" s="109" t="n">
        <x:v>9</x:v>
      </x:c>
      <x:c r="Y288" s="45" t="str">
        <x:v>sbx-mex/Perfil_Tienda_DM</x:v>
      </x:c>
      <x:c r="Z288" s="45" t="str">
        <x:v>2a6b0d21379739482f0b4c7be9b0f9a022e15f5b</x:v>
      </x:c>
      <x:c r="AA288" s="45" t="str">
        <x:v>8456a41c5e02d454e70a2531577ffb2e29f73e57e44a7762de681d568aa4227a</x:v>
      </x:c>
    </x:row>
    <x:row r="289" ht="23" customHeight="1">
      <x:c r="A289" s="50" t="str">
        <x:v>38110</x:v>
      </x:c>
      <x:c r="B289" s="51" t="d">
        <x:v>2026-09-30T00:00:00.000Z</x:v>
      </x:c>
      <x:c r="C289" s="99" t="n">
        <x:v>0.282353</x:v>
      </x:c>
      <x:c r="D289" s="100" t="n">
        <x:v>7.556578111111111</x:v>
      </x:c>
      <x:c r="E289" s="100" t="n">
        <x:v>13.976577333333333</x:v>
      </x:c>
      <x:c r="F289" s="99" t="n">
        <x:v>0.16042166666666666</x:v>
      </x:c>
      <x:c r="G289" s="99" t="n">
        <x:v>-0.027972222222222225</x:v>
      </x:c>
      <x:c r="H289" s="101" t="n">
        <x:v>13916719</x:v>
      </x:c>
      <x:c r="I289" s="99" t="n">
        <x:v>0.04564499200541805</x:v>
      </x:c>
      <x:c r="J289" s="100" t="n">
        <x:v>-28.22222222222222</x:v>
      </x:c>
      <x:c r="K289" s="100"/>
      <x:c r="L289" s="99" t="n">
        <x:v>0.5218888888888888</x:v>
      </x:c>
      <x:c r="M289" s="99" t="n">
        <x:v>0.6077777777777778</x:v>
      </x:c>
      <x:c r="N289" s="99"/>
      <x:c r="O289" s="99" t="n">
        <x:v>0.3714057777777778</x:v>
      </x:c>
      <x:c r="P289" s="99" t="n">
        <x:v>0.005006777777777786</x:v>
      </x:c>
      <x:c r="Q289" s="99" t="n">
        <x:v>0.2137128888888889</x:v>
      </x:c>
      <x:c r="R289" s="99" t="n">
        <x:v>0.04140944444444445</x:v>
      </x:c>
      <x:c r="S289" s="45"/>
      <x:c r="T289" s="45"/>
      <x:c r="U289" s="51" t="d">
        <x:v>2026-09-30T00:00:00.000Z</x:v>
      </x:c>
      <x:c r="V289" s="51" t="d">
        <x:v>2026-09-30T00:00:00.000Z</x:v>
      </x:c>
      <x:c r="W289" s="109" t="n">
        <x:v>9</x:v>
      </x:c>
      <x:c r="X289" s="109" t="n">
        <x:v>9</x:v>
      </x:c>
      <x:c r="Y289" s="45" t="str">
        <x:v>sbx-mex/Perfil_Tienda_DM</x:v>
      </x:c>
      <x:c r="Z289" s="45" t="str">
        <x:v>2a6b0d21379739482f0b4c7be9b0f9a022e15f5b</x:v>
      </x:c>
      <x:c r="AA289" s="45" t="str">
        <x:v>8456a41c5e02d454e70a2531577ffb2e29f73e57e44a7762de681d568aa4227a</x:v>
      </x:c>
    </x:row>
    <x:row r="290" ht="23" customHeight="1">
      <x:c r="A290" s="50" t="str">
        <x:v>38128</x:v>
      </x:c>
      <x:c r="B290" s="51" t="d">
        <x:v>2026-09-30T00:00:00.000Z</x:v>
      </x:c>
      <x:c r="C290" s="99" t="n">
        <x:v>0.082192</x:v>
      </x:c>
      <x:c r="D290" s="100" t="n">
        <x:v>5.39699975</x:v>
      </x:c>
      <x:c r="E290" s="100" t="n">
        <x:v>10.646029</x:v>
      </x:c>
      <x:c r="F290" s="99" t="n">
        <x:v>0.39467288888888885</x:v>
      </x:c>
      <x:c r="G290" s="99" t="n">
        <x:v>0.21455255555555552</x:v>
      </x:c>
      <x:c r="H290" s="101" t="n">
        <x:v>9005615</x:v>
      </x:c>
      <x:c r="I290" s="99" t="n">
        <x:v>-0.07335642585850954</x:v>
      </x:c>
      <x:c r="J290" s="100" t="n">
        <x:v>-12</x:v>
      </x:c>
      <x:c r="K290" s="100"/>
      <x:c r="L290" s="99" t="n">
        <x:v>0.5746666666666667</x:v>
      </x:c>
      <x:c r="M290" s="99" t="n">
        <x:v>0.6677777777777778</x:v>
      </x:c>
      <x:c r="N290" s="99"/>
      <x:c r="O290" s="99" t="n">
        <x:v>0.4172446666666667</x:v>
      </x:c>
      <x:c r="P290" s="99" t="n">
        <x:v>0.05985288888888888</x:v>
      </x:c>
      <x:c r="Q290" s="99" t="n">
        <x:v>-0.3429407777777778</x:v>
      </x:c>
      <x:c r="R290" s="99" t="n">
        <x:v>-0.5024723333333333</x:v>
      </x:c>
      <x:c r="S290" s="45"/>
      <x:c r="T290" s="45"/>
      <x:c r="U290" s="51" t="d">
        <x:v>2026-09-30T00:00:00.000Z</x:v>
      </x:c>
      <x:c r="V290" s="51" t="d">
        <x:v>2026-09-30T00:00:00.000Z</x:v>
      </x:c>
      <x:c r="W290" s="109" t="n">
        <x:v>9</x:v>
      </x:c>
      <x:c r="X290" s="109" t="n">
        <x:v>9</x:v>
      </x:c>
      <x:c r="Y290" s="45" t="str">
        <x:v>sbx-mex/Perfil_Tienda_DM</x:v>
      </x:c>
      <x:c r="Z290" s="45" t="str">
        <x:v>2a6b0d21379739482f0b4c7be9b0f9a022e15f5b</x:v>
      </x:c>
      <x:c r="AA290" s="45" t="str">
        <x:v>8456a41c5e02d454e70a2531577ffb2e29f73e57e44a7762de681d568aa4227a</x:v>
      </x:c>
    </x:row>
    <x:row r="291" ht="23" customHeight="1">
      <x:c r="A291" s="50" t="str">
        <x:v>38187</x:v>
      </x:c>
      <x:c r="B291" s="51" t="d">
        <x:v>2026-09-30T00:00:00.000Z</x:v>
      </x:c>
      <x:c r="C291" s="99" t="n">
        <x:v>0.571429</x:v>
      </x:c>
      <x:c r="D291" s="100" t="n">
        <x:v>6.607680444444444</x:v>
      </x:c>
      <x:c r="E291" s="100" t="n">
        <x:v>13.58678588888889</x:v>
      </x:c>
      <x:c r="F291" s="99" t="n">
        <x:v>0.1729698888888889</x:v>
      </x:c>
      <x:c r="G291" s="99" t="n">
        <x:v>0.02111444444444445</x:v>
      </x:c>
      <x:c r="H291" s="101" t="n">
        <x:v>22176826</x:v>
      </x:c>
      <x:c r="I291" s="99" t="n">
        <x:v>-0.1860511660392088</x:v>
      </x:c>
      <x:c r="J291" s="100" t="n">
        <x:v>-76.66666666666667</x:v>
      </x:c>
      <x:c r="K291" s="100"/>
      <x:c r="L291" s="99" t="n">
        <x:v>0.453</x:v>
      </x:c>
      <x:c r="M291" s="99" t="n">
        <x:v>0.5311111111111111</x:v>
      </x:c>
      <x:c r="N291" s="99"/>
      <x:c r="O291" s="99" t="n">
        <x:v>0.36409077777777776</x:v>
      </x:c>
      <x:c r="P291" s="99" t="n">
        <x:v>0.028375999999999995</x:v>
      </x:c>
      <x:c r="Q291" s="99" t="n">
        <x:v>0.15137144444444445</x:v>
      </x:c>
      <x:c r="R291" s="99" t="n">
        <x:v>-0.09336033333333332</x:v>
      </x:c>
      <x:c r="S291" s="45" t="str">
        <x:v>01:28</x:v>
      </x:c>
      <x:c r="T291" s="45" t="str">
        <x:v>01:26</x:v>
      </x:c>
      <x:c r="U291" s="51" t="d">
        <x:v>2026-09-30T00:00:00.000Z</x:v>
      </x:c>
      <x:c r="V291" s="51" t="d">
        <x:v>2026-09-30T00:00:00.000Z</x:v>
      </x:c>
      <x:c r="W291" s="109" t="n">
        <x:v>9</x:v>
      </x:c>
      <x:c r="X291" s="109" t="n">
        <x:v>9</x:v>
      </x:c>
      <x:c r="Y291" s="45" t="str">
        <x:v>sbx-mex/Perfil_Tienda_DM</x:v>
      </x:c>
      <x:c r="Z291" s="45" t="str">
        <x:v>2a6b0d21379739482f0b4c7be9b0f9a022e15f5b</x:v>
      </x:c>
      <x:c r="AA291" s="45" t="str">
        <x:v>8456a41c5e02d454e70a2531577ffb2e29f73e57e44a7762de681d568aa4227a</x:v>
      </x:c>
    </x:row>
    <x:row r="292" ht="23" customHeight="1">
      <x:c r="A292" s="50" t="str">
        <x:v>38191</x:v>
      </x:c>
      <x:c r="B292" s="51" t="d">
        <x:v>2026-09-30T00:00:00.000Z</x:v>
      </x:c>
      <x:c r="C292" s="99" t="n">
        <x:v>0.4</x:v>
      </x:c>
      <x:c r="D292" s="100" t="n">
        <x:v>6.002451333333333</x:v>
      </x:c>
      <x:c r="E292" s="100" t="n">
        <x:v>12.739797000000001</x:v>
      </x:c>
      <x:c r="F292" s="99" t="n">
        <x:v>0.16970433333333335</x:v>
      </x:c>
      <x:c r="G292" s="99" t="n">
        <x:v>-0.015132666666666671</x:v>
      </x:c>
      <x:c r="H292" s="101" t="n">
        <x:v>19795953</x:v>
      </x:c>
      <x:c r="I292" s="99" t="n">
        <x:v>0.04354784742394724</x:v>
      </x:c>
      <x:c r="J292" s="100" t="n">
        <x:v>4.111111111111111</x:v>
      </x:c>
      <x:c r="K292" s="100"/>
      <x:c r="L292" s="99" t="n">
        <x:v>0.4547777777777778</x:v>
      </x:c>
      <x:c r="M292" s="99" t="n">
        <x:v>0.5866666666666667</x:v>
      </x:c>
      <x:c r="N292" s="99"/>
      <x:c r="O292" s="99" t="n">
        <x:v>0.38141033333333335</x:v>
      </x:c>
      <x:c r="P292" s="99" t="n">
        <x:v>0.030342555555555546</x:v>
      </x:c>
      <x:c r="Q292" s="99" t="n">
        <x:v>0.118737</x:v>
      </x:c>
      <x:c r="R292" s="99" t="n">
        <x:v>-0.0027914444444444436</x:v>
      </x:c>
      <x:c r="S292" s="45"/>
      <x:c r="T292" s="45"/>
      <x:c r="U292" s="51" t="d">
        <x:v>2026-09-30T00:00:00.000Z</x:v>
      </x:c>
      <x:c r="V292" s="51" t="d">
        <x:v>2026-09-30T00:00:00.000Z</x:v>
      </x:c>
      <x:c r="W292" s="109" t="n">
        <x:v>9</x:v>
      </x:c>
      <x:c r="X292" s="109" t="n">
        <x:v>9</x:v>
      </x:c>
      <x:c r="Y292" s="45" t="str">
        <x:v>sbx-mex/Perfil_Tienda_DM</x:v>
      </x:c>
      <x:c r="Z292" s="45" t="str">
        <x:v>2a6b0d21379739482f0b4c7be9b0f9a022e15f5b</x:v>
      </x:c>
      <x:c r="AA292" s="45" t="str">
        <x:v>8456a41c5e02d454e70a2531577ffb2e29f73e57e44a7762de681d568aa4227a</x:v>
      </x:c>
    </x:row>
    <x:row r="293" ht="23" customHeight="1">
      <x:c r="A293" s="50" t="str">
        <x:v>38220</x:v>
      </x:c>
      <x:c r="B293" s="51" t="d">
        <x:v>2026-09-30T00:00:00.000Z</x:v>
      </x:c>
      <x:c r="C293" s="99" t="n">
        <x:v>0.416185</x:v>
      </x:c>
      <x:c r="D293" s="100" t="n">
        <x:v>7.035916333333334</x:v>
      </x:c>
      <x:c r="E293" s="100" t="n">
        <x:v>14.711177888888889</x:v>
      </x:c>
      <x:c r="F293" s="99" t="n">
        <x:v>0.1731191111111111</x:v>
      </x:c>
      <x:c r="G293" s="99" t="n">
        <x:v>-0.0026136666666666717</x:v>
      </x:c>
      <x:c r="H293" s="101" t="n">
        <x:v>13931993</x:v>
      </x:c>
      <x:c r="I293" s="99" t="n">
        <x:v>-0.007547284000509524</x:v>
      </x:c>
      <x:c r="J293" s="100" t="n">
        <x:v>-1</x:v>
      </x:c>
      <x:c r="K293" s="100"/>
      <x:c r="L293" s="99" t="n">
        <x:v>0.5505555555555556</x:v>
      </x:c>
      <x:c r="M293" s="99" t="n">
        <x:v>0.6111111111111112</x:v>
      </x:c>
      <x:c r="N293" s="99"/>
      <x:c r="O293" s="99" t="n">
        <x:v>0.3860364444444444</x:v>
      </x:c>
      <x:c r="P293" s="99" t="n">
        <x:v>0.03032944444444444</x:v>
      </x:c>
      <x:c r="Q293" s="99" t="n">
        <x:v>0.08438322222222222</x:v>
      </x:c>
      <x:c r="R293" s="99" t="n">
        <x:v>-0.013688777777777777</x:v>
      </x:c>
      <x:c r="S293" s="45"/>
      <x:c r="T293" s="45"/>
      <x:c r="U293" s="51" t="d">
        <x:v>2026-09-30T00:00:00.000Z</x:v>
      </x:c>
      <x:c r="V293" s="51" t="d">
        <x:v>2026-09-30T00:00:00.000Z</x:v>
      </x:c>
      <x:c r="W293" s="109" t="n">
        <x:v>9</x:v>
      </x:c>
      <x:c r="X293" s="109" t="n">
        <x:v>9</x:v>
      </x:c>
      <x:c r="Y293" s="45" t="str">
        <x:v>sbx-mex/Perfil_Tienda_DM</x:v>
      </x:c>
      <x:c r="Z293" s="45" t="str">
        <x:v>2a6b0d21379739482f0b4c7be9b0f9a022e15f5b</x:v>
      </x:c>
      <x:c r="AA293" s="45" t="str">
        <x:v>8456a41c5e02d454e70a2531577ffb2e29f73e57e44a7762de681d568aa4227a</x:v>
      </x:c>
    </x:row>
    <x:row r="294" ht="23" customHeight="1">
      <x:c r="A294" s="50" t="str">
        <x:v>38382</x:v>
      </x:c>
      <x:c r="B294" s="51" t="d">
        <x:v>2026-09-30T00:00:00.000Z</x:v>
      </x:c>
      <x:c r="C294" s="99" t="n">
        <x:v>0.606061</x:v>
      </x:c>
      <x:c r="D294" s="100" t="n">
        <x:v>5.613942777777778</x:v>
      </x:c>
      <x:c r="E294" s="100" t="n">
        <x:v>11.468555333333335</x:v>
      </x:c>
      <x:c r="F294" s="99" t="n">
        <x:v>0.1733041111111111</x:v>
      </x:c>
      <x:c r="G294" s="99" t="n">
        <x:v>0.018378666666666665</x:v>
      </x:c>
      <x:c r="H294" s="101" t="n">
        <x:v>15339007</x:v>
      </x:c>
      <x:c r="I294" s="99" t="n">
        <x:v>-0.1484370512428318</x:v>
      </x:c>
      <x:c r="J294" s="100" t="n">
        <x:v>-40.77777777777778</x:v>
      </x:c>
      <x:c r="K294" s="100"/>
      <x:c r="L294" s="99" t="n">
        <x:v>0.40222222222222226</x:v>
      </x:c>
      <x:c r="M294" s="99" t="n">
        <x:v>0.4833333333333333</x:v>
      </x:c>
      <x:c r="N294" s="99"/>
      <x:c r="O294" s="99" t="n">
        <x:v>0.37384066666666665</x:v>
      </x:c>
      <x:c r="P294" s="99" t="n">
        <x:v>0.03917455555555556</x:v>
      </x:c>
      <x:c r="Q294" s="99" t="n">
        <x:v>0.16148577777777776</x:v>
      </x:c>
      <x:c r="R294" s="99" t="n">
        <x:v>-0.056107000000000004</x:v>
      </x:c>
      <x:c r="S294" s="45"/>
      <x:c r="T294" s="45"/>
      <x:c r="U294" s="51" t="d">
        <x:v>2026-09-30T00:00:00.000Z</x:v>
      </x:c>
      <x:c r="V294" s="51" t="d">
        <x:v>2026-09-30T00:00:00.000Z</x:v>
      </x:c>
      <x:c r="W294" s="109" t="n">
        <x:v>9</x:v>
      </x:c>
      <x:c r="X294" s="109" t="n">
        <x:v>9</x:v>
      </x:c>
      <x:c r="Y294" s="45" t="str">
        <x:v>sbx-mex/Perfil_Tienda_DM</x:v>
      </x:c>
      <x:c r="Z294" s="45" t="str">
        <x:v>2a6b0d21379739482f0b4c7be9b0f9a022e15f5b</x:v>
      </x:c>
      <x:c r="AA294" s="45" t="str">
        <x:v>8456a41c5e02d454e70a2531577ffb2e29f73e57e44a7762de681d568aa4227a</x:v>
      </x:c>
    </x:row>
    <x:row r="295" ht="23" customHeight="1">
      <x:c r="A295" s="50" t="str">
        <x:v>38415</x:v>
      </x:c>
      <x:c r="B295" s="51" t="d">
        <x:v>2026-09-30T00:00:00.000Z</x:v>
      </x:c>
      <x:c r="C295" s="99" t="n">
        <x:v>0.738462</x:v>
      </x:c>
      <x:c r="D295" s="100" t="n">
        <x:v>11.035015666666666</x:v>
      </x:c>
      <x:c r="E295" s="100" t="n">
        <x:v>20.317130888888887</x:v>
      </x:c>
      <x:c r="F295" s="99" t="n">
        <x:v>0.17359633333333335</x:v>
      </x:c>
      <x:c r="G295" s="99" t="n">
        <x:v>-0.009782444444444448</x:v>
      </x:c>
      <x:c r="H295" s="101" t="n">
        <x:v>11876580</x:v>
      </x:c>
      <x:c r="I295" s="99" t="n">
        <x:v>0.06406368235205595</x:v>
      </x:c>
      <x:c r="J295" s="100" t="n">
        <x:v>18.444444444444443</x:v>
      </x:c>
      <x:c r="K295" s="100"/>
      <x:c r="L295" s="99" t="n">
        <x:v>0.42266666666666663</x:v>
      </x:c>
      <x:c r="M295" s="99" t="n">
        <x:v>0.5022222222222221</x:v>
      </x:c>
      <x:c r="N295" s="99"/>
      <x:c r="O295" s="99" t="n">
        <x:v>0.39686133333333334</x:v>
      </x:c>
      <x:c r="P295" s="99" t="n">
        <x:v>0.04568322222222222</x:v>
      </x:c>
      <x:c r="Q295" s="99" t="n">
        <x:v>0.11431799999999999</x:v>
      </x:c>
      <x:c r="R295" s="99" t="n">
        <x:v>-0.05155111111111111</x:v>
      </x:c>
      <x:c r="S295" s="45"/>
      <x:c r="T295" s="45"/>
      <x:c r="U295" s="51" t="d">
        <x:v>2026-09-30T00:00:00.000Z</x:v>
      </x:c>
      <x:c r="V295" s="51" t="d">
        <x:v>2026-09-30T00:00:00.000Z</x:v>
      </x:c>
      <x:c r="W295" s="109" t="n">
        <x:v>9</x:v>
      </x:c>
      <x:c r="X295" s="109" t="n">
        <x:v>9</x:v>
      </x:c>
      <x:c r="Y295" s="45" t="str">
        <x:v>sbx-mex/Perfil_Tienda_DM</x:v>
      </x:c>
      <x:c r="Z295" s="45" t="str">
        <x:v>2a6b0d21379739482f0b4c7be9b0f9a022e15f5b</x:v>
      </x:c>
      <x:c r="AA295" s="45" t="str">
        <x:v>8456a41c5e02d454e70a2531577ffb2e29f73e57e44a7762de681d568aa4227a</x:v>
      </x:c>
    </x:row>
    <x:row r="296" ht="23" customHeight="1">
      <x:c r="A296" s="50" t="str">
        <x:v>38481</x:v>
      </x:c>
      <x:c r="B296" s="51" t="d">
        <x:v>2026-09-30T00:00:00.000Z</x:v>
      </x:c>
      <x:c r="C296" s="99" t="n">
        <x:v>0.201681</x:v>
      </x:c>
      <x:c r="D296" s="100" t="n">
        <x:v>5.860415</x:v>
      </x:c>
      <x:c r="E296" s="100" t="n">
        <x:v>11.499182333333332</x:v>
      </x:c>
      <x:c r="F296" s="99" t="n">
        <x:v>0.18475966666666666</x:v>
      </x:c>
      <x:c r="G296" s="99" t="n">
        <x:v>0.005131222222222222</x:v>
      </x:c>
      <x:c r="H296" s="101" t="n">
        <x:v>9690253</x:v>
      </x:c>
      <x:c r="I296" s="99" t="n">
        <x:v>-0.03434278682411973</x:v>
      </x:c>
      <x:c r="J296" s="100" t="n">
        <x:v>6.666666666666667</x:v>
      </x:c>
      <x:c r="K296" s="100"/>
      <x:c r="L296" s="99" t="n">
        <x:v>0.5264444444444444</x:v>
      </x:c>
      <x:c r="M296" s="99" t="n">
        <x:v>0.701111111111111</x:v>
      </x:c>
      <x:c r="N296" s="99"/>
      <x:c r="O296" s="99" t="n">
        <x:v>0.385847</x:v>
      </x:c>
      <x:c r="P296" s="99" t="n">
        <x:v>0.014547111111111122</x:v>
      </x:c>
      <x:c r="Q296" s="99" t="n">
        <x:v>0.08868733333333334</x:v>
      </x:c>
      <x:c r="R296" s="99" t="n">
        <x:v>-0.024252555555555555</x:v>
      </x:c>
      <x:c r="S296" s="45"/>
      <x:c r="T296" s="45"/>
      <x:c r="U296" s="51" t="d">
        <x:v>2026-09-30T00:00:00.000Z</x:v>
      </x:c>
      <x:c r="V296" s="51" t="d">
        <x:v>2026-09-30T00:00:00.000Z</x:v>
      </x:c>
      <x:c r="W296" s="109" t="n">
        <x:v>9</x:v>
      </x:c>
      <x:c r="X296" s="109" t="n">
        <x:v>9</x:v>
      </x:c>
      <x:c r="Y296" s="45" t="str">
        <x:v>sbx-mex/Perfil_Tienda_DM</x:v>
      </x:c>
      <x:c r="Z296" s="45" t="str">
        <x:v>2a6b0d21379739482f0b4c7be9b0f9a022e15f5b</x:v>
      </x:c>
      <x:c r="AA296" s="45" t="str">
        <x:v>8456a41c5e02d454e70a2531577ffb2e29f73e57e44a7762de681d568aa4227a</x:v>
      </x:c>
    </x:row>
    <x:row r="297" ht="23" customHeight="1">
      <x:c r="A297" s="50" t="str">
        <x:v>38522</x:v>
      </x:c>
      <x:c r="B297" s="51" t="d">
        <x:v>2026-09-30T00:00:00.000Z</x:v>
      </x:c>
      <x:c r="C297" s="99" t="n">
        <x:v>0.724138</x:v>
      </x:c>
      <x:c r="D297" s="100" t="n">
        <x:v>7.2352297777777785</x:v>
      </x:c>
      <x:c r="E297" s="100" t="n">
        <x:v>14.40294577777778</x:v>
      </x:c>
      <x:c r="F297" s="99" t="n">
        <x:v>0.16957066666666665</x:v>
      </x:c>
      <x:c r="G297" s="99" t="n">
        <x:v>-0.017489777777777778</x:v>
      </x:c>
      <x:c r="H297" s="101" t="n">
        <x:v>9335599</x:v>
      </x:c>
      <x:c r="I297" s="99" t="n">
        <x:v>-0.06401382728322191</x:v>
      </x:c>
      <x:c r="J297" s="100" t="n">
        <x:v>-11.11111111111111</x:v>
      </x:c>
      <x:c r="K297" s="100"/>
      <x:c r="L297" s="99" t="n">
        <x:v>0.5596666666666666</x:v>
      </x:c>
      <x:c r="M297" s="99" t="n">
        <x:v>0.7</x:v>
      </x:c>
      <x:c r="N297" s="99"/>
      <x:c r="O297" s="99" t="n">
        <x:v>0.40402955555555553</x:v>
      </x:c>
      <x:c r="P297" s="99" t="n">
        <x:v>0.028684555555555553</x:v>
      </x:c>
      <x:c r="Q297" s="99" t="n">
        <x:v>0.11850555555555554</x:v>
      </x:c>
      <x:c r="R297" s="99" t="n">
        <x:v>-0.01417288888888889</x:v>
      </x:c>
      <x:c r="S297" s="45"/>
      <x:c r="T297" s="45"/>
      <x:c r="U297" s="51" t="d">
        <x:v>2026-09-30T00:00:00.000Z</x:v>
      </x:c>
      <x:c r="V297" s="51" t="d">
        <x:v>2026-09-30T00:00:00.000Z</x:v>
      </x:c>
      <x:c r="W297" s="109" t="n">
        <x:v>9</x:v>
      </x:c>
      <x:c r="X297" s="109" t="n">
        <x:v>9</x:v>
      </x:c>
      <x:c r="Y297" s="45" t="str">
        <x:v>sbx-mex/Perfil_Tienda_DM</x:v>
      </x:c>
      <x:c r="Z297" s="45" t="str">
        <x:v>2a6b0d21379739482f0b4c7be9b0f9a022e15f5b</x:v>
      </x:c>
      <x:c r="AA297" s="45" t="str">
        <x:v>8456a41c5e02d454e70a2531577ffb2e29f73e57e44a7762de681d568aa4227a</x:v>
      </x:c>
    </x:row>
    <x:row r="298" ht="23" customHeight="1">
      <x:c r="A298" s="50" t="str">
        <x:v>38541</x:v>
      </x:c>
      <x:c r="B298" s="51" t="d">
        <x:v>2026-09-30T00:00:00.000Z</x:v>
      </x:c>
      <x:c r="C298" s="99" t="n">
        <x:v>0.521739</x:v>
      </x:c>
      <x:c r="D298" s="100" t="n">
        <x:v>6.712356</x:v>
      </x:c>
      <x:c r="E298" s="100" t="n">
        <x:v>14.001665444444445</x:v>
      </x:c>
      <x:c r="F298" s="99" t="n">
        <x:v>0.16291955555555557</x:v>
      </x:c>
      <x:c r="G298" s="99" t="n">
        <x:v>0.0039017777777777757</x:v>
      </x:c>
      <x:c r="H298" s="101" t="n">
        <x:v>13271413</x:v>
      </x:c>
      <x:c r="I298" s="99" t="n">
        <x:v>-0.09850954634552411</x:v>
      </x:c>
      <x:c r="J298" s="100" t="n">
        <x:v>11.666666666666666</x:v>
      </x:c>
      <x:c r="K298" s="100"/>
      <x:c r="L298" s="99" t="n">
        <x:v>0.5848888888888889</x:v>
      </x:c>
      <x:c r="M298" s="99" t="n">
        <x:v>0.63</x:v>
      </x:c>
      <x:c r="N298" s="99"/>
      <x:c r="O298" s="99" t="n">
        <x:v>0.39510877777777775</x:v>
      </x:c>
      <x:c r="P298" s="99" t="n">
        <x:v>0.0513018888888889</x:v>
      </x:c>
      <x:c r="Q298" s="99" t="n">
        <x:v>0.17662</x:v>
      </x:c>
      <x:c r="R298" s="99" t="n">
        <x:v>-0.061121888888888885</x:v>
      </x:c>
      <x:c r="S298" s="45"/>
      <x:c r="T298" s="45"/>
      <x:c r="U298" s="51" t="d">
        <x:v>2026-09-30T00:00:00.000Z</x:v>
      </x:c>
      <x:c r="V298" s="51" t="d">
        <x:v>2026-09-30T00:00:00.000Z</x:v>
      </x:c>
      <x:c r="W298" s="109" t="n">
        <x:v>9</x:v>
      </x:c>
      <x:c r="X298" s="109" t="n">
        <x:v>9</x:v>
      </x:c>
      <x:c r="Y298" s="45" t="str">
        <x:v>sbx-mex/Perfil_Tienda_DM</x:v>
      </x:c>
      <x:c r="Z298" s="45" t="str">
        <x:v>2a6b0d21379739482f0b4c7be9b0f9a022e15f5b</x:v>
      </x:c>
      <x:c r="AA298" s="45" t="str">
        <x:v>8456a41c5e02d454e70a2531577ffb2e29f73e57e44a7762de681d568aa4227a</x:v>
      </x:c>
    </x:row>
    <x:row r="299" ht="23" customHeight="1">
      <x:c r="A299" s="50" t="str">
        <x:v>38597</x:v>
      </x:c>
      <x:c r="B299" s="51" t="d">
        <x:v>2026-09-30T00:00:00.000Z</x:v>
      </x:c>
      <x:c r="C299" s="99" t="n">
        <x:v>0.764331</x:v>
      </x:c>
      <x:c r="D299" s="100" t="n">
        <x:v>7.162888</x:v>
      </x:c>
      <x:c r="E299" s="100" t="n">
        <x:v>15.292310444444446</x:v>
      </x:c>
      <x:c r="F299" s="99" t="n">
        <x:v>0.16381888888888888</x:v>
      </x:c>
      <x:c r="G299" s="99" t="n">
        <x:v>0.002460444444444441</x:v>
      </x:c>
      <x:c r="H299" s="101" t="n">
        <x:v>13018761</x:v>
      </x:c>
      <x:c r="I299" s="99" t="n">
        <x:v>-0.0718405137354049</x:v>
      </x:c>
      <x:c r="J299" s="100" t="n">
        <x:v>-3.7777777777777777</x:v>
      </x:c>
      <x:c r="K299" s="100"/>
      <x:c r="L299" s="99" t="n">
        <x:v>0.41155555555555556</x:v>
      </x:c>
      <x:c r="M299" s="99" t="n">
        <x:v>0.4911111111111111</x:v>
      </x:c>
      <x:c r="N299" s="99"/>
      <x:c r="O299" s="99" t="n">
        <x:v>0.3723775555555556</x:v>
      </x:c>
      <x:c r="P299" s="99" t="n">
        <x:v>0.012580555555555551</x:v>
      </x:c>
      <x:c r="Q299" s="99" t="n">
        <x:v>0.1900517777777778</x:v>
      </x:c>
      <x:c r="R299" s="99" t="n">
        <x:v>0.020280777777777786</x:v>
      </x:c>
      <x:c r="S299" s="45"/>
      <x:c r="T299" s="45"/>
      <x:c r="U299" s="51" t="d">
        <x:v>2026-09-30T00:00:00.000Z</x:v>
      </x:c>
      <x:c r="V299" s="51" t="d">
        <x:v>2026-09-30T00:00:00.000Z</x:v>
      </x:c>
      <x:c r="W299" s="109" t="n">
        <x:v>9</x:v>
      </x:c>
      <x:c r="X299" s="109" t="n">
        <x:v>9</x:v>
      </x:c>
      <x:c r="Y299" s="45" t="str">
        <x:v>sbx-mex/Perfil_Tienda_DM</x:v>
      </x:c>
      <x:c r="Z299" s="45" t="str">
        <x:v>2a6b0d21379739482f0b4c7be9b0f9a022e15f5b</x:v>
      </x:c>
      <x:c r="AA299" s="45" t="str">
        <x:v>8456a41c5e02d454e70a2531577ffb2e29f73e57e44a7762de681d568aa4227a</x:v>
      </x:c>
    </x:row>
    <x:row r="300" ht="23" customHeight="1">
      <x:c r="A300" s="50" t="str">
        <x:v>38627</x:v>
      </x:c>
      <x:c r="B300" s="51" t="d">
        <x:v>2026-09-30T00:00:00.000Z</x:v>
      </x:c>
      <x:c r="C300" s="99" t="n">
        <x:v>0.216867</x:v>
      </x:c>
      <x:c r="D300" s="100" t="n">
        <x:v>6.015217</x:v>
      </x:c>
      <x:c r="E300" s="100" t="n">
        <x:v>12.389142222222223</x:v>
      </x:c>
      <x:c r="F300" s="99" t="n">
        <x:v>0.18442011111111112</x:v>
      </x:c>
      <x:c r="G300" s="99" t="n">
        <x:v>0.017533111111111103</x:v>
      </x:c>
      <x:c r="H300" s="101" t="n">
        <x:v>13247508</x:v>
      </x:c>
      <x:c r="I300" s="99" t="n">
        <x:v>-0.053564325358207654</x:v>
      </x:c>
      <x:c r="J300" s="100" t="n">
        <x:v>-23.22222222222222</x:v>
      </x:c>
      <x:c r="K300" s="100"/>
      <x:c r="L300" s="99" t="n">
        <x:v>0.4445555555555556</x:v>
      </x:c>
      <x:c r="M300" s="99" t="n">
        <x:v>0.6177777777777779</x:v>
      </x:c>
      <x:c r="N300" s="99"/>
      <x:c r="O300" s="99" t="n">
        <x:v>0.3732378888888889</x:v>
      </x:c>
      <x:c r="P300" s="99" t="n">
        <x:v>0.03451944444444445</x:v>
      </x:c>
      <x:c r="Q300" s="99" t="n">
        <x:v>0.17709</x:v>
      </x:c>
      <x:c r="R300" s="99" t="n">
        <x:v>-0.017721999999999998</x:v>
      </x:c>
      <x:c r="S300" s="45"/>
      <x:c r="T300" s="45"/>
      <x:c r="U300" s="51" t="d">
        <x:v>2026-09-30T00:00:00.000Z</x:v>
      </x:c>
      <x:c r="V300" s="51" t="d">
        <x:v>2026-09-30T00:00:00.000Z</x:v>
      </x:c>
      <x:c r="W300" s="109" t="n">
        <x:v>9</x:v>
      </x:c>
      <x:c r="X300" s="109" t="n">
        <x:v>9</x:v>
      </x:c>
      <x:c r="Y300" s="45" t="str">
        <x:v>sbx-mex/Perfil_Tienda_DM</x:v>
      </x:c>
      <x:c r="Z300" s="45" t="str">
        <x:v>2a6b0d21379739482f0b4c7be9b0f9a022e15f5b</x:v>
      </x:c>
      <x:c r="AA300" s="45" t="str">
        <x:v>8456a41c5e02d454e70a2531577ffb2e29f73e57e44a7762de681d568aa4227a</x:v>
      </x:c>
    </x:row>
    <x:row r="301" ht="23" customHeight="1">
      <x:c r="A301" s="50" t="str">
        <x:v>38109</x:v>
      </x:c>
      <x:c r="B301" s="51" t="d">
        <x:v>2026-09-30T00:00:00.000Z</x:v>
      </x:c>
      <x:c r="C301" s="99" t="n">
        <x:v>0.25</x:v>
      </x:c>
      <x:c r="D301" s="100" t="n">
        <x:v>6.613138666666667</x:v>
      </x:c>
      <x:c r="E301" s="100" t="n">
        <x:v>13.89469977777778</x:v>
      </x:c>
      <x:c r="F301" s="99" t="n">
        <x:v>0.161051</x:v>
      </x:c>
      <x:c r="G301" s="99" t="n">
        <x:v>-0.03774866666666668</x:v>
      </x:c>
      <x:c r="H301" s="101" t="n">
        <x:v>15437580</x:v>
      </x:c>
      <x:c r="I301" s="99" t="n">
        <x:v>-0.05709100154823421</x:v>
      </x:c>
      <x:c r="J301" s="100" t="n">
        <x:v>-12.777777777777779</x:v>
      </x:c>
      <x:c r="K301" s="100"/>
      <x:c r="L301" s="99" t="n">
        <x:v>0.4627777777777778</x:v>
      </x:c>
      <x:c r="M301" s="99" t="n">
        <x:v>0.6011111111111112</x:v>
      </x:c>
      <x:c r="N301" s="99"/>
      <x:c r="O301" s="99" t="n">
        <x:v>0.3870372222222222</x:v>
      </x:c>
      <x:c r="P301" s="99" t="n">
        <x:v>0.031145888888888893</x:v>
      </x:c>
      <x:c r="Q301" s="99" t="n">
        <x:v>0.11238422222222222</x:v>
      </x:c>
      <x:c r="R301" s="99" t="n">
        <x:v>0.012787333333333333</x:v>
      </x:c>
      <x:c r="S301" s="45"/>
      <x:c r="T301" s="45"/>
      <x:c r="U301" s="51" t="d">
        <x:v>2026-09-30T00:00:00.000Z</x:v>
      </x:c>
      <x:c r="V301" s="51" t="d">
        <x:v>2026-09-30T00:00:00.000Z</x:v>
      </x:c>
      <x:c r="W301" s="109" t="n">
        <x:v>9</x:v>
      </x:c>
      <x:c r="X301" s="109" t="n">
        <x:v>9</x:v>
      </x:c>
      <x:c r="Y301" s="45" t="str">
        <x:v>sbx-mex/Perfil_Tienda_DM</x:v>
      </x:c>
      <x:c r="Z301" s="45" t="str">
        <x:v>2a6b0d21379739482f0b4c7be9b0f9a022e15f5b</x:v>
      </x:c>
      <x:c r="AA301" s="45" t="str">
        <x:v>8456a41c5e02d454e70a2531577ffb2e29f73e57e44a7762de681d568aa4227a</x:v>
      </x:c>
    </x:row>
    <x:row r="302" ht="23" customHeight="1">
      <x:c r="A302" s="50" t="str">
        <x:v>38344</x:v>
      </x:c>
      <x:c r="B302" s="51" t="d">
        <x:v>2026-09-30T00:00:00.000Z</x:v>
      </x:c>
      <x:c r="C302" s="99" t="n">
        <x:v>0.507042</x:v>
      </x:c>
      <x:c r="D302" s="100" t="n">
        <x:v>6.074299444444445</x:v>
      </x:c>
      <x:c r="E302" s="100" t="n">
        <x:v>13.592204777777777</x:v>
      </x:c>
      <x:c r="F302" s="99" t="n">
        <x:v>0.15838977777777777</x:v>
      </x:c>
      <x:c r="G302" s="99" t="n">
        <x:v>0.014061111111111108</x:v>
      </x:c>
      <x:c r="H302" s="101" t="n">
        <x:v>18037065</x:v>
      </x:c>
      <x:c r="I302" s="99" t="n">
        <x:v>-0.08572277901413083</x:v>
      </x:c>
      <x:c r="J302" s="100" t="n">
        <x:v>-8.666666666666666</x:v>
      </x:c>
      <x:c r="K302" s="100"/>
      <x:c r="L302" s="99" t="n">
        <x:v>0.5406666666666666</x:v>
      </x:c>
      <x:c r="M302" s="99" t="n">
        <x:v>0.6566666666666667</x:v>
      </x:c>
      <x:c r="N302" s="99"/>
      <x:c r="O302" s="99" t="n">
        <x:v>0.36752277777777775</x:v>
      </x:c>
      <x:c r="P302" s="99" t="n">
        <x:v>0.02529655555555556</x:v>
      </x:c>
      <x:c r="Q302" s="99" t="n">
        <x:v>0.20706833333333333</x:v>
      </x:c>
      <x:c r="R302" s="99" t="n">
        <x:v>-0.08502977777777777</x:v>
      </x:c>
      <x:c r="S302" s="45"/>
      <x:c r="T302" s="45"/>
      <x:c r="U302" s="51" t="d">
        <x:v>2026-09-30T00:00:00.000Z</x:v>
      </x:c>
      <x:c r="V302" s="51" t="d">
        <x:v>2026-09-30T00:00:00.000Z</x:v>
      </x:c>
      <x:c r="W302" s="109" t="n">
        <x:v>9</x:v>
      </x:c>
      <x:c r="X302" s="109" t="n">
        <x:v>9</x:v>
      </x:c>
      <x:c r="Y302" s="45" t="str">
        <x:v>sbx-mex/Perfil_Tienda_DM</x:v>
      </x:c>
      <x:c r="Z302" s="45" t="str">
        <x:v>2a6b0d21379739482f0b4c7be9b0f9a022e15f5b</x:v>
      </x:c>
      <x:c r="AA302" s="45" t="str">
        <x:v>8456a41c5e02d454e70a2531577ffb2e29f73e57e44a7762de681d568aa4227a</x:v>
      </x:c>
    </x:row>
    <x:row r="303" ht="23" customHeight="1">
      <x:c r="A303" s="50" t="str">
        <x:v>38378</x:v>
      </x:c>
      <x:c r="B303" s="51" t="d">
        <x:v>2026-09-30T00:00:00.000Z</x:v>
      </x:c>
      <x:c r="C303" s="99" t="n">
        <x:v>0.272727</x:v>
      </x:c>
      <x:c r="D303" s="100" t="n">
        <x:v>5.8819593333333335</x:v>
      </x:c>
      <x:c r="E303" s="100" t="n">
        <x:v>11.98756388888889</x:v>
      </x:c>
      <x:c r="F303" s="99" t="n">
        <x:v>0.1949352222222222</x:v>
      </x:c>
      <x:c r="G303" s="99" t="n">
        <x:v>0.016763555555555545</x:v>
      </x:c>
      <x:c r="H303" s="101" t="n">
        <x:v>9653937</x:v>
      </x:c>
      <x:c r="I303" s="99" t="n">
        <x:v>-0.1148251990617446</x:v>
      </x:c>
      <x:c r="J303" s="100" t="n">
        <x:v>-20</x:v>
      </x:c>
      <x:c r="K303" s="100"/>
      <x:c r="L303" s="99" t="n">
        <x:v>0.6342222222222222</x:v>
      </x:c>
      <x:c r="M303" s="99" t="n">
        <x:v>0.7222222222222222</x:v>
      </x:c>
      <x:c r="N303" s="99"/>
      <x:c r="O303" s="99" t="n">
        <x:v>0.4173725555555555</x:v>
      </x:c>
      <x:c r="P303" s="99" t="n">
        <x:v>0.08404588888888889</x:v>
      </x:c>
      <x:c r="Q303" s="99" t="n">
        <x:v>0.06457577777777777</x:v>
      </x:c>
      <x:c r="R303" s="99" t="n">
        <x:v>-0.15142388888888889</x:v>
      </x:c>
      <x:c r="S303" s="45"/>
      <x:c r="T303" s="45"/>
      <x:c r="U303" s="51" t="d">
        <x:v>2026-09-30T00:00:00.000Z</x:v>
      </x:c>
      <x:c r="V303" s="51" t="d">
        <x:v>2026-09-30T00:00:00.000Z</x:v>
      </x:c>
      <x:c r="W303" s="109" t="n">
        <x:v>9</x:v>
      </x:c>
      <x:c r="X303" s="109" t="n">
        <x:v>9</x:v>
      </x:c>
      <x:c r="Y303" s="45" t="str">
        <x:v>sbx-mex/Perfil_Tienda_DM</x:v>
      </x:c>
      <x:c r="Z303" s="45" t="str">
        <x:v>2a6b0d21379739482f0b4c7be9b0f9a022e15f5b</x:v>
      </x:c>
      <x:c r="AA303" s="45" t="str">
        <x:v>8456a41c5e02d454e70a2531577ffb2e29f73e57e44a7762de681d568aa4227a</x:v>
      </x:c>
    </x:row>
    <x:row r="304" ht="23" customHeight="1">
      <x:c r="A304" s="50" t="str">
        <x:v>38423</x:v>
      </x:c>
      <x:c r="B304" s="51" t="d">
        <x:v>2026-09-30T00:00:00.000Z</x:v>
      </x:c>
      <x:c r="C304" s="99" t="n">
        <x:v>0.560748</x:v>
      </x:c>
      <x:c r="D304" s="100" t="n">
        <x:v>6.093460444444444</x:v>
      </x:c>
      <x:c r="E304" s="100" t="n">
        <x:v>11.472306444444444</x:v>
      </x:c>
      <x:c r="F304" s="99" t="n">
        <x:v>0.2671174444444444</x:v>
      </x:c>
      <x:c r="G304" s="99" t="n">
        <x:v>0.06037600000000001</x:v>
      </x:c>
      <x:c r="H304" s="101" t="n">
        <x:v>6395786</x:v>
      </x:c>
      <x:c r="I304" s="99" t="n">
        <x:v>-0.1572765764062376</x:v>
      </x:c>
      <x:c r="J304" s="100" t="n">
        <x:v>-11</x:v>
      </x:c>
      <x:c r="K304" s="100"/>
      <x:c r="L304" s="99" t="n">
        <x:v>0.5537777777777778</x:v>
      </x:c>
      <x:c r="M304" s="99" t="n">
        <x:v>0.5466666666666666</x:v>
      </x:c>
      <x:c r="N304" s="99"/>
      <x:c r="O304" s="99" t="n">
        <x:v>0.4065606666666667</x:v>
      </x:c>
      <x:c r="P304" s="99" t="n">
        <x:v>0.04196622222222221</x:v>
      </x:c>
      <x:c r="Q304" s="99" t="n">
        <x:v>0.02341922222222222</x:v>
      </x:c>
      <x:c r="R304" s="99" t="n">
        <x:v>-0.11766099999999999</x:v>
      </x:c>
      <x:c r="S304" s="45"/>
      <x:c r="T304" s="45"/>
      <x:c r="U304" s="51" t="d">
        <x:v>2026-09-30T00:00:00.000Z</x:v>
      </x:c>
      <x:c r="V304" s="51" t="d">
        <x:v>2026-09-30T00:00:00.000Z</x:v>
      </x:c>
      <x:c r="W304" s="109" t="n">
        <x:v>9</x:v>
      </x:c>
      <x:c r="X304" s="109" t="n">
        <x:v>9</x:v>
      </x:c>
      <x:c r="Y304" s="45" t="str">
        <x:v>sbx-mex/Perfil_Tienda_DM</x:v>
      </x:c>
      <x:c r="Z304" s="45" t="str">
        <x:v>2a6b0d21379739482f0b4c7be9b0f9a022e15f5b</x:v>
      </x:c>
      <x:c r="AA304" s="45" t="str">
        <x:v>8456a41c5e02d454e70a2531577ffb2e29f73e57e44a7762de681d568aa4227a</x:v>
      </x:c>
    </x:row>
    <x:row r="305" ht="23" customHeight="1">
      <x:c r="A305" s="50" t="str">
        <x:v>38498</x:v>
      </x:c>
      <x:c r="B305" s="51" t="d">
        <x:v>2026-09-30T00:00:00.000Z</x:v>
      </x:c>
      <x:c r="C305" s="99" t="n">
        <x:v>0.423529</x:v>
      </x:c>
      <x:c r="D305" s="100" t="n">
        <x:v>8.550342222222222</x:v>
      </x:c>
      <x:c r="E305" s="100" t="n">
        <x:v>17.128404333333336</x:v>
      </x:c>
      <x:c r="F305" s="99" t="n">
        <x:v>0.16858066666666666</x:v>
      </x:c>
      <x:c r="G305" s="99" t="n">
        <x:v>0.014087555555555555</x:v>
      </x:c>
      <x:c r="H305" s="101" t="n">
        <x:v>14486403</x:v>
      </x:c>
      <x:c r="I305" s="99" t="n">
        <x:v>-0.08960247204551508</x:v>
      </x:c>
      <x:c r="J305" s="100" t="n">
        <x:v>-13</x:v>
      </x:c>
      <x:c r="K305" s="100"/>
      <x:c r="L305" s="99" t="n">
        <x:v>0.5688888888888889</x:v>
      </x:c>
      <x:c r="M305" s="99" t="n">
        <x:v>0.6233333333333333</x:v>
      </x:c>
      <x:c r="N305" s="99"/>
      <x:c r="O305" s="99" t="n">
        <x:v>0.39452655555555555</x:v>
      </x:c>
      <x:c r="P305" s="99" t="n">
        <x:v>0.05768177777777778</x:v>
      </x:c>
      <x:c r="Q305" s="99" t="n">
        <x:v>0.23612</x:v>
      </x:c>
      <x:c r="R305" s="99" t="n">
        <x:v>-0.07825377777777778</x:v>
      </x:c>
      <x:c r="S305" s="45"/>
      <x:c r="T305" s="45"/>
      <x:c r="U305" s="51" t="d">
        <x:v>2026-09-30T00:00:00.000Z</x:v>
      </x:c>
      <x:c r="V305" s="51" t="d">
        <x:v>2026-09-30T00:00:00.000Z</x:v>
      </x:c>
      <x:c r="W305" s="109" t="n">
        <x:v>9</x:v>
      </x:c>
      <x:c r="X305" s="109" t="n">
        <x:v>9</x:v>
      </x:c>
      <x:c r="Y305" s="45" t="str">
        <x:v>sbx-mex/Perfil_Tienda_DM</x:v>
      </x:c>
      <x:c r="Z305" s="45" t="str">
        <x:v>2a6b0d21379739482f0b4c7be9b0f9a022e15f5b</x:v>
      </x:c>
      <x:c r="AA305" s="45" t="str">
        <x:v>8456a41c5e02d454e70a2531577ffb2e29f73e57e44a7762de681d568aa4227a</x:v>
      </x:c>
    </x:row>
    <x:row r="306" ht="23" customHeight="1">
      <x:c r="A306" s="50" t="str">
        <x:v>38504</x:v>
      </x:c>
      <x:c r="B306" s="51" t="d">
        <x:v>2026-09-30T00:00:00.000Z</x:v>
      </x:c>
      <x:c r="C306" s="99" t="n">
        <x:v>0.181818</x:v>
      </x:c>
      <x:c r="D306" s="100" t="n">
        <x:v>6.542767</x:v>
      </x:c>
      <x:c r="E306" s="100" t="n">
        <x:v>12.163127444444445</x:v>
      </x:c>
      <x:c r="F306" s="99" t="n">
        <x:v>0.18637855555555558</x:v>
      </x:c>
      <x:c r="G306" s="99" t="n">
        <x:v>-0.016907999999999992</x:v>
      </x:c>
      <x:c r="H306" s="101" t="n">
        <x:v>9554360</x:v>
      </x:c>
      <x:c r="I306" s="99" t="n">
        <x:v>0.08607047099331644</x:v>
      </x:c>
      <x:c r="J306" s="100" t="n">
        <x:v>2.6666666666666665</x:v>
      </x:c>
      <x:c r="K306" s="100"/>
      <x:c r="L306" s="99" t="n">
        <x:v>0.5893333333333334</x:v>
      </x:c>
      <x:c r="M306" s="99" t="n">
        <x:v>0.6944444444444444</x:v>
      </x:c>
      <x:c r="N306" s="99"/>
      <x:c r="O306" s="99" t="n">
        <x:v>0.3953828888888889</x:v>
      </x:c>
      <x:c r="P306" s="99" t="n">
        <x:v>0.04902466666666667</x:v>
      </x:c>
      <x:c r="Q306" s="99" t="n">
        <x:v>0.15327388888888888</x:v>
      </x:c>
      <x:c r="R306" s="99" t="n">
        <x:v>-0.010519666666666672</x:v>
      </x:c>
      <x:c r="S306" s="45"/>
      <x:c r="T306" s="45"/>
      <x:c r="U306" s="51" t="d">
        <x:v>2026-09-30T00:00:00.000Z</x:v>
      </x:c>
      <x:c r="V306" s="51" t="d">
        <x:v>2026-09-30T00:00:00.000Z</x:v>
      </x:c>
      <x:c r="W306" s="109" t="n">
        <x:v>9</x:v>
      </x:c>
      <x:c r="X306" s="109" t="n">
        <x:v>9</x:v>
      </x:c>
      <x:c r="Y306" s="45" t="str">
        <x:v>sbx-mex/Perfil_Tienda_DM</x:v>
      </x:c>
      <x:c r="Z306" s="45" t="str">
        <x:v>2a6b0d21379739482f0b4c7be9b0f9a022e15f5b</x:v>
      </x:c>
      <x:c r="AA306" s="45" t="str">
        <x:v>8456a41c5e02d454e70a2531577ffb2e29f73e57e44a7762de681d568aa4227a</x:v>
      </x:c>
    </x:row>
    <x:row r="307" ht="23" customHeight="1">
      <x:c r="A307" s="50" t="str">
        <x:v>38635</x:v>
      </x:c>
      <x:c r="B307" s="51" t="d">
        <x:v>2026-09-30T00:00:00.000Z</x:v>
      </x:c>
      <x:c r="C307" s="99" t="n">
        <x:v>0.12766</x:v>
      </x:c>
      <x:c r="D307" s="100" t="n">
        <x:v>6.229692555555555</x:v>
      </x:c>
      <x:c r="E307" s="100" t="n">
        <x:v>11.840886888888889</x:v>
      </x:c>
      <x:c r="F307" s="99" t="n">
        <x:v>0.2085831111111111</x:v>
      </x:c>
      <x:c r="G307" s="99" t="n">
        <x:v>-0.0029375555555555513</x:v>
      </x:c>
      <x:c r="H307" s="101" t="n">
        <x:v>6498987</x:v>
      </x:c>
      <x:c r="I307" s="99" t="n">
        <x:v>-0.2737479595394624</x:v>
      </x:c>
      <x:c r="J307" s="100" t="n">
        <x:v>-54.22222222222222</x:v>
      </x:c>
      <x:c r="K307" s="100"/>
      <x:c r="L307" s="99" t="n">
        <x:v>0.5111111111111111</x:v>
      </x:c>
      <x:c r="M307" s="99" t="n">
        <x:v>0.6222222222222222</x:v>
      </x:c>
      <x:c r="N307" s="99"/>
      <x:c r="O307" s="99" t="n">
        <x:v>0.3841662222222222</x:v>
      </x:c>
      <x:c r="P307" s="99" t="n">
        <x:v>0.006621777777777788</x:v>
      </x:c>
      <x:c r="Q307" s="99" t="n">
        <x:v>0.07377411111111111</x:v>
      </x:c>
      <x:c r="R307" s="99" t="n">
        <x:v>-0.01785411111111111</x:v>
      </x:c>
      <x:c r="S307" s="45"/>
      <x:c r="T307" s="45"/>
      <x:c r="U307" s="51" t="d">
        <x:v>2026-09-30T00:00:00.000Z</x:v>
      </x:c>
      <x:c r="V307" s="51" t="d">
        <x:v>2026-09-30T00:00:00.000Z</x:v>
      </x:c>
      <x:c r="W307" s="109" t="n">
        <x:v>9</x:v>
      </x:c>
      <x:c r="X307" s="109" t="n">
        <x:v>9</x:v>
      </x:c>
      <x:c r="Y307" s="45" t="str">
        <x:v>sbx-mex/Perfil_Tienda_DM</x:v>
      </x:c>
      <x:c r="Z307" s="45" t="str">
        <x:v>2a6b0d21379739482f0b4c7be9b0f9a022e15f5b</x:v>
      </x:c>
      <x:c r="AA307" s="45" t="str">
        <x:v>8456a41c5e02d454e70a2531577ffb2e29f73e57e44a7762de681d568aa4227a</x:v>
      </x:c>
    </x:row>
    <x:row r="308" ht="23" customHeight="1">
      <x:c r="A308" s="50" t="str">
        <x:v>38858</x:v>
      </x:c>
      <x:c r="B308" s="51" t="d">
        <x:v>2026-09-30T00:00:00.000Z</x:v>
      </x:c>
      <x:c r="C308" s="99" t="n">
        <x:v>1.016949</x:v>
      </x:c>
      <x:c r="D308" s="100" t="n">
        <x:v>7.589755333333334</x:v>
      </x:c>
      <x:c r="E308" s="100" t="n">
        <x:v>12.738291222222223</x:v>
      </x:c>
      <x:c r="F308" s="99" t="n">
        <x:v>0.19972377777777778</x:v>
      </x:c>
      <x:c r="G308" s="99" t="n">
        <x:v>0.012869</x:v>
      </x:c>
      <x:c r="H308" s="101" t="n">
        <x:v>8424120</x:v>
      </x:c>
      <x:c r="I308" s="99" t="n">
        <x:v>-0.15777900729893468</x:v>
      </x:c>
      <x:c r="J308" s="100" t="n">
        <x:v>-48.888888888888886</x:v>
      </x:c>
      <x:c r="K308" s="100"/>
      <x:c r="L308" s="99" t="n">
        <x:v>0.5631111111111111</x:v>
      </x:c>
      <x:c r="M308" s="99" t="n">
        <x:v>0.5755555555555555</x:v>
      </x:c>
      <x:c r="N308" s="99"/>
      <x:c r="O308" s="99" t="n">
        <x:v>0.43936366666666665</x:v>
      </x:c>
      <x:c r="P308" s="99" t="n">
        <x:v>0.054426888888888886</x:v>
      </x:c>
      <x:c r="Q308" s="99" t="n">
        <x:v>0.05996511111111111</x:v>
      </x:c>
      <x:c r="R308" s="99" t="n">
        <x:v>-0.07619122222222223</x:v>
      </x:c>
      <x:c r="S308" s="45"/>
      <x:c r="T308" s="45"/>
      <x:c r="U308" s="51" t="d">
        <x:v>2026-09-30T00:00:00.000Z</x:v>
      </x:c>
      <x:c r="V308" s="51" t="d">
        <x:v>2026-09-30T00:00:00.000Z</x:v>
      </x:c>
      <x:c r="W308" s="109" t="n">
        <x:v>9</x:v>
      </x:c>
      <x:c r="X308" s="109" t="n">
        <x:v>9</x:v>
      </x:c>
      <x:c r="Y308" s="45" t="str">
        <x:v>sbx-mex/Perfil_Tienda_DM</x:v>
      </x:c>
      <x:c r="Z308" s="45" t="str">
        <x:v>2a6b0d21379739482f0b4c7be9b0f9a022e15f5b</x:v>
      </x:c>
      <x:c r="AA308" s="45" t="str">
        <x:v>8456a41c5e02d454e70a2531577ffb2e29f73e57e44a7762de681d568aa4227a</x:v>
      </x:c>
    </x:row>
    <x:row r="309" ht="23" customHeight="1">
      <x:c r="A309" s="50" t="str">
        <x:v>38101</x:v>
      </x:c>
      <x:c r="B309" s="51" t="d">
        <x:v>2026-09-30T00:00:00.000Z</x:v>
      </x:c>
      <x:c r="C309" s="99" t="n">
        <x:v>0.193548</x:v>
      </x:c>
      <x:c r="D309" s="100" t="n">
        <x:v>5.610169111111111</x:v>
      </x:c>
      <x:c r="E309" s="100" t="n">
        <x:v>11.878791222222223</x:v>
      </x:c>
      <x:c r="F309" s="99" t="n">
        <x:v>0.19392022222222222</x:v>
      </x:c>
      <x:c r="G309" s="99" t="n">
        <x:v>0.03831344444444444</x:v>
      </x:c>
      <x:c r="H309" s="101" t="n">
        <x:v>15138738</x:v>
      </x:c>
      <x:c r="I309" s="99" t="n">
        <x:v>-0.18956932541959493</x:v>
      </x:c>
      <x:c r="J309" s="100" t="n">
        <x:v>-45.888888888888886</x:v>
      </x:c>
      <x:c r="K309" s="100"/>
      <x:c r="L309" s="99" t="n">
        <x:v>0.4753333333333334</x:v>
      </x:c>
      <x:c r="M309" s="99" t="n">
        <x:v>0.6433333333333333</x:v>
      </x:c>
      <x:c r="N309" s="99"/>
      <x:c r="O309" s="99" t="n">
        <x:v>0.38275966666666666</x:v>
      </x:c>
      <x:c r="P309" s="99" t="n">
        <x:v>0.04050733333333333</x:v>
      </x:c>
      <x:c r="Q309" s="99" t="n">
        <x:v>0.09831133333333333</x:v>
      </x:c>
      <x:c r="R309" s="99" t="n">
        <x:v>-0.12860066666666667</x:v>
      </x:c>
      <x:c r="S309" s="45"/>
      <x:c r="T309" s="45"/>
      <x:c r="U309" s="51" t="d">
        <x:v>2026-09-30T00:00:00.000Z</x:v>
      </x:c>
      <x:c r="V309" s="51" t="d">
        <x:v>2026-09-30T00:00:00.000Z</x:v>
      </x:c>
      <x:c r="W309" s="109" t="n">
        <x:v>9</x:v>
      </x:c>
      <x:c r="X309" s="109" t="n">
        <x:v>9</x:v>
      </x:c>
      <x:c r="Y309" s="45" t="str">
        <x:v>sbx-mex/Perfil_Tienda_DM</x:v>
      </x:c>
      <x:c r="Z309" s="45" t="str">
        <x:v>2a6b0d21379739482f0b4c7be9b0f9a022e15f5b</x:v>
      </x:c>
      <x:c r="AA309" s="45" t="str">
        <x:v>8456a41c5e02d454e70a2531577ffb2e29f73e57e44a7762de681d568aa4227a</x:v>
      </x:c>
    </x:row>
    <x:row r="310" ht="23" customHeight="1">
      <x:c r="A310" s="50" t="str">
        <x:v>38240</x:v>
      </x:c>
      <x:c r="B310" s="51"/>
      <x:c r="C310" s="99"/>
      <x:c r="D310" s="100"/>
      <x:c r="E310" s="100"/>
      <x:c r="F310" s="99"/>
      <x:c r="G310" s="99"/>
      <x:c r="H310" s="101"/>
      <x:c r="I310" s="99"/>
      <x:c r="J310" s="100"/>
      <x:c r="K310" s="100"/>
      <x:c r="L310" s="99"/>
      <x:c r="M310" s="99"/>
      <x:c r="N310" s="99"/>
      <x:c r="O310" s="99"/>
      <x:c r="P310" s="99"/>
      <x:c r="Q310" s="99"/>
      <x:c r="R310" s="99"/>
      <x:c r="S310" s="45"/>
      <x:c r="T310" s="45"/>
      <x:c r="U310" s="51"/>
      <x:c r="V310" s="51"/>
      <x:c r="W310" s="109" t="n">
        <x:v>0</x:v>
      </x:c>
      <x:c r="X310" s="109" t="n">
        <x:v>0</x:v>
      </x:c>
      <x:c r="Y310" s="45"/>
      <x:c r="Z310" s="45"/>
      <x:c r="AA310" s="45"/>
    </x:row>
    <x:row r="311" ht="23" customHeight="1">
      <x:c r="A311" s="50" t="str">
        <x:v>38272</x:v>
      </x:c>
      <x:c r="B311" s="51" t="d">
        <x:v>2026-09-30T00:00:00.000Z</x:v>
      </x:c>
      <x:c r="C311" s="99" t="n">
        <x:v>0.510638</x:v>
      </x:c>
      <x:c r="D311" s="100" t="n">
        <x:v>7.05897775</x:v>
      </x:c>
      <x:c r="E311" s="100" t="n">
        <x:v>13.599337375</x:v>
      </x:c>
      <x:c r="F311" s="99" t="n">
        <x:v>0.1641515</x:v>
      </x:c>
      <x:c r="G311" s="99" t="n">
        <x:v>-0.019475375</x:v>
      </x:c>
      <x:c r="H311" s="101" t="n">
        <x:v>12616489</x:v>
      </x:c>
      <x:c r="I311" s="99" t="n">
        <x:v>-0.028012559920710833</x:v>
      </x:c>
      <x:c r="J311" s="100" t="n">
        <x:v>-27.88888888888889</x:v>
      </x:c>
      <x:c r="K311" s="100"/>
      <x:c r="L311" s="99" t="n">
        <x:v>0.47875</x:v>
      </x:c>
      <x:c r="M311" s="99" t="n">
        <x:v>0.64125</x:v>
      </x:c>
      <x:c r="N311" s="99"/>
      <x:c r="O311" s="99" t="n">
        <x:v>0.36422725</x:v>
      </x:c>
      <x:c r="P311" s="99" t="n">
        <x:v>0.0011514999999999928</x:v>
      </x:c>
      <x:c r="Q311" s="99" t="n">
        <x:v>0.18619925</x:v>
      </x:c>
      <x:c r="R311" s="99" t="n">
        <x:v>0.007263875000000001</x:v>
      </x:c>
      <x:c r="S311" s="45"/>
      <x:c r="T311" s="45"/>
      <x:c r="U311" s="51" t="d">
        <x:v>2026-09-30T00:00:00.000Z</x:v>
      </x:c>
      <x:c r="V311" s="51" t="d">
        <x:v>2026-09-30T00:00:00.000Z</x:v>
      </x:c>
      <x:c r="W311" s="109" t="n">
        <x:v>9</x:v>
      </x:c>
      <x:c r="X311" s="109" t="n">
        <x:v>9</x:v>
      </x:c>
      <x:c r="Y311" s="45" t="str">
        <x:v>sbx-mex/Perfil_Tienda_DM</x:v>
      </x:c>
      <x:c r="Z311" s="45" t="str">
        <x:v>2a6b0d21379739482f0b4c7be9b0f9a022e15f5b</x:v>
      </x:c>
      <x:c r="AA311" s="45" t="str">
        <x:v>8456a41c5e02d454e70a2531577ffb2e29f73e57e44a7762de681d568aa4227a</x:v>
      </x:c>
    </x:row>
    <x:row r="312" ht="23" customHeight="1">
      <x:c r="A312" s="50" t="str">
        <x:v>38285</x:v>
      </x:c>
      <x:c r="B312" s="51" t="d">
        <x:v>2026-09-30T00:00:00.000Z</x:v>
      </x:c>
      <x:c r="C312" s="99" t="n">
        <x:v>0.352941</x:v>
      </x:c>
      <x:c r="D312" s="100" t="n">
        <x:v>6.706151444444444</x:v>
      </x:c>
      <x:c r="E312" s="100" t="n">
        <x:v>12.257061</x:v>
      </x:c>
      <x:c r="F312" s="99" t="n">
        <x:v>0.18124277777777778</x:v>
      </x:c>
      <x:c r="G312" s="99" t="n">
        <x:v>-0.200013</x:v>
      </x:c>
      <x:c r="H312" s="101" t="n">
        <x:v>10675189</x:v>
      </x:c>
      <x:c r="I312" s="99" t="n">
        <x:v>0.01108748088645184</x:v>
      </x:c>
      <x:c r="J312" s="100" t="n">
        <x:v>-25.666666666666668</x:v>
      </x:c>
      <x:c r="K312" s="100"/>
      <x:c r="L312" s="99" t="n">
        <x:v>0.4934444444444444</x:v>
      </x:c>
      <x:c r="M312" s="99" t="n">
        <x:v>0.6533333333333333</x:v>
      </x:c>
      <x:c r="N312" s="99"/>
      <x:c r="O312" s="99" t="n">
        <x:v>0.38196033333333335</x:v>
      </x:c>
      <x:c r="P312" s="99" t="n">
        <x:v>0.014469111111111111</x:v>
      </x:c>
      <x:c r="Q312" s="99" t="n">
        <x:v>0.14869644444444444</x:v>
      </x:c>
      <x:c r="R312" s="99" t="n">
        <x:v>0.3956878888888889</x:v>
      </x:c>
      <x:c r="S312" s="45"/>
      <x:c r="T312" s="45"/>
      <x:c r="U312" s="51" t="d">
        <x:v>2026-09-30T00:00:00.000Z</x:v>
      </x:c>
      <x:c r="V312" s="51" t="d">
        <x:v>2026-09-30T00:00:00.000Z</x:v>
      </x:c>
      <x:c r="W312" s="109" t="n">
        <x:v>9</x:v>
      </x:c>
      <x:c r="X312" s="109" t="n">
        <x:v>9</x:v>
      </x:c>
      <x:c r="Y312" s="45" t="str">
        <x:v>sbx-mex/Perfil_Tienda_DM</x:v>
      </x:c>
      <x:c r="Z312" s="45" t="str">
        <x:v>2a6b0d21379739482f0b4c7be9b0f9a022e15f5b</x:v>
      </x:c>
      <x:c r="AA312" s="45" t="str">
        <x:v>8456a41c5e02d454e70a2531577ffb2e29f73e57e44a7762de681d568aa4227a</x:v>
      </x:c>
    </x:row>
    <x:row r="313" ht="23" customHeight="1">
      <x:c r="A313" s="50" t="str">
        <x:v>38291</x:v>
      </x:c>
      <x:c r="B313" s="51" t="d">
        <x:v>2026-09-30T00:00:00.000Z</x:v>
      </x:c>
      <x:c r="C313" s="99" t="n">
        <x:v>0.359281</x:v>
      </x:c>
      <x:c r="D313" s="100" t="n">
        <x:v>7.704188222222222</x:v>
      </x:c>
      <x:c r="E313" s="100" t="n">
        <x:v>14.125670777777778</x:v>
      </x:c>
      <x:c r="F313" s="99" t="n">
        <x:v>0.1789708888888889</x:v>
      </x:c>
      <x:c r="G313" s="99" t="n">
        <x:v>0.019588666666666667</x:v>
      </x:c>
      <x:c r="H313" s="101" t="n">
        <x:v>14062340</x:v>
      </x:c>
      <x:c r="I313" s="99" t="n">
        <x:v>-0.10131372563094243</x:v>
      </x:c>
      <x:c r="J313" s="100" t="n">
        <x:v>5.333333333333333</x:v>
      </x:c>
      <x:c r="K313" s="100"/>
      <x:c r="L313" s="99" t="n">
        <x:v>0.36877777777777776</x:v>
      </x:c>
      <x:c r="M313" s="99" t="n">
        <x:v>0.52</x:v>
      </x:c>
      <x:c r="N313" s="99"/>
      <x:c r="O313" s="99" t="n">
        <x:v>0.3637351111111111</x:v>
      </x:c>
      <x:c r="P313" s="99" t="n">
        <x:v>0.04715866666666667</x:v>
      </x:c>
      <x:c r="Q313" s="99" t="n">
        <x:v>0.22969344444444445</x:v>
      </x:c>
      <x:c r="R313" s="99" t="n">
        <x:v>-0.06897844444444444</x:v>
      </x:c>
      <x:c r="S313" s="45"/>
      <x:c r="T313" s="45"/>
      <x:c r="U313" s="51" t="d">
        <x:v>2026-09-30T00:00:00.000Z</x:v>
      </x:c>
      <x:c r="V313" s="51" t="d">
        <x:v>2026-09-30T00:00:00.000Z</x:v>
      </x:c>
      <x:c r="W313" s="109" t="n">
        <x:v>9</x:v>
      </x:c>
      <x:c r="X313" s="109" t="n">
        <x:v>9</x:v>
      </x:c>
      <x:c r="Y313" s="45" t="str">
        <x:v>sbx-mex/Perfil_Tienda_DM</x:v>
      </x:c>
      <x:c r="Z313" s="45" t="str">
        <x:v>2a6b0d21379739482f0b4c7be9b0f9a022e15f5b</x:v>
      </x:c>
      <x:c r="AA313" s="45" t="str">
        <x:v>8456a41c5e02d454e70a2531577ffb2e29f73e57e44a7762de681d568aa4227a</x:v>
      </x:c>
    </x:row>
    <x:row r="314" ht="23" customHeight="1">
      <x:c r="A314" s="50" t="str">
        <x:v>38389</x:v>
      </x:c>
      <x:c r="B314" s="51" t="d">
        <x:v>2026-09-30T00:00:00.000Z</x:v>
      </x:c>
      <x:c r="C314" s="99" t="n">
        <x:v>0.504202</x:v>
      </x:c>
      <x:c r="D314" s="100" t="n">
        <x:v>6.377045222222222</x:v>
      </x:c>
      <x:c r="E314" s="100" t="n">
        <x:v>13.01461311111111</x:v>
      </x:c>
      <x:c r="F314" s="99" t="n">
        <x:v>0.20137922222222224</x:v>
      </x:c>
      <x:c r="G314" s="99" t="n">
        <x:v>0.00791277777777778</x:v>
      </x:c>
      <x:c r="H314" s="101" t="n">
        <x:v>9383845</x:v>
      </x:c>
      <x:c r="I314" s="99" t="n">
        <x:v>-0.06438226199394459</x:v>
      </x:c>
      <x:c r="J314" s="100" t="n">
        <x:v>-11.444444444444445</x:v>
      </x:c>
      <x:c r="K314" s="100"/>
      <x:c r="L314" s="99" t="n">
        <x:v>0.5052222222222222</x:v>
      </x:c>
      <x:c r="M314" s="99" t="n">
        <x:v>0.6155555555555555</x:v>
      </x:c>
      <x:c r="N314" s="99"/>
      <x:c r="O314" s="99" t="n">
        <x:v>0.39100466666666667</x:v>
      </x:c>
      <x:c r="P314" s="99" t="n">
        <x:v>0.02890955555555554</x:v>
      </x:c>
      <x:c r="Q314" s="99" t="n">
        <x:v>0.07455455555555555</x:v>
      </x:c>
      <x:c r="R314" s="99" t="n">
        <x:v>-0.05945277777777777</x:v>
      </x:c>
      <x:c r="S314" s="45"/>
      <x:c r="T314" s="45"/>
      <x:c r="U314" s="51" t="d">
        <x:v>2026-09-30T00:00:00.000Z</x:v>
      </x:c>
      <x:c r="V314" s="51" t="d">
        <x:v>2026-09-30T00:00:00.000Z</x:v>
      </x:c>
      <x:c r="W314" s="109" t="n">
        <x:v>9</x:v>
      </x:c>
      <x:c r="X314" s="109" t="n">
        <x:v>9</x:v>
      </x:c>
      <x:c r="Y314" s="45" t="str">
        <x:v>sbx-mex/Perfil_Tienda_DM</x:v>
      </x:c>
      <x:c r="Z314" s="45" t="str">
        <x:v>2a6b0d21379739482f0b4c7be9b0f9a022e15f5b</x:v>
      </x:c>
      <x:c r="AA314" s="45" t="str">
        <x:v>8456a41c5e02d454e70a2531577ffb2e29f73e57e44a7762de681d568aa4227a</x:v>
      </x:c>
    </x:row>
    <x:row r="315" ht="23" customHeight="1">
      <x:c r="A315" s="50" t="str">
        <x:v>38404</x:v>
      </x:c>
      <x:c r="B315" s="51" t="d">
        <x:v>2026-09-30T00:00:00.000Z</x:v>
      </x:c>
      <x:c r="C315" s="99" t="n">
        <x:v>0.216216</x:v>
      </x:c>
      <x:c r="D315" s="100" t="n">
        <x:v>7.703018444444445</x:v>
      </x:c>
      <x:c r="E315" s="100" t="n">
        <x:v>15.169140333333335</x:v>
      </x:c>
      <x:c r="F315" s="99" t="n">
        <x:v>0.17163222222222224</x:v>
      </x:c>
      <x:c r="G315" s="99" t="n">
        <x:v>-0.009492999999999998</x:v>
      </x:c>
      <x:c r="H315" s="101" t="n">
        <x:v>9552256</x:v>
      </x:c>
      <x:c r="I315" s="99" t="n">
        <x:v>-0.07278672130818187</x:v>
      </x:c>
      <x:c r="J315" s="100" t="n">
        <x:v>-7.555555555555555</x:v>
      </x:c>
      <x:c r="K315" s="100"/>
      <x:c r="L315" s="99" t="n">
        <x:v>0.5694444444444444</x:v>
      </x:c>
      <x:c r="M315" s="99" t="n">
        <x:v>0.6766666666666666</x:v>
      </x:c>
      <x:c r="N315" s="99"/>
      <x:c r="O315" s="99" t="n">
        <x:v>0.39161366666666664</x:v>
      </x:c>
      <x:c r="P315" s="99" t="n">
        <x:v>0.023291222222222224</x:v>
      </x:c>
      <x:c r="Q315" s="99" t="n">
        <x:v>0.19338266666666667</x:v>
      </x:c>
      <x:c r="R315" s="99" t="n">
        <x:v>-0.0011904444444444384</x:v>
      </x:c>
      <x:c r="S315" s="45"/>
      <x:c r="T315" s="45"/>
      <x:c r="U315" s="51" t="d">
        <x:v>2026-09-30T00:00:00.000Z</x:v>
      </x:c>
      <x:c r="V315" s="51" t="d">
        <x:v>2026-09-30T00:00:00.000Z</x:v>
      </x:c>
      <x:c r="W315" s="109" t="n">
        <x:v>9</x:v>
      </x:c>
      <x:c r="X315" s="109" t="n">
        <x:v>9</x:v>
      </x:c>
      <x:c r="Y315" s="45" t="str">
        <x:v>sbx-mex/Perfil_Tienda_DM</x:v>
      </x:c>
      <x:c r="Z315" s="45" t="str">
        <x:v>2a6b0d21379739482f0b4c7be9b0f9a022e15f5b</x:v>
      </x:c>
      <x:c r="AA315" s="45" t="str">
        <x:v>8456a41c5e02d454e70a2531577ffb2e29f73e57e44a7762de681d568aa4227a</x:v>
      </x:c>
    </x:row>
    <x:row r="316" ht="23" customHeight="1">
      <x:c r="A316" s="50" t="str">
        <x:v>38422</x:v>
      </x:c>
      <x:c r="B316" s="51" t="d">
        <x:v>2026-09-30T00:00:00.000Z</x:v>
      </x:c>
      <x:c r="C316" s="99" t="n">
        <x:v>0</x:v>
      </x:c>
      <x:c r="D316" s="100" t="n">
        <x:v>7.207735333333334</x:v>
      </x:c>
      <x:c r="E316" s="100" t="n">
        <x:v>11.640012888888888</x:v>
      </x:c>
      <x:c r="F316" s="99" t="n">
        <x:v>0.2255638888888889</x:v>
      </x:c>
      <x:c r="G316" s="99" t="n">
        <x:v>0.024738333333333327</x:v>
      </x:c>
      <x:c r="H316" s="101" t="n">
        <x:v>5823956</x:v>
      </x:c>
      <x:c r="I316" s="99" t="n">
        <x:v>-0.24165880789955152</x:v>
      </x:c>
      <x:c r="J316" s="100" t="n">
        <x:v>-21.77777777777778</x:v>
      </x:c>
      <x:c r="K316" s="100"/>
      <x:c r="L316" s="99" t="n">
        <x:v>0.7686666666666667</x:v>
      </x:c>
      <x:c r="M316" s="99" t="n">
        <x:v>0.6533333333333333</x:v>
      </x:c>
      <x:c r="N316" s="99"/>
      <x:c r="O316" s="99" t="n">
        <x:v>0.4786897777777777</x:v>
      </x:c>
      <x:c r="P316" s="99" t="n">
        <x:v>0.04221077777777778</x:v>
      </x:c>
      <x:c r="Q316" s="99" t="n">
        <x:v>0.10064155555555555</x:v>
      </x:c>
      <x:c r="R316" s="99" t="n">
        <x:v>-0.0718228888888889</x:v>
      </x:c>
      <x:c r="S316" s="45"/>
      <x:c r="T316" s="45"/>
      <x:c r="U316" s="51" t="d">
        <x:v>2026-09-30T00:00:00.000Z</x:v>
      </x:c>
      <x:c r="V316" s="51" t="d">
        <x:v>2026-09-30T00:00:00.000Z</x:v>
      </x:c>
      <x:c r="W316" s="109" t="n">
        <x:v>9</x:v>
      </x:c>
      <x:c r="X316" s="109" t="n">
        <x:v>9</x:v>
      </x:c>
      <x:c r="Y316" s="45" t="str">
        <x:v>sbx-mex/Perfil_Tienda_DM</x:v>
      </x:c>
      <x:c r="Z316" s="45" t="str">
        <x:v>2a6b0d21379739482f0b4c7be9b0f9a022e15f5b</x:v>
      </x:c>
      <x:c r="AA316" s="45" t="str">
        <x:v>8456a41c5e02d454e70a2531577ffb2e29f73e57e44a7762de681d568aa4227a</x:v>
      </x:c>
    </x:row>
    <x:row r="317" ht="23" customHeight="1">
      <x:c r="A317" s="50" t="str">
        <x:v>38433</x:v>
      </x:c>
      <x:c r="B317" s="51" t="d">
        <x:v>2026-09-30T00:00:00.000Z</x:v>
      </x:c>
      <x:c r="C317" s="99" t="n">
        <x:v>0.076433</x:v>
      </x:c>
      <x:c r="D317" s="100" t="n">
        <x:v>6.775091777777778</x:v>
      </x:c>
      <x:c r="E317" s="100" t="n">
        <x:v>13.038659666666668</x:v>
      </x:c>
      <x:c r="F317" s="99" t="n">
        <x:v>0.18709433333333333</x:v>
      </x:c>
      <x:c r="G317" s="99" t="n">
        <x:v>0.005623333333333332</x:v>
      </x:c>
      <x:c r="H317" s="101" t="n">
        <x:v>12341625</x:v>
      </x:c>
      <x:c r="I317" s="99" t="n">
        <x:v>-0.0826875173367535</x:v>
      </x:c>
      <x:c r="J317" s="100" t="n">
        <x:v>-5</x:v>
      </x:c>
      <x:c r="K317" s="100"/>
      <x:c r="L317" s="99" t="n">
        <x:v>0.5838888888888889</x:v>
      </x:c>
      <x:c r="M317" s="99" t="n">
        <x:v>0.6355555555555555</x:v>
      </x:c>
      <x:c r="N317" s="99"/>
      <x:c r="O317" s="99" t="n">
        <x:v>0.38535088888888885</x:v>
      </x:c>
      <x:c r="P317" s="99" t="n">
        <x:v>0.005946666666666662</x:v>
      </x:c>
      <x:c r="Q317" s="99" t="n">
        <x:v>0.13077411111111112</x:v>
      </x:c>
      <x:c r="R317" s="99" t="n">
        <x:v>-0.02587566666666667</x:v>
      </x:c>
      <x:c r="S317" s="45"/>
      <x:c r="T317" s="45"/>
      <x:c r="U317" s="51" t="d">
        <x:v>2026-09-30T00:00:00.000Z</x:v>
      </x:c>
      <x:c r="V317" s="51" t="d">
        <x:v>2026-09-30T00:00:00.000Z</x:v>
      </x:c>
      <x:c r="W317" s="109" t="n">
        <x:v>9</x:v>
      </x:c>
      <x:c r="X317" s="109" t="n">
        <x:v>9</x:v>
      </x:c>
      <x:c r="Y317" s="45" t="str">
        <x:v>sbx-mex/Perfil_Tienda_DM</x:v>
      </x:c>
      <x:c r="Z317" s="45" t="str">
        <x:v>2a6b0d21379739482f0b4c7be9b0f9a022e15f5b</x:v>
      </x:c>
      <x:c r="AA317" s="45" t="str">
        <x:v>8456a41c5e02d454e70a2531577ffb2e29f73e57e44a7762de681d568aa4227a</x:v>
      </x:c>
    </x:row>
    <x:row r="318" ht="23" customHeight="1">
      <x:c r="A318" s="50" t="str">
        <x:v>38555</x:v>
      </x:c>
      <x:c r="B318" s="51" t="d">
        <x:v>2026-09-30T00:00:00.000Z</x:v>
      </x:c>
      <x:c r="C318" s="99" t="n">
        <x:v>0.494118</x:v>
      </x:c>
      <x:c r="D318" s="100" t="n">
        <x:v>6.743989333333333</x:v>
      </x:c>
      <x:c r="E318" s="100" t="n">
        <x:v>13.103155555555555</x:v>
      </x:c>
      <x:c r="F318" s="99" t="n">
        <x:v>0.17492166666666667</x:v>
      </x:c>
      <x:c r="G318" s="99" t="n">
        <x:v>-0.011602333333333333</x:v>
      </x:c>
      <x:c r="H318" s="101" t="n">
        <x:v>13467257</x:v>
      </x:c>
      <x:c r="I318" s="99" t="n">
        <x:v>-0.0255571546506852</x:v>
      </x:c>
      <x:c r="J318" s="100" t="n">
        <x:v>-29.444444444444443</x:v>
      </x:c>
      <x:c r="K318" s="100"/>
      <x:c r="L318" s="99" t="n">
        <x:v>0.516888888888889</x:v>
      </x:c>
      <x:c r="M318" s="99" t="n">
        <x:v>0.6077777777777778</x:v>
      </x:c>
      <x:c r="N318" s="99"/>
      <x:c r="O318" s="99" t="n">
        <x:v>0.377594</x:v>
      </x:c>
      <x:c r="P318" s="99" t="n">
        <x:v>0.012170222222222206</x:v>
      </x:c>
      <x:c r="Q318" s="99" t="n">
        <x:v>0.12922233333333333</x:v>
      </x:c>
      <x:c r="R318" s="99" t="n">
        <x:v>-0.035196</x:v>
      </x:c>
      <x:c r="S318" s="45"/>
      <x:c r="T318" s="45"/>
      <x:c r="U318" s="51" t="d">
        <x:v>2026-09-30T00:00:00.000Z</x:v>
      </x:c>
      <x:c r="V318" s="51" t="d">
        <x:v>2026-09-30T00:00:00.000Z</x:v>
      </x:c>
      <x:c r="W318" s="109" t="n">
        <x:v>9</x:v>
      </x:c>
      <x:c r="X318" s="109" t="n">
        <x:v>9</x:v>
      </x:c>
      <x:c r="Y318" s="45" t="str">
        <x:v>sbx-mex/Perfil_Tienda_DM</x:v>
      </x:c>
      <x:c r="Z318" s="45" t="str">
        <x:v>2a6b0d21379739482f0b4c7be9b0f9a022e15f5b</x:v>
      </x:c>
      <x:c r="AA318" s="45" t="str">
        <x:v>8456a41c5e02d454e70a2531577ffb2e29f73e57e44a7762de681d568aa4227a</x:v>
      </x:c>
    </x:row>
    <x:row r="319" ht="23" customHeight="1">
      <x:c r="A319" s="50" t="str">
        <x:v>38613</x:v>
      </x:c>
      <x:c r="B319" s="51"/>
      <x:c r="C319" s="99"/>
      <x:c r="D319" s="100"/>
      <x:c r="E319" s="100"/>
      <x:c r="F319" s="99"/>
      <x:c r="G319" s="99"/>
      <x:c r="H319" s="101"/>
      <x:c r="I319" s="99"/>
      <x:c r="J319" s="100"/>
      <x:c r="K319" s="100"/>
      <x:c r="L319" s="99"/>
      <x:c r="M319" s="99"/>
      <x:c r="N319" s="99"/>
      <x:c r="O319" s="99"/>
      <x:c r="P319" s="99"/>
      <x:c r="Q319" s="99"/>
      <x:c r="R319" s="99"/>
      <x:c r="S319" s="45"/>
      <x:c r="T319" s="45"/>
      <x:c r="U319" s="51"/>
      <x:c r="V319" s="51"/>
      <x:c r="W319" s="109" t="n">
        <x:v>0</x:v>
      </x:c>
      <x:c r="X319" s="109" t="n">
        <x:v>0</x:v>
      </x:c>
      <x:c r="Y319" s="45"/>
      <x:c r="Z319" s="45"/>
      <x:c r="AA319" s="45"/>
    </x:row>
    <x:row r="320" ht="23" customHeight="1">
      <x:c r="A320" s="50" t="str">
        <x:v>38654</x:v>
      </x:c>
      <x:c r="B320" s="51" t="d">
        <x:v>2026-09-30T00:00:00.000Z</x:v>
      </x:c>
      <x:c r="C320" s="99" t="n">
        <x:v>0</x:v>
      </x:c>
      <x:c r="D320" s="100" t="n">
        <x:v>5.843541222222222</x:v>
      </x:c>
      <x:c r="E320" s="100" t="n">
        <x:v>11.611279666666666</x:v>
      </x:c>
      <x:c r="F320" s="99" t="n">
        <x:v>0.20503144444444443</x:v>
      </x:c>
      <x:c r="G320" s="99" t="n">
        <x:v>-0.0026461111111111112</x:v>
      </x:c>
      <x:c r="H320" s="101" t="n">
        <x:v>7159385</x:v>
      </x:c>
      <x:c r="I320" s="99" t="n">
        <x:v>-0.053336646234479757</x:v>
      </x:c>
      <x:c r="J320" s="100" t="n">
        <x:v>-19.77777777777778</x:v>
      </x:c>
      <x:c r="K320" s="100"/>
      <x:c r="L320" s="99" t="n">
        <x:v>0.6185555555555555</x:v>
      </x:c>
      <x:c r="M320" s="99" t="n">
        <x:v>0.7055555555555555</x:v>
      </x:c>
      <x:c r="N320" s="99"/>
      <x:c r="O320" s="99" t="n">
        <x:v>0.3918024444444444</x:v>
      </x:c>
      <x:c r="P320" s="99" t="n">
        <x:v>0.011969222222222218</x:v>
      </x:c>
      <x:c r="Q320" s="99" t="n">
        <x:v>0.03841177777777778</x:v>
      </x:c>
      <x:c r="R320" s="99" t="n">
        <x:v>-0.024995666666666663</x:v>
      </x:c>
      <x:c r="S320" s="45"/>
      <x:c r="T320" s="45"/>
      <x:c r="U320" s="51" t="d">
        <x:v>2026-09-30T00:00:00.000Z</x:v>
      </x:c>
      <x:c r="V320" s="51" t="d">
        <x:v>2026-09-30T00:00:00.000Z</x:v>
      </x:c>
      <x:c r="W320" s="109" t="n">
        <x:v>9</x:v>
      </x:c>
      <x:c r="X320" s="109" t="n">
        <x:v>9</x:v>
      </x:c>
      <x:c r="Y320" s="45" t="str">
        <x:v>sbx-mex/Perfil_Tienda_DM</x:v>
      </x:c>
      <x:c r="Z320" s="45" t="str">
        <x:v>2a6b0d21379739482f0b4c7be9b0f9a022e15f5b</x:v>
      </x:c>
      <x:c r="AA320" s="45" t="str">
        <x:v>8456a41c5e02d454e70a2531577ffb2e29f73e57e44a7762de681d568aa4227a</x:v>
      </x:c>
    </x:row>
    <x:row r="321" ht="23" customHeight="1">
      <x:c r="A321" s="50" t="str">
        <x:v>38681</x:v>
      </x:c>
      <x:c r="B321" s="51" t="d">
        <x:v>2026-09-30T00:00:00.000Z</x:v>
      </x:c>
      <x:c r="C321" s="99" t="n">
        <x:v>0.080537</x:v>
      </x:c>
      <x:c r="D321" s="100" t="n">
        <x:v>7.153414</x:v>
      </x:c>
      <x:c r="E321" s="100" t="n">
        <x:v>13.620196777777778</x:v>
      </x:c>
      <x:c r="F321" s="99" t="n">
        <x:v>0.17708444444444446</x:v>
      </x:c>
      <x:c r="G321" s="99" t="n">
        <x:v>0.0009057777777777739</x:v>
      </x:c>
      <x:c r="H321" s="101" t="n">
        <x:v>11718778</x:v>
      </x:c>
      <x:c r="I321" s="99" t="n">
        <x:v>-0.1066751351412718</x:v>
      </x:c>
      <x:c r="J321" s="100" t="n">
        <x:v>-44</x:v>
      </x:c>
      <x:c r="K321" s="100"/>
      <x:c r="L321" s="99" t="n">
        <x:v>0.5648888888888889</x:v>
      </x:c>
      <x:c r="M321" s="99" t="n">
        <x:v>0.6377777777777778</x:v>
      </x:c>
      <x:c r="N321" s="99"/>
      <x:c r="O321" s="99" t="n">
        <x:v>0.38706344444444446</x:v>
      </x:c>
      <x:c r="P321" s="99" t="n">
        <x:v>0.01207277777777779</x:v>
      </x:c>
      <x:c r="Q321" s="99" t="n">
        <x:v>0.16331455555555557</x:v>
      </x:c>
      <x:c r="R321" s="99" t="n">
        <x:v>-0.014996111111111111</x:v>
      </x:c>
      <x:c r="S321" s="45"/>
      <x:c r="T321" s="45"/>
      <x:c r="U321" s="51" t="d">
        <x:v>2026-09-30T00:00:00.000Z</x:v>
      </x:c>
      <x:c r="V321" s="51" t="d">
        <x:v>2026-09-30T00:00:00.000Z</x:v>
      </x:c>
      <x:c r="W321" s="109" t="n">
        <x:v>9</x:v>
      </x:c>
      <x:c r="X321" s="109" t="n">
        <x:v>9</x:v>
      </x:c>
      <x:c r="Y321" s="45" t="str">
        <x:v>sbx-mex/Perfil_Tienda_DM</x:v>
      </x:c>
      <x:c r="Z321" s="45" t="str">
        <x:v>2a6b0d21379739482f0b4c7be9b0f9a022e15f5b</x:v>
      </x:c>
      <x:c r="AA321" s="45" t="str">
        <x:v>8456a41c5e02d454e70a2531577ffb2e29f73e57e44a7762de681d568aa4227a</x:v>
      </x:c>
    </x:row>
    <x:row r="322" ht="23" customHeight="1">
      <x:c r="A322" s="50" t="str">
        <x:v>43188</x:v>
      </x:c>
      <x:c r="B322" s="51" t="d">
        <x:v>2026-09-30T00:00:00.000Z</x:v>
      </x:c>
      <x:c r="C322" s="99" t="n">
        <x:v>0.552632</x:v>
      </x:c>
      <x:c r="D322" s="100" t="n">
        <x:v>5.26854125</x:v>
      </x:c>
      <x:c r="E322" s="100" t="n">
        <x:v>10.580148874999999</x:v>
      </x:c>
      <x:c r="F322" s="99" t="n">
        <x:v>0.20982800000000001</x:v>
      </x:c>
      <x:c r="G322" s="99" t="n">
        <x:v>0.023255500000000002</x:v>
      </x:c>
      <x:c r="H322" s="101" t="n">
        <x:v>10384888</x:v>
      </x:c>
      <x:c r="I322" s="99" t="n">
        <x:v>-0.19026789413667688</x:v>
      </x:c>
      <x:c r="J322" s="100"/>
      <x:c r="K322" s="100"/>
      <x:c r="L322" s="99" t="n">
        <x:v>0.4607777777777778</x:v>
      </x:c>
      <x:c r="M322" s="99" t="n">
        <x:v>0.61</x:v>
      </x:c>
      <x:c r="N322" s="99"/>
      <x:c r="O322" s="99" t="n">
        <x:v>0.2900146666666667</x:v>
      </x:c>
      <x:c r="P322" s="99" t="n">
        <x:v>-0.036623249999999996</x:v>
      </x:c>
      <x:c r="Q322" s="99" t="n">
        <x:v>0.19734366666666667</x:v>
      </x:c>
      <x:c r="R322" s="99" t="n">
        <x:v>-0.06013500000000001</x:v>
      </x:c>
      <x:c r="S322" s="45" t="str">
        <x:v>01:37</x:v>
      </x:c>
      <x:c r="T322" s="45"/>
      <x:c r="U322" s="51" t="d">
        <x:v>2026-09-30T00:00:00.000Z</x:v>
      </x:c>
      <x:c r="V322" s="51" t="d">
        <x:v>2026-09-30T00:00:00.000Z</x:v>
      </x:c>
      <x:c r="W322" s="109" t="n">
        <x:v>9</x:v>
      </x:c>
      <x:c r="X322" s="109" t="n">
        <x:v>9</x:v>
      </x:c>
      <x:c r="Y322" s="45" t="str">
        <x:v>sbx-mex/Perfil_Tienda_DM</x:v>
      </x:c>
      <x:c r="Z322" s="45" t="str">
        <x:v>2a6b0d21379739482f0b4c7be9b0f9a022e15f5b</x:v>
      </x:c>
      <x:c r="AA322" s="45" t="str">
        <x:v>8456a41c5e02d454e70a2531577ffb2e29f73e57e44a7762de681d568aa4227a</x:v>
      </x:c>
    </x:row>
    <x:row r="323" ht="23" customHeight="1">
      <x:c r="A323" s="50" t="str">
        <x:v>43248</x:v>
      </x:c>
      <x:c r="B323" s="51" t="d">
        <x:v>2026-09-30T00:00:00.000Z</x:v>
      </x:c>
      <x:c r="C323" s="99" t="n">
        <x:v>0</x:v>
      </x:c>
      <x:c r="D323" s="100"/>
      <x:c r="E323" s="100"/>
      <x:c r="F323" s="99" t="n">
        <x:v>0.1</x:v>
      </x:c>
      <x:c r="G323" s="99"/>
      <x:c r="H323" s="101" t="n">
        <x:v>15073</x:v>
      </x:c>
      <x:c r="I323" s="99"/>
      <x:c r="J323" s="100"/>
      <x:c r="K323" s="100"/>
      <x:c r="L323" s="99" t="n">
        <x:v>0.4</x:v>
      </x:c>
      <x:c r="M323" s="99" t="n">
        <x:v>0.8</x:v>
      </x:c>
      <x:c r="N323" s="99"/>
      <x:c r="O323" s="99" t="n">
        <x:v>0.336</x:v>
      </x:c>
      <x:c r="P323" s="99"/>
      <x:c r="Q323" s="99" t="n">
        <x:v>-0.050096</x:v>
      </x:c>
      <x:c r="R323" s="99"/>
      <x:c r="S323" s="45"/>
      <x:c r="T323" s="45"/>
      <x:c r="U323" s="51" t="d">
        <x:v>2026-09-30T00:00:00.000Z</x:v>
      </x:c>
      <x:c r="V323" s="51" t="d">
        <x:v>2026-09-30T00:00:00.000Z</x:v>
      </x:c>
      <x:c r="W323" s="109" t="n">
        <x:v>1</x:v>
      </x:c>
      <x:c r="X323" s="109" t="n">
        <x:v>1</x:v>
      </x:c>
      <x:c r="Y323" s="45" t="str">
        <x:v>sbx-mex/Perfil_Tienda_DM</x:v>
      </x:c>
      <x:c r="Z323" s="45" t="str">
        <x:v>2a6b0d21379739482f0b4c7be9b0f9a022e15f5b</x:v>
      </x:c>
      <x:c r="AA323" s="45" t="str">
        <x:v>8456a41c5e02d454e70a2531577ffb2e29f73e57e44a7762de681d568aa4227a</x:v>
      </x:c>
    </x:row>
    <x:row r="324" ht="23" customHeight="1">
      <x:c r="A324" s="50" t="str">
        <x:v>38111</x:v>
      </x:c>
      <x:c r="B324" s="51" t="d">
        <x:v>2026-09-30T00:00:00.000Z</x:v>
      </x:c>
      <x:c r="C324" s="99" t="n">
        <x:v>0.324324</x:v>
      </x:c>
      <x:c r="D324" s="100" t="n">
        <x:v>7.003898333333334</x:v>
      </x:c>
      <x:c r="E324" s="100" t="n">
        <x:v>13.552214222222222</x:v>
      </x:c>
      <x:c r="F324" s="99" t="n">
        <x:v>0.15961444444444442</x:v>
      </x:c>
      <x:c r="G324" s="99" t="n">
        <x:v>-0.012776333333333337</x:v>
      </x:c>
      <x:c r="H324" s="101" t="n">
        <x:v>15520858</x:v>
      </x:c>
      <x:c r="I324" s="99" t="n">
        <x:v>0.005040901575976919</x:v>
      </x:c>
      <x:c r="J324" s="100" t="n">
        <x:v>-14.555555555555555</x:v>
      </x:c>
      <x:c r="K324" s="100"/>
      <x:c r="L324" s="99" t="n">
        <x:v>0.5203333333333333</x:v>
      </x:c>
      <x:c r="M324" s="99" t="n">
        <x:v>0.6222222222222222</x:v>
      </x:c>
      <x:c r="N324" s="99"/>
      <x:c r="O324" s="99" t="n">
        <x:v>0.36976011111111107</x:v>
      </x:c>
      <x:c r="P324" s="99" t="n">
        <x:v>0.043017666666666655</x:v>
      </x:c>
      <x:c r="Q324" s="99" t="n">
        <x:v>0.044726555555555554</x:v>
      </x:c>
      <x:c r="R324" s="99" t="n">
        <x:v>-0.028085333333333334</x:v>
      </x:c>
      <x:c r="S324" s="45"/>
      <x:c r="T324" s="45"/>
      <x:c r="U324" s="51" t="d">
        <x:v>2026-09-30T00:00:00.000Z</x:v>
      </x:c>
      <x:c r="V324" s="51" t="d">
        <x:v>2026-09-30T00:00:00.000Z</x:v>
      </x:c>
      <x:c r="W324" s="109" t="n">
        <x:v>9</x:v>
      </x:c>
      <x:c r="X324" s="109" t="n">
        <x:v>9</x:v>
      </x:c>
      <x:c r="Y324" s="45" t="str">
        <x:v>sbx-mex/Perfil_Tienda_DM</x:v>
      </x:c>
      <x:c r="Z324" s="45" t="str">
        <x:v>2a6b0d21379739482f0b4c7be9b0f9a022e15f5b</x:v>
      </x:c>
      <x:c r="AA324" s="45" t="str">
        <x:v>8456a41c5e02d454e70a2531577ffb2e29f73e57e44a7762de681d568aa4227a</x:v>
      </x:c>
    </x:row>
    <x:row r="325" ht="23" customHeight="1">
      <x:c r="A325" s="50" t="str">
        <x:v>38118</x:v>
      </x:c>
      <x:c r="B325" s="51" t="d">
        <x:v>2026-09-30T00:00:00.000Z</x:v>
      </x:c>
      <x:c r="C325" s="99" t="n">
        <x:v>0.229665</x:v>
      </x:c>
      <x:c r="D325" s="100" t="n">
        <x:v>6.953247777777778</x:v>
      </x:c>
      <x:c r="E325" s="100" t="n">
        <x:v>14.712727111111112</x:v>
      </x:c>
      <x:c r="F325" s="99" t="n">
        <x:v>0.15859166666666666</x:v>
      </x:c>
      <x:c r="G325" s="99" t="n">
        <x:v>-0.05641611111111111</x:v>
      </x:c>
      <x:c r="H325" s="101" t="n">
        <x:v>18736641</x:v>
      </x:c>
      <x:c r="I325" s="99" t="n">
        <x:v>0.12988444119892772</x:v>
      </x:c>
      <x:c r="J325" s="100" t="n">
        <x:v>-21.77777777777778</x:v>
      </x:c>
      <x:c r="K325" s="100"/>
      <x:c r="L325" s="99" t="n">
        <x:v>0.502</x:v>
      </x:c>
      <x:c r="M325" s="99" t="n">
        <x:v>0.5888888888888889</x:v>
      </x:c>
      <x:c r="N325" s="99"/>
      <x:c r="O325" s="99" t="n">
        <x:v>0.38000355555555554</x:v>
      </x:c>
      <x:c r="P325" s="99" t="n">
        <x:v>0.04485944444444445</x:v>
      </x:c>
      <x:c r="Q325" s="99" t="n">
        <x:v>0.16297766666666666</x:v>
      </x:c>
      <x:c r="R325" s="99" t="n">
        <x:v>0.09332722222222223</x:v>
      </x:c>
      <x:c r="S325" s="45"/>
      <x:c r="T325" s="45"/>
      <x:c r="U325" s="51" t="d">
        <x:v>2026-09-30T00:00:00.000Z</x:v>
      </x:c>
      <x:c r="V325" s="51" t="d">
        <x:v>2026-09-30T00:00:00.000Z</x:v>
      </x:c>
      <x:c r="W325" s="109" t="n">
        <x:v>9</x:v>
      </x:c>
      <x:c r="X325" s="109" t="n">
        <x:v>9</x:v>
      </x:c>
      <x:c r="Y325" s="45" t="str">
        <x:v>sbx-mex/Perfil_Tienda_DM</x:v>
      </x:c>
      <x:c r="Z325" s="45" t="str">
        <x:v>2a6b0d21379739482f0b4c7be9b0f9a022e15f5b</x:v>
      </x:c>
      <x:c r="AA325" s="45" t="str">
        <x:v>8456a41c5e02d454e70a2531577ffb2e29f73e57e44a7762de681d568aa4227a</x:v>
      </x:c>
    </x:row>
    <x:row r="326" ht="23" customHeight="1">
      <x:c r="A326" s="50" t="str">
        <x:v>38194</x:v>
      </x:c>
      <x:c r="B326" s="51" t="d">
        <x:v>2026-09-30T00:00:00.000Z</x:v>
      </x:c>
      <x:c r="C326" s="99" t="n">
        <x:v>0.553846</x:v>
      </x:c>
      <x:c r="D326" s="100" t="n">
        <x:v>6.3300833333333335</x:v>
      </x:c>
      <x:c r="E326" s="100" t="n">
        <x:v>13.66908488888889</x:v>
      </x:c>
      <x:c r="F326" s="99" t="n">
        <x:v>0.1585572222222222</x:v>
      </x:c>
      <x:c r="G326" s="99" t="n">
        <x:v>0.011813999999999998</x:v>
      </x:c>
      <x:c r="H326" s="101" t="n">
        <x:v>17012721</x:v>
      </x:c>
      <x:c r="I326" s="99" t="n">
        <x:v>-0.13124117836665594</x:v>
      </x:c>
      <x:c r="J326" s="100" t="n">
        <x:v>-44.666666666666664</x:v>
      </x:c>
      <x:c r="K326" s="100"/>
      <x:c r="L326" s="99" t="n">
        <x:v>0.5327777777777778</x:v>
      </x:c>
      <x:c r="M326" s="99" t="n">
        <x:v>0.6522222222222223</x:v>
      </x:c>
      <x:c r="N326" s="99"/>
      <x:c r="O326" s="99" t="n">
        <x:v>0.3660206666666667</x:v>
      </x:c>
      <x:c r="P326" s="99" t="n">
        <x:v>0.04337611111111113</x:v>
      </x:c>
      <x:c r="Q326" s="99" t="n">
        <x:v>0.16570855555555555</x:v>
      </x:c>
      <x:c r="R326" s="99" t="n">
        <x:v>-0.06850844444444444</x:v>
      </x:c>
      <x:c r="S326" s="45"/>
      <x:c r="T326" s="45"/>
      <x:c r="U326" s="51" t="d">
        <x:v>2026-09-30T00:00:00.000Z</x:v>
      </x:c>
      <x:c r="V326" s="51" t="d">
        <x:v>2026-09-30T00:00:00.000Z</x:v>
      </x:c>
      <x:c r="W326" s="109" t="n">
        <x:v>9</x:v>
      </x:c>
      <x:c r="X326" s="109" t="n">
        <x:v>9</x:v>
      </x:c>
      <x:c r="Y326" s="45" t="str">
        <x:v>sbx-mex/Perfil_Tienda_DM</x:v>
      </x:c>
      <x:c r="Z326" s="45" t="str">
        <x:v>2a6b0d21379739482f0b4c7be9b0f9a022e15f5b</x:v>
      </x:c>
      <x:c r="AA326" s="45" t="str">
        <x:v>8456a41c5e02d454e70a2531577ffb2e29f73e57e44a7762de681d568aa4227a</x:v>
      </x:c>
    </x:row>
    <x:row r="327" ht="23" customHeight="1">
      <x:c r="A327" s="50" t="str">
        <x:v>38219</x:v>
      </x:c>
      <x:c r="B327" s="51" t="d">
        <x:v>2026-09-30T00:00:00.000Z</x:v>
      </x:c>
      <x:c r="C327" s="99" t="n">
        <x:v>0.272727</x:v>
      </x:c>
      <x:c r="D327" s="100" t="n">
        <x:v>6.818201666666667</x:v>
      </x:c>
      <x:c r="E327" s="100" t="n">
        <x:v>15.883390777777777</x:v>
      </x:c>
      <x:c r="F327" s="99" t="n">
        <x:v>0.158762</x:v>
      </x:c>
      <x:c r="G327" s="99" t="n">
        <x:v>-0.007969444444444442</x:v>
      </x:c>
      <x:c r="H327" s="101" t="n">
        <x:v>16102611</x:v>
      </x:c>
      <x:c r="I327" s="99" t="n">
        <x:v>0.05549209416897316</x:v>
      </x:c>
      <x:c r="J327" s="100" t="n">
        <x:v>7.777777777777778</x:v>
      </x:c>
      <x:c r="K327" s="100"/>
      <x:c r="L327" s="99" t="n">
        <x:v>0.46222222222222226</x:v>
      </x:c>
      <x:c r="M327" s="99" t="n">
        <x:v>0.5855555555555556</x:v>
      </x:c>
      <x:c r="N327" s="99"/>
      <x:c r="O327" s="99" t="n">
        <x:v>0.366561</x:v>
      </x:c>
      <x:c r="P327" s="99" t="n">
        <x:v>0.027340111111111107</x:v>
      </x:c>
      <x:c r="Q327" s="99" t="n">
        <x:v>0.24921755555555553</x:v>
      </x:c>
      <x:c r="R327" s="99" t="n">
        <x:v>0.009313777777777782</x:v>
      </x:c>
      <x:c r="S327" s="45"/>
      <x:c r="T327" s="45"/>
      <x:c r="U327" s="51" t="d">
        <x:v>2026-09-30T00:00:00.000Z</x:v>
      </x:c>
      <x:c r="V327" s="51" t="d">
        <x:v>2026-09-30T00:00:00.000Z</x:v>
      </x:c>
      <x:c r="W327" s="109" t="n">
        <x:v>9</x:v>
      </x:c>
      <x:c r="X327" s="109" t="n">
        <x:v>9</x:v>
      </x:c>
      <x:c r="Y327" s="45" t="str">
        <x:v>sbx-mex/Perfil_Tienda_DM</x:v>
      </x:c>
      <x:c r="Z327" s="45" t="str">
        <x:v>2a6b0d21379739482f0b4c7be9b0f9a022e15f5b</x:v>
      </x:c>
      <x:c r="AA327" s="45" t="str">
        <x:v>8456a41c5e02d454e70a2531577ffb2e29f73e57e44a7762de681d568aa4227a</x:v>
      </x:c>
    </x:row>
    <x:row r="328" ht="23" customHeight="1">
      <x:c r="A328" s="50" t="str">
        <x:v>38349</x:v>
      </x:c>
      <x:c r="B328" s="51" t="d">
        <x:v>2026-09-30T00:00:00.000Z</x:v>
      </x:c>
      <x:c r="C328" s="99" t="n">
        <x:v>0.082759</x:v>
      </x:c>
      <x:c r="D328" s="100" t="n">
        <x:v>5.980254888888889</x:v>
      </x:c>
      <x:c r="E328" s="100" t="n">
        <x:v>12.244425</x:v>
      </x:c>
      <x:c r="F328" s="99" t="n">
        <x:v>0.20485622222222222</x:v>
      </x:c>
      <x:c r="G328" s="99" t="n">
        <x:v>0.03392133333333333</x:v>
      </x:c>
      <x:c r="H328" s="101" t="n">
        <x:v>9787244</x:v>
      </x:c>
      <x:c r="I328" s="99" t="n">
        <x:v>-0.18430854386062345</x:v>
      </x:c>
      <x:c r="J328" s="100" t="n">
        <x:v>-12.333333333333334</x:v>
      </x:c>
      <x:c r="K328" s="100"/>
      <x:c r="L328" s="99" t="n">
        <x:v>0.6088888888888888</x:v>
      </x:c>
      <x:c r="M328" s="99" t="n">
        <x:v>0.6266666666666666</x:v>
      </x:c>
      <x:c r="N328" s="99"/>
      <x:c r="O328" s="99" t="n">
        <x:v>0.3804384444444444</x:v>
      </x:c>
      <x:c r="P328" s="99" t="n">
        <x:v>0.009182222222222203</x:v>
      </x:c>
      <x:c r="Q328" s="99" t="n">
        <x:v>0.13702599999999998</x:v>
      </x:c>
      <x:c r="R328" s="99" t="n">
        <x:v>-0.05972444444444444</x:v>
      </x:c>
      <x:c r="S328" s="45"/>
      <x:c r="T328" s="45"/>
      <x:c r="U328" s="51" t="d">
        <x:v>2026-09-30T00:00:00.000Z</x:v>
      </x:c>
      <x:c r="V328" s="51" t="d">
        <x:v>2026-09-30T00:00:00.000Z</x:v>
      </x:c>
      <x:c r="W328" s="109" t="n">
        <x:v>9</x:v>
      </x:c>
      <x:c r="X328" s="109" t="n">
        <x:v>9</x:v>
      </x:c>
      <x:c r="Y328" s="45" t="str">
        <x:v>sbx-mex/Perfil_Tienda_DM</x:v>
      </x:c>
      <x:c r="Z328" s="45" t="str">
        <x:v>2a6b0d21379739482f0b4c7be9b0f9a022e15f5b</x:v>
      </x:c>
      <x:c r="AA328" s="45" t="str">
        <x:v>8456a41c5e02d454e70a2531577ffb2e29f73e57e44a7762de681d568aa4227a</x:v>
      </x:c>
    </x:row>
    <x:row r="329" ht="23" customHeight="1">
      <x:c r="A329" s="50" t="str">
        <x:v>38399</x:v>
      </x:c>
      <x:c r="B329" s="51" t="d">
        <x:v>2026-09-30T00:00:00.000Z</x:v>
      </x:c>
      <x:c r="C329" s="99" t="n">
        <x:v>0.321429</x:v>
      </x:c>
      <x:c r="D329" s="100" t="n">
        <x:v>8.400552</x:v>
      </x:c>
      <x:c r="E329" s="100" t="n">
        <x:v>18.045096222222224</x:v>
      </x:c>
      <x:c r="F329" s="99" t="n">
        <x:v>0.1470698888888889</x:v>
      </x:c>
      <x:c r="G329" s="99" t="n">
        <x:v>-0.006503111111111117</x:v>
      </x:c>
      <x:c r="H329" s="101" t="n">
        <x:v>19606337</x:v>
      </x:c>
      <x:c r="I329" s="99" t="n">
        <x:v>0.013295192054271876</x:v>
      </x:c>
      <x:c r="J329" s="100" t="n">
        <x:v>-5.888888888888889</x:v>
      </x:c>
      <x:c r="K329" s="100"/>
      <x:c r="L329" s="99" t="n">
        <x:v>0.4676666666666666</x:v>
      </x:c>
      <x:c r="M329" s="99" t="n">
        <x:v>0.5944444444444444</x:v>
      </x:c>
      <x:c r="N329" s="99"/>
      <x:c r="O329" s="99" t="n">
        <x:v>0.37174666666666667</x:v>
      </x:c>
      <x:c r="P329" s="99" t="n">
        <x:v>0.02700955555555557</x:v>
      </x:c>
      <x:c r="Q329" s="99" t="n">
        <x:v>0.25374677777777777</x:v>
      </x:c>
      <x:c r="R329" s="99" t="n">
        <x:v>-0.014746333333333349</x:v>
      </x:c>
      <x:c r="S329" s="45"/>
      <x:c r="T329" s="45"/>
      <x:c r="U329" s="51" t="d">
        <x:v>2026-09-30T00:00:00.000Z</x:v>
      </x:c>
      <x:c r="V329" s="51" t="d">
        <x:v>2026-09-30T00:00:00.000Z</x:v>
      </x:c>
      <x:c r="W329" s="109" t="n">
        <x:v>9</x:v>
      </x:c>
      <x:c r="X329" s="109" t="n">
        <x:v>9</x:v>
      </x:c>
      <x:c r="Y329" s="45" t="str">
        <x:v>sbx-mex/Perfil_Tienda_DM</x:v>
      </x:c>
      <x:c r="Z329" s="45" t="str">
        <x:v>2a6b0d21379739482f0b4c7be9b0f9a022e15f5b</x:v>
      </x:c>
      <x:c r="AA329" s="45" t="str">
        <x:v>8456a41c5e02d454e70a2531577ffb2e29f73e57e44a7762de681d568aa4227a</x:v>
      </x:c>
    </x:row>
    <x:row r="330" ht="23" customHeight="1">
      <x:c r="A330" s="50" t="str">
        <x:v>38405</x:v>
      </x:c>
      <x:c r="B330" s="51" t="d">
        <x:v>2026-09-30T00:00:00.000Z</x:v>
      </x:c>
      <x:c r="C330" s="99" t="n">
        <x:v>0.583333</x:v>
      </x:c>
      <x:c r="D330" s="100" t="n">
        <x:v>5.4110512222222225</x:v>
      </x:c>
      <x:c r="E330" s="100" t="n">
        <x:v>11.398189666666667</x:v>
      </x:c>
      <x:c r="F330" s="99" t="n">
        <x:v>0.19434155555555555</x:v>
      </x:c>
      <x:c r="G330" s="99" t="n">
        <x:v>0.023842666666666668</x:v>
      </x:c>
      <x:c r="H330" s="101" t="n">
        <x:v>10886807</x:v>
      </x:c>
      <x:c r="I330" s="99" t="n">
        <x:v>-0.14786045813668613</x:v>
      </x:c>
      <x:c r="J330" s="100" t="n">
        <x:v>-14.222222222222221</x:v>
      </x:c>
      <x:c r="K330" s="100"/>
      <x:c r="L330" s="99" t="n">
        <x:v>0.43300000000000005</x:v>
      </x:c>
      <x:c r="M330" s="99" t="n">
        <x:v>0.5555555555555556</x:v>
      </x:c>
      <x:c r="N330" s="99"/>
      <x:c r="O330" s="99" t="n">
        <x:v>0.3943023333333333</x:v>
      </x:c>
      <x:c r="P330" s="99" t="n">
        <x:v>0.03344377777777778</x:v>
      </x:c>
      <x:c r="Q330" s="99" t="n">
        <x:v>0.10690166666666667</x:v>
      </x:c>
      <x:c r="R330" s="99" t="n">
        <x:v>-0.08703466666666666</x:v>
      </x:c>
      <x:c r="S330" s="45"/>
      <x:c r="T330" s="45"/>
      <x:c r="U330" s="51" t="d">
        <x:v>2026-09-30T00:00:00.000Z</x:v>
      </x:c>
      <x:c r="V330" s="51" t="d">
        <x:v>2026-09-30T00:00:00.000Z</x:v>
      </x:c>
      <x:c r="W330" s="109" t="n">
        <x:v>9</x:v>
      </x:c>
      <x:c r="X330" s="109" t="n">
        <x:v>9</x:v>
      </x:c>
      <x:c r="Y330" s="45" t="str">
        <x:v>sbx-mex/Perfil_Tienda_DM</x:v>
      </x:c>
      <x:c r="Z330" s="45" t="str">
        <x:v>2a6b0d21379739482f0b4c7be9b0f9a022e15f5b</x:v>
      </x:c>
      <x:c r="AA330" s="45" t="str">
        <x:v>8456a41c5e02d454e70a2531577ffb2e29f73e57e44a7762de681d568aa4227a</x:v>
      </x:c>
    </x:row>
    <x:row r="331" ht="23" customHeight="1">
      <x:c r="A331" s="50" t="str">
        <x:v>38470</x:v>
      </x:c>
      <x:c r="B331" s="51" t="d">
        <x:v>2026-09-30T00:00:00.000Z</x:v>
      </x:c>
      <x:c r="C331" s="99" t="n">
        <x:v>0.690647</x:v>
      </x:c>
      <x:c r="D331" s="100" t="n">
        <x:v>8.263488333333335</x:v>
      </x:c>
      <x:c r="E331" s="100" t="n">
        <x:v>20.092930555555554</x:v>
      </x:c>
      <x:c r="F331" s="99" t="n">
        <x:v>0.22801611111111109</x:v>
      </x:c>
      <x:c r="G331" s="99" t="n">
        <x:v>-0.15716166666666667</x:v>
      </x:c>
      <x:c r="H331" s="101" t="n">
        <x:v>11593133</x:v>
      </x:c>
      <x:c r="I331" s="99" t="n">
        <x:v>1.1596028973785297</x:v>
      </x:c>
      <x:c r="J331" s="100" t="n">
        <x:v>6.555555555555555</x:v>
      </x:c>
      <x:c r="K331" s="100"/>
      <x:c r="L331" s="99" t="n">
        <x:v>0.442625</x:v>
      </x:c>
      <x:c r="M331" s="99" t="n">
        <x:v>0.5725</x:v>
      </x:c>
      <x:c r="N331" s="99"/>
      <x:c r="O331" s="99" t="n">
        <x:v>0.36650411111111114</x:v>
      </x:c>
      <x:c r="P331" s="99" t="n">
        <x:v>0.023899888888888894</x:v>
      </x:c>
      <x:c r="Q331" s="99" t="n">
        <x:v>-0.29809377777777774</x:v>
      </x:c>
      <x:c r="R331" s="99" t="n">
        <x:v>0.08995744444444448</x:v>
      </x:c>
      <x:c r="S331" s="45"/>
      <x:c r="T331" s="45"/>
      <x:c r="U331" s="51" t="d">
        <x:v>2026-09-30T00:00:00.000Z</x:v>
      </x:c>
      <x:c r="V331" s="51" t="d">
        <x:v>2026-09-30T00:00:00.000Z</x:v>
      </x:c>
      <x:c r="W331" s="109" t="n">
        <x:v>9</x:v>
      </x:c>
      <x:c r="X331" s="109" t="n">
        <x:v>9</x:v>
      </x:c>
      <x:c r="Y331" s="45" t="str">
        <x:v>sbx-mex/Perfil_Tienda_DM</x:v>
      </x:c>
      <x:c r="Z331" s="45" t="str">
        <x:v>2a6b0d21379739482f0b4c7be9b0f9a022e15f5b</x:v>
      </x:c>
      <x:c r="AA331" s="45" t="str">
        <x:v>8456a41c5e02d454e70a2531577ffb2e29f73e57e44a7762de681d568aa4227a</x:v>
      </x:c>
    </x:row>
    <x:row r="332" ht="23" customHeight="1">
      <x:c r="A332" s="50" t="str">
        <x:v>38557</x:v>
      </x:c>
      <x:c r="B332" s="51" t="d">
        <x:v>2026-09-30T00:00:00.000Z</x:v>
      </x:c>
      <x:c r="C332" s="99" t="n">
        <x:v>0.301887</x:v>
      </x:c>
      <x:c r="D332" s="100" t="n">
        <x:v>6.088054777777778</x:v>
      </x:c>
      <x:c r="E332" s="100" t="n">
        <x:v>12.875435666666668</x:v>
      </x:c>
      <x:c r="F332" s="99" t="n">
        <x:v>0.17243366666666668</x:v>
      </x:c>
      <x:c r="G332" s="99" t="n">
        <x:v>-0.07331444444444443</x:v>
      </x:c>
      <x:c r="H332" s="101" t="n">
        <x:v>13186023</x:v>
      </x:c>
      <x:c r="I332" s="99" t="n">
        <x:v>0.3057534859182809</x:v>
      </x:c>
      <x:c r="J332" s="100" t="n">
        <x:v>76</x:v>
      </x:c>
      <x:c r="K332" s="100"/>
      <x:c r="L332" s="99" t="n">
        <x:v>0.5924444444444444</x:v>
      </x:c>
      <x:c r="M332" s="99" t="n">
        <x:v>0.66</x:v>
      </x:c>
      <x:c r="N332" s="99"/>
      <x:c r="O332" s="99" t="n">
        <x:v>0.3773831111111111</x:v>
      </x:c>
      <x:c r="P332" s="99" t="n">
        <x:v>0.03448288888888888</x:v>
      </x:c>
      <x:c r="Q332" s="99" t="n">
        <x:v>0.1826038888888889</x:v>
      </x:c>
      <x:c r="R332" s="99" t="n">
        <x:v>0.14986977777777777</x:v>
      </x:c>
      <x:c r="S332" s="45"/>
      <x:c r="T332" s="45"/>
      <x:c r="U332" s="51" t="d">
        <x:v>2026-09-30T00:00:00.000Z</x:v>
      </x:c>
      <x:c r="V332" s="51" t="d">
        <x:v>2026-09-30T00:00:00.000Z</x:v>
      </x:c>
      <x:c r="W332" s="109" t="n">
        <x:v>9</x:v>
      </x:c>
      <x:c r="X332" s="109" t="n">
        <x:v>9</x:v>
      </x:c>
      <x:c r="Y332" s="45" t="str">
        <x:v>sbx-mex/Perfil_Tienda_DM</x:v>
      </x:c>
      <x:c r="Z332" s="45" t="str">
        <x:v>2a6b0d21379739482f0b4c7be9b0f9a022e15f5b</x:v>
      </x:c>
      <x:c r="AA332" s="45" t="str">
        <x:v>8456a41c5e02d454e70a2531577ffb2e29f73e57e44a7762de681d568aa4227a</x:v>
      </x:c>
    </x:row>
    <x:row r="333" ht="23" customHeight="1">
      <x:c r="A333" s="50" t="str">
        <x:v>38581</x:v>
      </x:c>
      <x:c r="B333" s="51" t="d">
        <x:v>2026-09-30T00:00:00.000Z</x:v>
      </x:c>
      <x:c r="C333" s="99" t="n">
        <x:v>0.711111</x:v>
      </x:c>
      <x:c r="D333" s="100" t="n">
        <x:v>7.288205999999999</x:v>
      </x:c>
      <x:c r="E333" s="100" t="n">
        <x:v>12.060587</x:v>
      </x:c>
      <x:c r="F333" s="99" t="n">
        <x:v>0.20405666666666666</x:v>
      </x:c>
      <x:c r="G333" s="99" t="n">
        <x:v>-0.009474222222222224</x:v>
      </x:c>
      <x:c r="H333" s="101" t="n">
        <x:v>8758410</x:v>
      </x:c>
      <x:c r="I333" s="99" t="n">
        <x:v>-0.16831490648978364</x:v>
      </x:c>
      <x:c r="J333" s="100" t="n">
        <x:v>-22.666666666666668</x:v>
      </x:c>
      <x:c r="K333" s="100"/>
      <x:c r="L333" s="99" t="n">
        <x:v>0.4597777777777778</x:v>
      </x:c>
      <x:c r="M333" s="99" t="n">
        <x:v>0.47000000000000003</x:v>
      </x:c>
      <x:c r="N333" s="99"/>
      <x:c r="O333" s="99" t="n">
        <x:v>0.4189457777777778</x:v>
      </x:c>
      <x:c r="P333" s="99" t="n">
        <x:v>0.04754555555555556</x:v>
      </x:c>
      <x:c r="Q333" s="99" t="n">
        <x:v>0.22218855555555556</x:v>
      </x:c>
      <x:c r="R333" s="99" t="n">
        <x:v>-0.022629666666666666</x:v>
      </x:c>
      <x:c r="S333" s="45"/>
      <x:c r="T333" s="45"/>
      <x:c r="U333" s="51" t="d">
        <x:v>2026-09-30T00:00:00.000Z</x:v>
      </x:c>
      <x:c r="V333" s="51" t="d">
        <x:v>2026-09-30T00:00:00.000Z</x:v>
      </x:c>
      <x:c r="W333" s="109" t="n">
        <x:v>9</x:v>
      </x:c>
      <x:c r="X333" s="109" t="n">
        <x:v>9</x:v>
      </x:c>
      <x:c r="Y333" s="45" t="str">
        <x:v>sbx-mex/Perfil_Tienda_DM</x:v>
      </x:c>
      <x:c r="Z333" s="45" t="str">
        <x:v>2a6b0d21379739482f0b4c7be9b0f9a022e15f5b</x:v>
      </x:c>
      <x:c r="AA333" s="45" t="str">
        <x:v>8456a41c5e02d454e70a2531577ffb2e29f73e57e44a7762de681d568aa4227a</x:v>
      </x:c>
    </x:row>
    <x:row r="334" ht="23" customHeight="1">
      <x:c r="A334" s="50" t="str">
        <x:v>38600</x:v>
      </x:c>
      <x:c r="B334" s="51" t="d">
        <x:v>2026-09-30T00:00:00.000Z</x:v>
      </x:c>
      <x:c r="C334" s="99" t="n">
        <x:v>0.682927</x:v>
      </x:c>
      <x:c r="D334" s="100" t="n">
        <x:v>8.283942333333334</x:v>
      </x:c>
      <x:c r="E334" s="100" t="n">
        <x:v>13.577274444444445</x:v>
      </x:c>
      <x:c r="F334" s="99" t="n">
        <x:v>0.19214844444444446</x:v>
      </x:c>
      <x:c r="G334" s="99" t="n">
        <x:v>0.003403111111111113</x:v>
      </x:c>
      <x:c r="H334" s="101" t="n">
        <x:v>17103639</x:v>
      </x:c>
      <x:c r="I334" s="99" t="n">
        <x:v>-0.02910585907903873</x:v>
      </x:c>
      <x:c r="J334" s="100" t="n">
        <x:v>-42.77777777777778</x:v>
      </x:c>
      <x:c r="K334" s="100"/>
      <x:c r="L334" s="99" t="n">
        <x:v>0.396</x:v>
      </x:c>
      <x:c r="M334" s="99" t="n">
        <x:v>0.4633333333333333</x:v>
      </x:c>
      <x:c r="N334" s="99"/>
      <x:c r="O334" s="99" t="n">
        <x:v>0.44804988888888886</x:v>
      </x:c>
      <x:c r="P334" s="99" t="n">
        <x:v>0.10097888888888888</x:v>
      </x:c>
      <x:c r="Q334" s="99" t="n">
        <x:v>0.22573488888888887</x:v>
      </x:c>
      <x:c r="R334" s="99" t="n">
        <x:v>-0.1011968888888889</x:v>
      </x:c>
      <x:c r="S334" s="45"/>
      <x:c r="T334" s="45"/>
      <x:c r="U334" s="51" t="d">
        <x:v>2026-09-30T00:00:00.000Z</x:v>
      </x:c>
      <x:c r="V334" s="51" t="d">
        <x:v>2026-09-30T00:00:00.000Z</x:v>
      </x:c>
      <x:c r="W334" s="109" t="n">
        <x:v>9</x:v>
      </x:c>
      <x:c r="X334" s="109" t="n">
        <x:v>9</x:v>
      </x:c>
      <x:c r="Y334" s="45" t="str">
        <x:v>sbx-mex/Perfil_Tienda_DM</x:v>
      </x:c>
      <x:c r="Z334" s="45" t="str">
        <x:v>2a6b0d21379739482f0b4c7be9b0f9a022e15f5b</x:v>
      </x:c>
      <x:c r="AA334" s="45" t="str">
        <x:v>8456a41c5e02d454e70a2531577ffb2e29f73e57e44a7762de681d568aa4227a</x:v>
      </x:c>
    </x:row>
    <x:row r="335" ht="23" customHeight="1">
      <x:c r="A335" s="50" t="str">
        <x:v>38612</x:v>
      </x:c>
      <x:c r="B335" s="51" t="d">
        <x:v>2026-09-30T00:00:00.000Z</x:v>
      </x:c>
      <x:c r="C335" s="99" t="n">
        <x:v>0.216216</x:v>
      </x:c>
      <x:c r="D335" s="100" t="n">
        <x:v>7.015878777777778</x:v>
      </x:c>
      <x:c r="E335" s="100" t="n">
        <x:v>15.239133777777779</x:v>
      </x:c>
      <x:c r="F335" s="99" t="n">
        <x:v>0.14384466666666668</x:v>
      </x:c>
      <x:c r="G335" s="99" t="n">
        <x:v>-0.001599666666666666</x:v>
      </x:c>
      <x:c r="H335" s="101" t="n">
        <x:v>21400447</x:v>
      </x:c>
      <x:c r="I335" s="99" t="n">
        <x:v>0.03272560073294617</x:v>
      </x:c>
      <x:c r="J335" s="100" t="n">
        <x:v>-4.444444444444445</x:v>
      </x:c>
      <x:c r="K335" s="100"/>
      <x:c r="L335" s="99" t="n">
        <x:v>0.5144444444444445</x:v>
      </x:c>
      <x:c r="M335" s="99" t="n">
        <x:v>0.6277777777777778</x:v>
      </x:c>
      <x:c r="N335" s="99"/>
      <x:c r="O335" s="99" t="n">
        <x:v>0.35262055555555555</x:v>
      </x:c>
      <x:c r="P335" s="99" t="n">
        <x:v>0.009504111111111109</x:v>
      </x:c>
      <x:c r="Q335" s="99" t="n">
        <x:v>0.2169798888888889</x:v>
      </x:c>
      <x:c r="R335" s="99" t="n">
        <x:v>-0.028849999999999994</x:v>
      </x:c>
      <x:c r="S335" s="45"/>
      <x:c r="T335" s="45"/>
      <x:c r="U335" s="51" t="d">
        <x:v>2026-09-30T00:00:00.000Z</x:v>
      </x:c>
      <x:c r="V335" s="51" t="d">
        <x:v>2026-09-30T00:00:00.000Z</x:v>
      </x:c>
      <x:c r="W335" s="109" t="n">
        <x:v>9</x:v>
      </x:c>
      <x:c r="X335" s="109" t="n">
        <x:v>9</x:v>
      </x:c>
      <x:c r="Y335" s="45" t="str">
        <x:v>sbx-mex/Perfil_Tienda_DM</x:v>
      </x:c>
      <x:c r="Z335" s="45" t="str">
        <x:v>2a6b0d21379739482f0b4c7be9b0f9a022e15f5b</x:v>
      </x:c>
      <x:c r="AA335" s="45" t="str">
        <x:v>8456a41c5e02d454e70a2531577ffb2e29f73e57e44a7762de681d568aa4227a</x:v>
      </x:c>
    </x:row>
    <x:row r="336" ht="23" customHeight="1">
      <x:c r="A336" s="50" t="str">
        <x:v>38676</x:v>
      </x:c>
      <x:c r="B336" s="51" t="d">
        <x:v>2026-09-30T00:00:00.000Z</x:v>
      </x:c>
      <x:c r="C336" s="99" t="n">
        <x:v>0.634615</x:v>
      </x:c>
      <x:c r="D336" s="100" t="n">
        <x:v>8.892855</x:v>
      </x:c>
      <x:c r="E336" s="100" t="n">
        <x:v>17.402117666666665</x:v>
      </x:c>
      <x:c r="F336" s="99" t="n">
        <x:v>0.14905066666666666</x:v>
      </x:c>
      <x:c r="G336" s="99" t="n">
        <x:v>0.003775222222222223</x:v>
      </x:c>
      <x:c r="H336" s="101" t="n">
        <x:v>18998301</x:v>
      </x:c>
      <x:c r="I336" s="99" t="n">
        <x:v>-0.14331413339289378</x:v>
      </x:c>
      <x:c r="J336" s="100" t="n">
        <x:v>-23.77777777777778</x:v>
      </x:c>
      <x:c r="K336" s="100"/>
      <x:c r="L336" s="99" t="n">
        <x:v>0.42055555555555557</x:v>
      </x:c>
      <x:c r="M336" s="99" t="n">
        <x:v>0.5299999999999999</x:v>
      </x:c>
      <x:c r="N336" s="99"/>
      <x:c r="O336" s="99" t="n">
        <x:v>0.3915214444444445</x:v>
      </x:c>
      <x:c r="P336" s="99" t="n">
        <x:v>0.036688666666666675</x:v>
      </x:c>
      <x:c r="Q336" s="99" t="n">
        <x:v>0.21443377777777778</x:v>
      </x:c>
      <x:c r="R336" s="99" t="n">
        <x:v>-0.05164266666666668</x:v>
      </x:c>
      <x:c r="S336" s="45"/>
      <x:c r="T336" s="45"/>
      <x:c r="U336" s="51" t="d">
        <x:v>2026-09-30T00:00:00.000Z</x:v>
      </x:c>
      <x:c r="V336" s="51" t="d">
        <x:v>2026-09-30T00:00:00.000Z</x:v>
      </x:c>
      <x:c r="W336" s="109" t="n">
        <x:v>9</x:v>
      </x:c>
      <x:c r="X336" s="109" t="n">
        <x:v>9</x:v>
      </x:c>
      <x:c r="Y336" s="45" t="str">
        <x:v>sbx-mex/Perfil_Tienda_DM</x:v>
      </x:c>
      <x:c r="Z336" s="45" t="str">
        <x:v>2a6b0d21379739482f0b4c7be9b0f9a022e15f5b</x:v>
      </x:c>
      <x:c r="AA336" s="45" t="str">
        <x:v>8456a41c5e02d454e70a2531577ffb2e29f73e57e44a7762de681d568aa4227a</x:v>
      </x:c>
    </x:row>
    <x:row r="337" ht="23" customHeight="1">
      <x:c r="A337" s="50" t="str">
        <x:v>38982</x:v>
      </x:c>
      <x:c r="B337" s="51" t="d">
        <x:v>2026-09-30T00:00:00.000Z</x:v>
      </x:c>
      <x:c r="C337" s="99" t="n">
        <x:v>0.28125</x:v>
      </x:c>
      <x:c r="D337" s="100" t="n">
        <x:v>5.879347555555555</x:v>
      </x:c>
      <x:c r="E337" s="100" t="n">
        <x:v>12.076038444444444</x:v>
      </x:c>
      <x:c r="F337" s="99" t="n">
        <x:v>0.19617266666666666</x:v>
      </x:c>
      <x:c r="G337" s="99" t="n">
        <x:v>-0.043507333333333335</x:v>
      </x:c>
      <x:c r="H337" s="101" t="n">
        <x:v>9425025</x:v>
      </x:c>
      <x:c r="I337" s="99" t="n">
        <x:v>0.1980577695720933</x:v>
      </x:c>
      <x:c r="J337" s="100" t="n">
        <x:v>48</x:v>
      </x:c>
      <x:c r="K337" s="100"/>
      <x:c r="L337" s="99" t="n">
        <x:v>0.6095555555555555</x:v>
      </x:c>
      <x:c r="M337" s="99" t="n">
        <x:v>0.6499999999999999</x:v>
      </x:c>
      <x:c r="N337" s="99"/>
      <x:c r="O337" s="99" t="n">
        <x:v>0.39459666666666665</x:v>
      </x:c>
      <x:c r="P337" s="99" t="n">
        <x:v>0.02939488888888889</x:v>
      </x:c>
      <x:c r="Q337" s="99" t="n">
        <x:v>0.06903033333333333</x:v>
      </x:c>
      <x:c r="R337" s="99" t="n">
        <x:v>0.08206777777777778</x:v>
      </x:c>
      <x:c r="S337" s="45"/>
      <x:c r="T337" s="45"/>
      <x:c r="U337" s="51" t="d">
        <x:v>2026-09-30T00:00:00.000Z</x:v>
      </x:c>
      <x:c r="V337" s="51" t="d">
        <x:v>2026-09-30T00:00:00.000Z</x:v>
      </x:c>
      <x:c r="W337" s="109" t="n">
        <x:v>9</x:v>
      </x:c>
      <x:c r="X337" s="109" t="n">
        <x:v>9</x:v>
      </x:c>
      <x:c r="Y337" s="45" t="str">
        <x:v>sbx-mex/Perfil_Tienda_DM</x:v>
      </x:c>
      <x:c r="Z337" s="45" t="str">
        <x:v>2a6b0d21379739482f0b4c7be9b0f9a022e15f5b</x:v>
      </x:c>
      <x:c r="AA337" s="45" t="str">
        <x:v>8456a41c5e02d454e70a2531577ffb2e29f73e57e44a7762de681d568aa4227a</x:v>
      </x:c>
    </x:row>
    <x:row r="338" ht="23" customHeight="1">
      <x:c r="A338" s="50" t="str">
        <x:v>43045</x:v>
      </x:c>
      <x:c r="B338" s="51" t="d">
        <x:v>2026-09-30T00:00:00.000Z</x:v>
      </x:c>
      <x:c r="C338" s="99" t="n">
        <x:v>0.219512</x:v>
      </x:c>
      <x:c r="D338" s="100" t="n">
        <x:v>3.8068001666666667</x:v>
      </x:c>
      <x:c r="E338" s="100" t="n">
        <x:v>8.517235333333334</x:v>
      </x:c>
      <x:c r="F338" s="99" t="n">
        <x:v>0.4112038571428571</x:v>
      </x:c>
      <x:c r="G338" s="99" t="n">
        <x:v>0.21148216666666667</x:v>
      </x:c>
      <x:c r="H338" s="101" t="n">
        <x:v>6070065</x:v>
      </x:c>
      <x:c r="I338" s="99" t="n">
        <x:v>-0.5680086604127023</x:v>
      </x:c>
      <x:c r="J338" s="100"/>
      <x:c r="K338" s="100"/>
      <x:c r="L338" s="99" t="n">
        <x:v>0.7585714285714287</x:v>
      </x:c>
      <x:c r="M338" s="99" t="n">
        <x:v>0.7300000000000001</x:v>
      </x:c>
      <x:c r="N338" s="99"/>
      <x:c r="O338" s="99" t="n">
        <x:v>0.34657242857142856</x:v>
      </x:c>
      <x:c r="P338" s="99" t="n">
        <x:v>0.044838333333333334</x:v>
      </x:c>
      <x:c r="Q338" s="99" t="n">
        <x:v>-0.348872</x:v>
      </x:c>
      <x:c r="R338" s="99" t="n">
        <x:v>-0.44300216666666664</x:v>
      </x:c>
      <x:c r="S338" s="45" t="str">
        <x:v>01:24</x:v>
      </x:c>
      <x:c r="T338" s="45"/>
      <x:c r="U338" s="51" t="d">
        <x:v>2026-09-30T00:00:00.000Z</x:v>
      </x:c>
      <x:c r="V338" s="51" t="d">
        <x:v>2026-09-30T00:00:00.000Z</x:v>
      </x:c>
      <x:c r="W338" s="109" t="n">
        <x:v>9</x:v>
      </x:c>
      <x:c r="X338" s="109" t="n">
        <x:v>9</x:v>
      </x:c>
      <x:c r="Y338" s="45" t="str">
        <x:v>sbx-mex/Perfil_Tienda_DM</x:v>
      </x:c>
      <x:c r="Z338" s="45" t="str">
        <x:v>2a6b0d21379739482f0b4c7be9b0f9a022e15f5b</x:v>
      </x:c>
      <x:c r="AA338" s="45" t="str">
        <x:v>8456a41c5e02d454e70a2531577ffb2e29f73e57e44a7762de681d568aa4227a</x:v>
      </x:c>
    </x:row>
    <x:row r="339" ht="23" customHeight="1">
      <x:c r="A339" s="50" t="str">
        <x:v>38151</x:v>
      </x:c>
      <x:c r="B339" s="51" t="d">
        <x:v>2026-09-30T00:00:00.000Z</x:v>
      </x:c>
      <x:c r="C339" s="99" t="n">
        <x:v>0.317881</x:v>
      </x:c>
      <x:c r="D339" s="100" t="n">
        <x:v>7.392275285714286</x:v>
      </x:c>
      <x:c r="E339" s="100" t="n">
        <x:v>13.460449428571428</x:v>
      </x:c>
      <x:c r="F339" s="99" t="n">
        <x:v>0.120494</x:v>
      </x:c>
      <x:c r="G339" s="99" t="n">
        <x:v>-0.042718500000000006</x:v>
      </x:c>
      <x:c r="H339" s="101" t="n">
        <x:v>24951584</x:v>
      </x:c>
      <x:c r="I339" s="99" t="n">
        <x:v>0.36992240770560914</x:v>
      </x:c>
      <x:c r="J339" s="100" t="n">
        <x:v>81.66666666666667</x:v>
      </x:c>
      <x:c r="K339" s="100"/>
      <x:c r="L339" s="99" t="n">
        <x:v>0.559125</x:v>
      </x:c>
      <x:c r="M339" s="99" t="n">
        <x:v>0.615</x:v>
      </x:c>
      <x:c r="N339" s="99"/>
      <x:c r="O339" s="99" t="n">
        <x:v>0.239222375</x:v>
      </x:c>
      <x:c r="P339" s="99" t="n">
        <x:v>-0.107989625</x:v>
      </x:c>
      <x:c r="Q339" s="99" t="n">
        <x:v>0.454189</x:v>
      </x:c>
      <x:c r="R339" s="99" t="n">
        <x:v>0.20480712499999998</x:v>
      </x:c>
      <x:c r="S339" s="45"/>
      <x:c r="T339" s="45"/>
      <x:c r="U339" s="51" t="d">
        <x:v>2026-09-30T00:00:00.000Z</x:v>
      </x:c>
      <x:c r="V339" s="51" t="d">
        <x:v>2026-09-30T00:00:00.000Z</x:v>
      </x:c>
      <x:c r="W339" s="109" t="n">
        <x:v>9</x:v>
      </x:c>
      <x:c r="X339" s="109" t="n">
        <x:v>9</x:v>
      </x:c>
      <x:c r="Y339" s="45" t="str">
        <x:v>sbx-mex/Perfil_Tienda_DM</x:v>
      </x:c>
      <x:c r="Z339" s="45" t="str">
        <x:v>2a6b0d21379739482f0b4c7be9b0f9a022e15f5b</x:v>
      </x:c>
      <x:c r="AA339" s="45" t="str">
        <x:v>8456a41c5e02d454e70a2531577ffb2e29f73e57e44a7762de681d568aa4227a</x:v>
      </x:c>
    </x:row>
    <x:row r="340" ht="23" customHeight="1">
      <x:c r="A340" s="50" t="str">
        <x:v>38167</x:v>
      </x:c>
      <x:c r="B340" s="51" t="d">
        <x:v>2026-09-30T00:00:00.000Z</x:v>
      </x:c>
      <x:c r="C340" s="99" t="n">
        <x:v>0.179104</x:v>
      </x:c>
      <x:c r="D340" s="100" t="n">
        <x:v>7.748629</x:v>
      </x:c>
      <x:c r="E340" s="100" t="n">
        <x:v>15.307327888888889</x:v>
      </x:c>
      <x:c r="F340" s="99" t="n">
        <x:v>0.10645133333333333</x:v>
      </x:c>
      <x:c r="G340" s="99" t="n">
        <x:v>-0.05041411111111111</x:v>
      </x:c>
      <x:c r="H340" s="101" t="n">
        <x:v>39761823</x:v>
      </x:c>
      <x:c r="I340" s="99" t="n">
        <x:v>0.7170324958465664</x:v>
      </x:c>
      <x:c r="J340" s="100" t="n">
        <x:v>220.22222222222223</x:v>
      </x:c>
      <x:c r="K340" s="100"/>
      <x:c r="L340" s="99" t="n">
        <x:v>0.43027777777777776</x:v>
      </x:c>
      <x:c r="M340" s="99" t="n">
        <x:v>0.6285555555555555</x:v>
      </x:c>
      <x:c r="N340" s="99"/>
      <x:c r="O340" s="99" t="n">
        <x:v>0.24714666666666668</x:v>
      </x:c>
      <x:c r="P340" s="99" t="n">
        <x:v>0.009443333333333335</x:v>
      </x:c>
      <x:c r="Q340" s="99" t="n">
        <x:v>0.43841688888888886</x:v>
      </x:c>
      <x:c r="R340" s="99" t="n">
        <x:v>0.1190152222222222</x:v>
      </x:c>
      <x:c r="S340" s="45"/>
      <x:c r="T340" s="45"/>
      <x:c r="U340" s="51" t="d">
        <x:v>2026-09-30T00:00:00.000Z</x:v>
      </x:c>
      <x:c r="V340" s="51" t="d">
        <x:v>2026-09-30T00:00:00.000Z</x:v>
      </x:c>
      <x:c r="W340" s="109" t="n">
        <x:v>9</x:v>
      </x:c>
      <x:c r="X340" s="109" t="n">
        <x:v>9</x:v>
      </x:c>
      <x:c r="Y340" s="45" t="str">
        <x:v>sbx-mex/Perfil_Tienda_DM</x:v>
      </x:c>
      <x:c r="Z340" s="45" t="str">
        <x:v>2a6b0d21379739482f0b4c7be9b0f9a022e15f5b</x:v>
      </x:c>
      <x:c r="AA340" s="45" t="str">
        <x:v>8456a41c5e02d454e70a2531577ffb2e29f73e57e44a7762de681d568aa4227a</x:v>
      </x:c>
    </x:row>
    <x:row r="341" ht="23" customHeight="1">
      <x:c r="A341" s="50" t="str">
        <x:v>38168</x:v>
      </x:c>
      <x:c r="B341" s="51"/>
      <x:c r="C341" s="99"/>
      <x:c r="D341" s="100"/>
      <x:c r="E341" s="100"/>
      <x:c r="F341" s="99"/>
      <x:c r="G341" s="99"/>
      <x:c r="H341" s="101"/>
      <x:c r="I341" s="99"/>
      <x:c r="J341" s="100"/>
      <x:c r="K341" s="100"/>
      <x:c r="L341" s="99"/>
      <x:c r="M341" s="99"/>
      <x:c r="N341" s="99"/>
      <x:c r="O341" s="99"/>
      <x:c r="P341" s="99"/>
      <x:c r="Q341" s="99"/>
      <x:c r="R341" s="99"/>
      <x:c r="S341" s="45"/>
      <x:c r="T341" s="45"/>
      <x:c r="U341" s="51"/>
      <x:c r="V341" s="51"/>
      <x:c r="W341" s="109" t="n">
        <x:v>0</x:v>
      </x:c>
      <x:c r="X341" s="109" t="n">
        <x:v>0</x:v>
      </x:c>
      <x:c r="Y341" s="45"/>
      <x:c r="Z341" s="45"/>
      <x:c r="AA341" s="45"/>
    </x:row>
    <x:row r="342" ht="23" customHeight="1">
      <x:c r="A342" s="50" t="str">
        <x:v>38171</x:v>
      </x:c>
      <x:c r="B342" s="51" t="d">
        <x:v>2026-09-30T00:00:00.000Z</x:v>
      </x:c>
      <x:c r="C342" s="99" t="n">
        <x:v>0.410959</x:v>
      </x:c>
      <x:c r="D342" s="100" t="n">
        <x:v>5.034040777777778</x:v>
      </x:c>
      <x:c r="E342" s="100" t="n">
        <x:v>9.631784555555555</x:v>
      </x:c>
      <x:c r="F342" s="99" t="n">
        <x:v>0.1991722222222222</x:v>
      </x:c>
      <x:c r="G342" s="99" t="n">
        <x:v>0.021747555555555555</x:v>
      </x:c>
      <x:c r="H342" s="101" t="n">
        <x:v>11701352</x:v>
      </x:c>
      <x:c r="I342" s="99" t="n">
        <x:v>-0.09969848146476934</x:v>
      </x:c>
      <x:c r="J342" s="100" t="n">
        <x:v>34.22222222222222</x:v>
      </x:c>
      <x:c r="K342" s="100"/>
      <x:c r="L342" s="99" t="n">
        <x:v>0.586</x:v>
      </x:c>
      <x:c r="M342" s="99" t="n">
        <x:v>0.69</x:v>
      </x:c>
      <x:c r="N342" s="99"/>
      <x:c r="O342" s="99" t="n">
        <x:v>0.318864</x:v>
      </x:c>
      <x:c r="P342" s="99" t="n">
        <x:v>0.04188255555555556</x:v>
      </x:c>
      <x:c r="Q342" s="99" t="n">
        <x:v>0.096686</x:v>
      </x:c>
      <x:c r="R342" s="99" t="n">
        <x:v>-0.10200733333333334</x:v>
      </x:c>
      <x:c r="S342" s="45"/>
      <x:c r="T342" s="45"/>
      <x:c r="U342" s="51" t="d">
        <x:v>2026-09-30T00:00:00.000Z</x:v>
      </x:c>
      <x:c r="V342" s="51" t="d">
        <x:v>2026-09-30T00:00:00.000Z</x:v>
      </x:c>
      <x:c r="W342" s="109" t="n">
        <x:v>9</x:v>
      </x:c>
      <x:c r="X342" s="109" t="n">
        <x:v>9</x:v>
      </x:c>
      <x:c r="Y342" s="45" t="str">
        <x:v>sbx-mex/Perfil_Tienda_DM</x:v>
      </x:c>
      <x:c r="Z342" s="45" t="str">
        <x:v>2a6b0d21379739482f0b4c7be9b0f9a022e15f5b</x:v>
      </x:c>
      <x:c r="AA342" s="45" t="str">
        <x:v>8456a41c5e02d454e70a2531577ffb2e29f73e57e44a7762de681d568aa4227a</x:v>
      </x:c>
    </x:row>
    <x:row r="343" ht="23" customHeight="1">
      <x:c r="A343" s="50" t="str">
        <x:v>38182</x:v>
      </x:c>
      <x:c r="B343" s="51" t="d">
        <x:v>2026-09-30T00:00:00.000Z</x:v>
      </x:c>
      <x:c r="C343" s="99" t="n">
        <x:v>0.068571</x:v>
      </x:c>
      <x:c r="D343" s="100" t="n">
        <x:v>7.1855462857142856</x:v>
      </x:c>
      <x:c r="E343" s="100" t="n">
        <x:v>13.943103285714285</x:v>
      </x:c>
      <x:c r="F343" s="99" t="n">
        <x:v>0.165993</x:v>
      </x:c>
      <x:c r="G343" s="99" t="n">
        <x:v>-0.021273</x:v>
      </x:c>
      <x:c r="H343" s="101" t="n">
        <x:v>15755250</x:v>
      </x:c>
      <x:c r="I343" s="99" t="n">
        <x:v>-0.06000026667584957</x:v>
      </x:c>
      <x:c r="J343" s="100" t="n">
        <x:v>-65.88888888888889</x:v>
      </x:c>
      <x:c r="K343" s="100"/>
      <x:c r="L343" s="99" t="n">
        <x:v>0.65725</x:v>
      </x:c>
      <x:c r="M343" s="99" t="n">
        <x:v>0.685</x:v>
      </x:c>
      <x:c r="N343" s="99"/>
      <x:c r="O343" s="99" t="n">
        <x:v>0.30271925</x:v>
      </x:c>
      <x:c r="P343" s="99" t="n">
        <x:v>0.03941150000000001</x:v>
      </x:c>
      <x:c r="Q343" s="99" t="n">
        <x:v>0.24019025</x:v>
      </x:c>
      <x:c r="R343" s="99" t="n">
        <x:v>-0.038523</x:v>
      </x:c>
      <x:c r="S343" s="45"/>
      <x:c r="T343" s="45"/>
      <x:c r="U343" s="51" t="d">
        <x:v>2026-09-30T00:00:00.000Z</x:v>
      </x:c>
      <x:c r="V343" s="51" t="d">
        <x:v>2026-09-30T00:00:00.000Z</x:v>
      </x:c>
      <x:c r="W343" s="109" t="n">
        <x:v>9</x:v>
      </x:c>
      <x:c r="X343" s="109" t="n">
        <x:v>9</x:v>
      </x:c>
      <x:c r="Y343" s="45" t="str">
        <x:v>sbx-mex/Perfil_Tienda_DM</x:v>
      </x:c>
      <x:c r="Z343" s="45" t="str">
        <x:v>2a6b0d21379739482f0b4c7be9b0f9a022e15f5b</x:v>
      </x:c>
      <x:c r="AA343" s="45" t="str">
        <x:v>8456a41c5e02d454e70a2531577ffb2e29f73e57e44a7762de681d568aa4227a</x:v>
      </x:c>
    </x:row>
    <x:row r="344" ht="23" customHeight="1">
      <x:c r="A344" s="50" t="str">
        <x:v>38297</x:v>
      </x:c>
      <x:c r="B344" s="51" t="d">
        <x:v>2026-09-30T00:00:00.000Z</x:v>
      </x:c>
      <x:c r="C344" s="99" t="n">
        <x:v>0.547231</x:v>
      </x:c>
      <x:c r="D344" s="100" t="n">
        <x:v>6.707623666666667</x:v>
      </x:c>
      <x:c r="E344" s="100" t="n">
        <x:v>13.284627111111112</x:v>
      </x:c>
      <x:c r="F344" s="99" t="n">
        <x:v>0.11634144444444444</x:v>
      </x:c>
      <x:c r="G344" s="99" t="n">
        <x:v>0.01808188888888889</x:v>
      </x:c>
      <x:c r="H344" s="101" t="n">
        <x:v>42237143</x:v>
      </x:c>
      <x:c r="I344" s="99" t="n">
        <x:v>-0.1751495173287847</x:v>
      </x:c>
      <x:c r="J344" s="100" t="n">
        <x:v>9.666666666666666</x:v>
      </x:c>
      <x:c r="K344" s="100"/>
      <x:c r="L344" s="99" t="n">
        <x:v>0.5351111111111111</x:v>
      </x:c>
      <x:c r="M344" s="99" t="n">
        <x:v>0.5844444444444444</x:v>
      </x:c>
      <x:c r="N344" s="99"/>
      <x:c r="O344" s="99" t="n">
        <x:v>0.2500871111111111</x:v>
      </x:c>
      <x:c r="P344" s="99" t="n">
        <x:v>-0.0011159999999999998</x:v>
      </x:c>
      <x:c r="Q344" s="99" t="n">
        <x:v>0.32711355555555555</x:v>
      </x:c>
      <x:c r="R344" s="99" t="n">
        <x:v>0.006879555555555552</x:v>
      </x:c>
      <x:c r="S344" s="45"/>
      <x:c r="T344" s="45"/>
      <x:c r="U344" s="51" t="d">
        <x:v>2026-09-30T00:00:00.000Z</x:v>
      </x:c>
      <x:c r="V344" s="51" t="d">
        <x:v>2026-09-30T00:00:00.000Z</x:v>
      </x:c>
      <x:c r="W344" s="109" t="n">
        <x:v>9</x:v>
      </x:c>
      <x:c r="X344" s="109" t="n">
        <x:v>9</x:v>
      </x:c>
      <x:c r="Y344" s="45" t="str">
        <x:v>sbx-mex/Perfil_Tienda_DM</x:v>
      </x:c>
      <x:c r="Z344" s="45" t="str">
        <x:v>2a6b0d21379739482f0b4c7be9b0f9a022e15f5b</x:v>
      </x:c>
      <x:c r="AA344" s="45" t="str">
        <x:v>8456a41c5e02d454e70a2531577ffb2e29f73e57e44a7762de681d568aa4227a</x:v>
      </x:c>
    </x:row>
    <x:row r="345" ht="23" customHeight="1">
      <x:c r="A345" s="50" t="str">
        <x:v>38298</x:v>
      </x:c>
      <x:c r="B345" s="51" t="d">
        <x:v>2026-09-30T00:00:00.000Z</x:v>
      </x:c>
      <x:c r="C345" s="99" t="n">
        <x:v>0.375</x:v>
      </x:c>
      <x:c r="D345" s="100" t="n">
        <x:v>7.8681381111111115</x:v>
      </x:c>
      <x:c r="E345" s="100" t="n">
        <x:v>15.453935000000001</x:v>
      </x:c>
      <x:c r="F345" s="99" t="n">
        <x:v>0.09983911111111111</x:v>
      </x:c>
      <x:c r="G345" s="99" t="n">
        <x:v>-0.04307133333333333</x:v>
      </x:c>
      <x:c r="H345" s="101" t="n">
        <x:v>56474306</x:v>
      </x:c>
      <x:c r="I345" s="99" t="n">
        <x:v>0.5303416355404904</x:v>
      </x:c>
      <x:c r="J345" s="100" t="n">
        <x:v>-3.7777777777777777</x:v>
      </x:c>
      <x:c r="K345" s="100"/>
      <x:c r="L345" s="99" t="n">
        <x:v>0.4424444444444444</x:v>
      </x:c>
      <x:c r="M345" s="99" t="n">
        <x:v>0.5522222222222222</x:v>
      </x:c>
      <x:c r="N345" s="99"/>
      <x:c r="O345" s="99" t="n">
        <x:v>0.24093766666666663</x:v>
      </x:c>
      <x:c r="P345" s="99" t="n">
        <x:v>0.011686555555555552</x:v>
      </x:c>
      <x:c r="Q345" s="99" t="n">
        <x:v>0.35994688888888887</x:v>
      </x:c>
      <x:c r="R345" s="99" t="n">
        <x:v>0.2536002222222222</x:v>
      </x:c>
      <x:c r="S345" s="45"/>
      <x:c r="T345" s="45"/>
      <x:c r="U345" s="51" t="d">
        <x:v>2026-09-30T00:00:00.000Z</x:v>
      </x:c>
      <x:c r="V345" s="51" t="d">
        <x:v>2026-09-30T00:00:00.000Z</x:v>
      </x:c>
      <x:c r="W345" s="109" t="n">
        <x:v>9</x:v>
      </x:c>
      <x:c r="X345" s="109" t="n">
        <x:v>9</x:v>
      </x:c>
      <x:c r="Y345" s="45" t="str">
        <x:v>sbx-mex/Perfil_Tienda_DM</x:v>
      </x:c>
      <x:c r="Z345" s="45" t="str">
        <x:v>2a6b0d21379739482f0b4c7be9b0f9a022e15f5b</x:v>
      </x:c>
      <x:c r="AA345" s="45" t="str">
        <x:v>8456a41c5e02d454e70a2531577ffb2e29f73e57e44a7762de681d568aa4227a</x:v>
      </x:c>
    </x:row>
    <x:row r="346" ht="23" customHeight="1">
      <x:c r="A346" s="50" t="str">
        <x:v>38299</x:v>
      </x:c>
      <x:c r="B346" s="51" t="d">
        <x:v>2026-09-30T00:00:00.000Z</x:v>
      </x:c>
      <x:c r="C346" s="99" t="n">
        <x:v>0.232558</x:v>
      </x:c>
      <x:c r="D346" s="100" t="n">
        <x:v>7.046365333333333</x:v>
      </x:c>
      <x:c r="E346" s="100" t="n">
        <x:v>13.918195</x:v>
      </x:c>
      <x:c r="F346" s="99" t="n">
        <x:v>0.135163</x:v>
      </x:c>
      <x:c r="G346" s="99" t="n">
        <x:v>0.01663044444444444</x:v>
      </x:c>
      <x:c r="H346" s="101" t="n">
        <x:v>29807889</x:v>
      </x:c>
      <x:c r="I346" s="99" t="n">
        <x:v>-0.08641246523972368</x:v>
      </x:c>
      <x:c r="J346" s="100" t="n">
        <x:v>-44.77777777777778</x:v>
      </x:c>
      <x:c r="K346" s="100"/>
      <x:c r="L346" s="99" t="n">
        <x:v>0.498</x:v>
      </x:c>
      <x:c r="M346" s="99" t="n">
        <x:v>0.6000000000000001</x:v>
      </x:c>
      <x:c r="N346" s="99"/>
      <x:c r="O346" s="99" t="n">
        <x:v>0.3014842222222222</x:v>
      </x:c>
      <x:c r="P346" s="99" t="n">
        <x:v>0.027085888888888895</x:v>
      </x:c>
      <x:c r="Q346" s="99" t="n">
        <x:v>0.2519818888888889</x:v>
      </x:c>
      <x:c r="R346" s="99" t="n">
        <x:v>0.004006666666666658</x:v>
      </x:c>
      <x:c r="S346" s="45"/>
      <x:c r="T346" s="45"/>
      <x:c r="U346" s="51" t="d">
        <x:v>2026-09-30T00:00:00.000Z</x:v>
      </x:c>
      <x:c r="V346" s="51" t="d">
        <x:v>2026-09-30T00:00:00.000Z</x:v>
      </x:c>
      <x:c r="W346" s="109" t="n">
        <x:v>9</x:v>
      </x:c>
      <x:c r="X346" s="109" t="n">
        <x:v>9</x:v>
      </x:c>
      <x:c r="Y346" s="45" t="str">
        <x:v>sbx-mex/Perfil_Tienda_DM</x:v>
      </x:c>
      <x:c r="Z346" s="45" t="str">
        <x:v>2a6b0d21379739482f0b4c7be9b0f9a022e15f5b</x:v>
      </x:c>
      <x:c r="AA346" s="45" t="str">
        <x:v>8456a41c5e02d454e70a2531577ffb2e29f73e57e44a7762de681d568aa4227a</x:v>
      </x:c>
    </x:row>
    <x:row r="347" ht="23" customHeight="1">
      <x:c r="A347" s="50" t="str">
        <x:v>38652</x:v>
      </x:c>
      <x:c r="B347" s="51"/>
      <x:c r="C347" s="99"/>
      <x:c r="D347" s="100"/>
      <x:c r="E347" s="100"/>
      <x:c r="F347" s="99"/>
      <x:c r="G347" s="99"/>
      <x:c r="H347" s="101"/>
      <x:c r="I347" s="99"/>
      <x:c r="J347" s="100"/>
      <x:c r="K347" s="100"/>
      <x:c r="L347" s="99"/>
      <x:c r="M347" s="99"/>
      <x:c r="N347" s="99"/>
      <x:c r="O347" s="99"/>
      <x:c r="P347" s="99"/>
      <x:c r="Q347" s="99"/>
      <x:c r="R347" s="99"/>
      <x:c r="S347" s="45"/>
      <x:c r="T347" s="45"/>
      <x:c r="U347" s="51"/>
      <x:c r="V347" s="51"/>
      <x:c r="W347" s="109" t="n">
        <x:v>0</x:v>
      </x:c>
      <x:c r="X347" s="109" t="n">
        <x:v>0</x:v>
      </x:c>
      <x:c r="Y347" s="45"/>
      <x:c r="Z347" s="45"/>
      <x:c r="AA347" s="45"/>
    </x:row>
    <x:row r="348" ht="23" customHeight="1">
      <x:c r="A348" s="50" t="str">
        <x:v>38653</x:v>
      </x:c>
      <x:c r="B348" s="51" t="d">
        <x:v>2026-09-30T00:00:00.000Z</x:v>
      </x:c>
      <x:c r="C348" s="99" t="n">
        <x:v>0.171429</x:v>
      </x:c>
      <x:c r="D348" s="100" t="n">
        <x:v>7.723146833333334</x:v>
      </x:c>
      <x:c r="E348" s="100" t="n">
        <x:v>15.496951000000001</x:v>
      </x:c>
      <x:c r="F348" s="99" t="n">
        <x:v>0.17543528571428574</x:v>
      </x:c>
      <x:c r="G348" s="99" t="n">
        <x:v>-0.014931</x:v>
      </x:c>
      <x:c r="H348" s="101" t="n">
        <x:v>16208202</x:v>
      </x:c>
      <x:c r="I348" s="99" t="n">
        <x:v>-0.33694420829978466</x:v>
      </x:c>
      <x:c r="J348" s="100" t="n">
        <x:v>-404.8333333333333</x:v>
      </x:c>
      <x:c r="K348" s="100"/>
      <x:c r="L348" s="99" t="n">
        <x:v>0.6725714285714286</x:v>
      </x:c>
      <x:c r="M348" s="99" t="n">
        <x:v>0.7614285714285715</x:v>
      </x:c>
      <x:c r="N348" s="99"/>
      <x:c r="O348" s="99" t="n">
        <x:v>0.22353957142857145</x:v>
      </x:c>
      <x:c r="P348" s="99" t="n">
        <x:v>-0.11397214285714286</x:v>
      </x:c>
      <x:c r="Q348" s="99" t="n">
        <x:v>0.24116042857142858</x:v>
      </x:c>
      <x:c r="R348" s="99" t="n">
        <x:v>0.1523477142857143</x:v>
      </x:c>
      <x:c r="S348" s="45"/>
      <x:c r="T348" s="45"/>
      <x:c r="U348" s="51" t="d">
        <x:v>2026-09-30T00:00:00.000Z</x:v>
      </x:c>
      <x:c r="V348" s="51" t="d">
        <x:v>2026-09-30T00:00:00.000Z</x:v>
      </x:c>
      <x:c r="W348" s="109" t="n">
        <x:v>9</x:v>
      </x:c>
      <x:c r="X348" s="109" t="n">
        <x:v>9</x:v>
      </x:c>
      <x:c r="Y348" s="45" t="str">
        <x:v>sbx-mex/Perfil_Tienda_DM</x:v>
      </x:c>
      <x:c r="Z348" s="45" t="str">
        <x:v>2a6b0d21379739482f0b4c7be9b0f9a022e15f5b</x:v>
      </x:c>
      <x:c r="AA348" s="45" t="str">
        <x:v>8456a41c5e02d454e70a2531577ffb2e29f73e57e44a7762de681d568aa4227a</x:v>
      </x:c>
    </x:row>
    <x:row r="349" ht="23" customHeight="1">
      <x:c r="A349" s="50" t="str">
        <x:v>38795</x:v>
      </x:c>
      <x:c r="B349" s="51" t="d">
        <x:v>2026-09-30T00:00:00.000Z</x:v>
      </x:c>
      <x:c r="C349" s="99" t="n">
        <x:v>0.248276</x:v>
      </x:c>
      <x:c r="D349" s="100" t="n">
        <x:v>4.0160145555555555</x:v>
      </x:c>
      <x:c r="E349" s="100" t="n">
        <x:v>7.288177444444445</x:v>
      </x:c>
      <x:c r="F349" s="99" t="n">
        <x:v>0.2503066666666667</x:v>
      </x:c>
      <x:c r="G349" s="99" t="n">
        <x:v>0.005965777777777774</x:v>
      </x:c>
      <x:c r="H349" s="101" t="n">
        <x:v>9624023</x:v>
      </x:c>
      <x:c r="I349" s="99" t="n">
        <x:v>-0.0961547320121291</x:v>
      </x:c>
      <x:c r="J349" s="100" t="n">
        <x:v>-27.77777777777778</x:v>
      </x:c>
      <x:c r="K349" s="100"/>
      <x:c r="L349" s="99" t="n">
        <x:v>0.5903333333333333</x:v>
      </x:c>
      <x:c r="M349" s="99" t="n">
        <x:v>0.7133333333333334</x:v>
      </x:c>
      <x:c r="N349" s="99"/>
      <x:c r="O349" s="99" t="n">
        <x:v>0.3273746666666667</x:v>
      </x:c>
      <x:c r="P349" s="99" t="n">
        <x:v>0.047668888888888886</x:v>
      </x:c>
      <x:c r="Q349" s="99" t="n">
        <x:v>-0.10681722222222223</x:v>
      </x:c>
      <x:c r="R349" s="99" t="n">
        <x:v>-0.12678544444444442</x:v>
      </x:c>
      <x:c r="S349" s="45"/>
      <x:c r="T349" s="45"/>
      <x:c r="U349" s="51" t="d">
        <x:v>2026-09-30T00:00:00.000Z</x:v>
      </x:c>
      <x:c r="V349" s="51" t="d">
        <x:v>2026-09-30T00:00:00.000Z</x:v>
      </x:c>
      <x:c r="W349" s="109" t="n">
        <x:v>9</x:v>
      </x:c>
      <x:c r="X349" s="109" t="n">
        <x:v>9</x:v>
      </x:c>
      <x:c r="Y349" s="45" t="str">
        <x:v>sbx-mex/Perfil_Tienda_DM</x:v>
      </x:c>
      <x:c r="Z349" s="45" t="str">
        <x:v>2a6b0d21379739482f0b4c7be9b0f9a022e15f5b</x:v>
      </x:c>
      <x:c r="AA349" s="45" t="str">
        <x:v>8456a41c5e02d454e70a2531577ffb2e29f73e57e44a7762de681d568aa4227a</x:v>
      </x:c>
    </x:row>
    <x:row r="350" ht="23" customHeight="1">
      <x:c r="A350" s="50" t="str">
        <x:v>38796</x:v>
      </x:c>
      <x:c r="B350" s="51" t="d">
        <x:v>2026-09-30T00:00:00.000Z</x:v>
      </x:c>
      <x:c r="C350" s="99" t="n">
        <x:v>0.786885</x:v>
      </x:c>
      <x:c r="D350" s="100" t="n">
        <x:v>3.0620077777777777</x:v>
      </x:c>
      <x:c r="E350" s="100" t="n">
        <x:v>5.878788</x:v>
      </x:c>
      <x:c r="F350" s="99" t="n">
        <x:v>0.4038471111111111</x:v>
      </x:c>
      <x:c r="G350" s="99" t="n">
        <x:v>0.21202466666666667</x:v>
      </x:c>
      <x:c r="H350" s="101" t="n">
        <x:v>5726324</x:v>
      </x:c>
      <x:c r="I350" s="99" t="n">
        <x:v>-0.4056108388949752</x:v>
      </x:c>
      <x:c r="J350" s="100" t="n">
        <x:v>-7</x:v>
      </x:c>
      <x:c r="K350" s="100"/>
      <x:c r="L350" s="99" t="n">
        <x:v>0.644888888888889</x:v>
      </x:c>
      <x:c r="M350" s="99" t="n">
        <x:v>0.6633333333333333</x:v>
      </x:c>
      <x:c r="N350" s="99"/>
      <x:c r="O350" s="99" t="n">
        <x:v>0.2991388888888889</x:v>
      </x:c>
      <x:c r="P350" s="99" t="n">
        <x:v>0.043469777777777795</x:v>
      </x:c>
      <x:c r="Q350" s="99" t="n">
        <x:v>-0.13221455555555553</x:v>
      </x:c>
      <x:c r="R350" s="99" t="n">
        <x:v>-0.3903847777777778</x:v>
      </x:c>
      <x:c r="S350" s="45"/>
      <x:c r="T350" s="45"/>
      <x:c r="U350" s="51" t="d">
        <x:v>2026-09-30T00:00:00.000Z</x:v>
      </x:c>
      <x:c r="V350" s="51" t="d">
        <x:v>2026-09-30T00:00:00.000Z</x:v>
      </x:c>
      <x:c r="W350" s="109" t="n">
        <x:v>9</x:v>
      </x:c>
      <x:c r="X350" s="109" t="n">
        <x:v>9</x:v>
      </x:c>
      <x:c r="Y350" s="45" t="str">
        <x:v>sbx-mex/Perfil_Tienda_DM</x:v>
      </x:c>
      <x:c r="Z350" s="45" t="str">
        <x:v>2a6b0d21379739482f0b4c7be9b0f9a022e15f5b</x:v>
      </x:c>
      <x:c r="AA350" s="45" t="str">
        <x:v>8456a41c5e02d454e70a2531577ffb2e29f73e57e44a7762de681d568aa4227a</x:v>
      </x:c>
    </x:row>
    <x:row r="351" ht="23" customHeight="1">
      <x:c r="A351" s="50" t="str">
        <x:v>38803</x:v>
      </x:c>
      <x:c r="B351" s="51" t="d">
        <x:v>2026-09-30T00:00:00.000Z</x:v>
      </x:c>
      <x:c r="C351" s="99" t="n">
        <x:v>0.505263</x:v>
      </x:c>
      <x:c r="D351" s="100" t="n">
        <x:v>5.8100671111111115</x:v>
      </x:c>
      <x:c r="E351" s="100" t="n">
        <x:v>10.961984555555555</x:v>
      </x:c>
      <x:c r="F351" s="99" t="n">
        <x:v>0.16337144444444443</x:v>
      </x:c>
      <x:c r="G351" s="99" t="n">
        <x:v>0.008950777777777783</x:v>
      </x:c>
      <x:c r="H351" s="101" t="n">
        <x:v>18218375</x:v>
      </x:c>
      <x:c r="I351" s="99" t="n">
        <x:v>-0.04146863579807469</x:v>
      </x:c>
      <x:c r="J351" s="100" t="n">
        <x:v>32.44444444444444</x:v>
      </x:c>
      <x:c r="K351" s="100"/>
      <x:c r="L351" s="99" t="n">
        <x:v>0.5595555555555555</x:v>
      </x:c>
      <x:c r="M351" s="99" t="n">
        <x:v>0.6633333333333333</x:v>
      </x:c>
      <x:c r="N351" s="99"/>
      <x:c r="O351" s="99" t="n">
        <x:v>0.2885482222222222</x:v>
      </x:c>
      <x:c r="P351" s="99" t="n">
        <x:v>0.03711122222222223</x:v>
      </x:c>
      <x:c r="Q351" s="99" t="n">
        <x:v>0.17559633333333335</x:v>
      </x:c>
      <x:c r="R351" s="99" t="n">
        <x:v>-0.08658055555555556</x:v>
      </x:c>
      <x:c r="S351" s="45"/>
      <x:c r="T351" s="45"/>
      <x:c r="U351" s="51" t="d">
        <x:v>2026-09-30T00:00:00.000Z</x:v>
      </x:c>
      <x:c r="V351" s="51" t="d">
        <x:v>2026-09-30T00:00:00.000Z</x:v>
      </x:c>
      <x:c r="W351" s="109" t="n">
        <x:v>9</x:v>
      </x:c>
      <x:c r="X351" s="109" t="n">
        <x:v>9</x:v>
      </x:c>
      <x:c r="Y351" s="45" t="str">
        <x:v>sbx-mex/Perfil_Tienda_DM</x:v>
      </x:c>
      <x:c r="Z351" s="45" t="str">
        <x:v>2a6b0d21379739482f0b4c7be9b0f9a022e15f5b</x:v>
      </x:c>
      <x:c r="AA351" s="45" t="str">
        <x:v>8456a41c5e02d454e70a2531577ffb2e29f73e57e44a7762de681d568aa4227a</x:v>
      </x:c>
    </x:row>
    <x:row r="352" ht="23" customHeight="1">
      <x:c r="A352" s="50" t="str">
        <x:v>38906</x:v>
      </x:c>
      <x:c r="B352" s="51" t="d">
        <x:v>2026-09-30T00:00:00.000Z</x:v>
      </x:c>
      <x:c r="C352" s="99" t="n">
        <x:v>0.238411</x:v>
      </x:c>
      <x:c r="D352" s="100" t="n">
        <x:v>5.0244610000000005</x:v>
      </x:c>
      <x:c r="E352" s="100" t="n">
        <x:v>10.462039142857142</x:v>
      </x:c>
      <x:c r="F352" s="99" t="n">
        <x:v>0.184467625</x:v>
      </x:c>
      <x:c r="G352" s="99" t="n">
        <x:v>-0.0009539999999999965</x:v>
      </x:c>
      <x:c r="H352" s="101" t="n">
        <x:v>12915702</x:v>
      </x:c>
      <x:c r="I352" s="99" t="n">
        <x:v>-0.20725763663097296</x:v>
      </x:c>
      <x:c r="J352" s="100" t="n">
        <x:v>-61</x:v>
      </x:c>
      <x:c r="K352" s="100"/>
      <x:c r="L352" s="99" t="n">
        <x:v>0.509375</x:v>
      </x:c>
      <x:c r="M352" s="99" t="n">
        <x:v>0.62875</x:v>
      </x:c>
      <x:c r="N352" s="99"/>
      <x:c r="O352" s="99" t="n">
        <x:v>0.306202875</x:v>
      </x:c>
      <x:c r="P352" s="99" t="n">
        <x:v>0.045858249999999996</x:v>
      </x:c>
      <x:c r="Q352" s="99" t="n">
        <x:v>-0.0006001250000000017</x:v>
      </x:c>
      <x:c r="R352" s="99" t="n">
        <x:v>-0.0574205</x:v>
      </x:c>
      <x:c r="S352" s="45"/>
      <x:c r="T352" s="45"/>
      <x:c r="U352" s="51" t="d">
        <x:v>2026-09-30T00:00:00.000Z</x:v>
      </x:c>
      <x:c r="V352" s="51" t="d">
        <x:v>2026-09-30T00:00:00.000Z</x:v>
      </x:c>
      <x:c r="W352" s="109" t="n">
        <x:v>9</x:v>
      </x:c>
      <x:c r="X352" s="109" t="n">
        <x:v>9</x:v>
      </x:c>
      <x:c r="Y352" s="45" t="str">
        <x:v>sbx-mex/Perfil_Tienda_DM</x:v>
      </x:c>
      <x:c r="Z352" s="45" t="str">
        <x:v>2a6b0d21379739482f0b4c7be9b0f9a022e15f5b</x:v>
      </x:c>
      <x:c r="AA352" s="45" t="str">
        <x:v>8456a41c5e02d454e70a2531577ffb2e29f73e57e44a7762de681d568aa4227a</x:v>
      </x:c>
    </x:row>
    <x:row r="353" ht="23" customHeight="1">
      <x:c r="A353" s="50" t="str">
        <x:v>38943</x:v>
      </x:c>
      <x:c r="B353" s="51" t="d">
        <x:v>2026-09-30T00:00:00.000Z</x:v>
      </x:c>
      <x:c r="C353" s="99" t="n">
        <x:v>0.55814</x:v>
      </x:c>
      <x:c r="D353" s="100" t="n">
        <x:v>5.676349555555555</x:v>
      </x:c>
      <x:c r="E353" s="100" t="n">
        <x:v>11.356348222222222</x:v>
      </x:c>
      <x:c r="F353" s="99" t="n">
        <x:v>0.18918633333333335</x:v>
      </x:c>
      <x:c r="G353" s="99" t="n">
        <x:v>0.022124666666666667</x:v>
      </x:c>
      <x:c r="H353" s="101" t="n">
        <x:v>17974466</x:v>
      </x:c>
      <x:c r="I353" s="99" t="n">
        <x:v>-0.0010403871846178525</x:v>
      </x:c>
      <x:c r="J353" s="100" t="n">
        <x:v>15</x:v>
      </x:c>
      <x:c r="K353" s="100"/>
      <x:c r="L353" s="99" t="n">
        <x:v>0.48133333333333334</x:v>
      </x:c>
      <x:c r="M353" s="99" t="n">
        <x:v>0.5977777777777777</x:v>
      </x:c>
      <x:c r="N353" s="99"/>
      <x:c r="O353" s="99" t="n">
        <x:v>0.3033001111111111</x:v>
      </x:c>
      <x:c r="P353" s="99" t="n">
        <x:v>0.024367444444444435</x:v>
      </x:c>
      <x:c r="Q353" s="99" t="n">
        <x:v>0.03940055555555556</x:v>
      </x:c>
      <x:c r="R353" s="99" t="n">
        <x:v>-0.061373222222222225</x:v>
      </x:c>
      <x:c r="S353" s="45"/>
      <x:c r="T353" s="45"/>
      <x:c r="U353" s="51" t="d">
        <x:v>2026-09-30T00:00:00.000Z</x:v>
      </x:c>
      <x:c r="V353" s="51" t="d">
        <x:v>2026-09-30T00:00:00.000Z</x:v>
      </x:c>
      <x:c r="W353" s="109" t="n">
        <x:v>9</x:v>
      </x:c>
      <x:c r="X353" s="109" t="n">
        <x:v>9</x:v>
      </x:c>
      <x:c r="Y353" s="45" t="str">
        <x:v>sbx-mex/Perfil_Tienda_DM</x:v>
      </x:c>
      <x:c r="Z353" s="45" t="str">
        <x:v>2a6b0d21379739482f0b4c7be9b0f9a022e15f5b</x:v>
      </x:c>
      <x:c r="AA353" s="45" t="str">
        <x:v>8456a41c5e02d454e70a2531577ffb2e29f73e57e44a7762de681d568aa4227a</x:v>
      </x:c>
    </x:row>
    <x:row r="354" ht="23" customHeight="1">
      <x:c r="A354" s="50" t="str">
        <x:v>38173</x:v>
      </x:c>
      <x:c r="B354" s="51" t="d">
        <x:v>2026-09-30T00:00:00.000Z</x:v>
      </x:c>
      <x:c r="C354" s="99" t="n">
        <x:v>0.531646</x:v>
      </x:c>
      <x:c r="D354" s="100" t="n">
        <x:v>9.788155777777778</x:v>
      </x:c>
      <x:c r="E354" s="100" t="n">
        <x:v>20.264127555555557</x:v>
      </x:c>
      <x:c r="F354" s="99" t="n">
        <x:v>0.143596</x:v>
      </x:c>
      <x:c r="G354" s="99" t="n">
        <x:v>-0.0005786666666666687</x:v>
      </x:c>
      <x:c r="H354" s="101" t="n">
        <x:v>15407227</x:v>
      </x:c>
      <x:c r="I354" s="99" t="n">
        <x:v>-0.1398049872674143</x:v>
      </x:c>
      <x:c r="J354" s="100" t="n">
        <x:v>-24.77777777777778</x:v>
      </x:c>
      <x:c r="K354" s="100"/>
      <x:c r="L354" s="99" t="n">
        <x:v>0.5334444444444445</x:v>
      </x:c>
      <x:c r="M354" s="99" t="n">
        <x:v>0.6255555555555555</x:v>
      </x:c>
      <x:c r="N354" s="99"/>
      <x:c r="O354" s="99" t="n">
        <x:v>0.376183</x:v>
      </x:c>
      <x:c r="P354" s="99" t="n">
        <x:v>0.030719777777777783</x:v>
      </x:c>
      <x:c r="Q354" s="99" t="n">
        <x:v>0.25877866666666666</x:v>
      </x:c>
      <x:c r="R354" s="99" t="n">
        <x:v>-0.025048111111111108</x:v>
      </x:c>
      <x:c r="S354" s="45"/>
      <x:c r="T354" s="45"/>
      <x:c r="U354" s="51" t="d">
        <x:v>2026-09-30T00:00:00.000Z</x:v>
      </x:c>
      <x:c r="V354" s="51" t="d">
        <x:v>2026-09-30T00:00:00.000Z</x:v>
      </x:c>
      <x:c r="W354" s="109" t="n">
        <x:v>9</x:v>
      </x:c>
      <x:c r="X354" s="109" t="n">
        <x:v>9</x:v>
      </x:c>
      <x:c r="Y354" s="45" t="str">
        <x:v>sbx-mex/Perfil_Tienda_DM</x:v>
      </x:c>
      <x:c r="Z354" s="45" t="str">
        <x:v>2a6b0d21379739482f0b4c7be9b0f9a022e15f5b</x:v>
      </x:c>
      <x:c r="AA354" s="45" t="str">
        <x:v>8456a41c5e02d454e70a2531577ffb2e29f73e57e44a7762de681d568aa4227a</x:v>
      </x:c>
    </x:row>
    <x:row r="355" ht="23" customHeight="1">
      <x:c r="A355" s="50" t="str">
        <x:v>38312</x:v>
      </x:c>
      <x:c r="B355" s="51" t="d">
        <x:v>2026-09-30T00:00:00.000Z</x:v>
      </x:c>
      <x:c r="C355" s="99" t="n">
        <x:v>0.503497</x:v>
      </x:c>
      <x:c r="D355" s="100" t="n">
        <x:v>8.675936333333333</x:v>
      </x:c>
      <x:c r="E355" s="100" t="n">
        <x:v>14.560578</x:v>
      </x:c>
      <x:c r="F355" s="99" t="n">
        <x:v>0.230369</x:v>
      </x:c>
      <x:c r="G355" s="99" t="n">
        <x:v>-0.142887</x:v>
      </x:c>
      <x:c r="H355" s="101" t="n">
        <x:v>9117577</x:v>
      </x:c>
      <x:c r="I355" s="99" t="n">
        <x:v>0.36293409549608624</x:v>
      </x:c>
      <x:c r="J355" s="100" t="n">
        <x:v>-76.22222222222223</x:v>
      </x:c>
      <x:c r="K355" s="100"/>
      <x:c r="L355" s="99" t="n">
        <x:v>0.6897777777777778</x:v>
      </x:c>
      <x:c r="M355" s="99" t="n">
        <x:v>0.7344444444444443</x:v>
      </x:c>
      <x:c r="N355" s="99"/>
      <x:c r="O355" s="99" t="n">
        <x:v>0.3672131111111111</x:v>
      </x:c>
      <x:c r="P355" s="99" t="n">
        <x:v>0.001580555555555548</x:v>
      </x:c>
      <x:c r="Q355" s="99" t="n">
        <x:v>0.1677468888888889</x:v>
      </x:c>
      <x:c r="R355" s="99" t="n">
        <x:v>0.21208055555555555</x:v>
      </x:c>
      <x:c r="S355" s="45"/>
      <x:c r="T355" s="45"/>
      <x:c r="U355" s="51" t="d">
        <x:v>2026-09-30T00:00:00.000Z</x:v>
      </x:c>
      <x:c r="V355" s="51" t="d">
        <x:v>2026-09-30T00:00:00.000Z</x:v>
      </x:c>
      <x:c r="W355" s="109" t="n">
        <x:v>9</x:v>
      </x:c>
      <x:c r="X355" s="109" t="n">
        <x:v>9</x:v>
      </x:c>
      <x:c r="Y355" s="45" t="str">
        <x:v>sbx-mex/Perfil_Tienda_DM</x:v>
      </x:c>
      <x:c r="Z355" s="45" t="str">
        <x:v>2a6b0d21379739482f0b4c7be9b0f9a022e15f5b</x:v>
      </x:c>
      <x:c r="AA355" s="45" t="str">
        <x:v>8456a41c5e02d454e70a2531577ffb2e29f73e57e44a7762de681d568aa4227a</x:v>
      </x:c>
    </x:row>
    <x:row r="356" ht="23" customHeight="1">
      <x:c r="A356" s="50" t="str">
        <x:v>38432</x:v>
      </x:c>
      <x:c r="B356" s="51" t="d">
        <x:v>2026-09-30T00:00:00.000Z</x:v>
      </x:c>
      <x:c r="C356" s="99" t="n">
        <x:v>0.211765</x:v>
      </x:c>
      <x:c r="D356" s="100" t="n">
        <x:v>7.802633444444445</x:v>
      </x:c>
      <x:c r="E356" s="100" t="n">
        <x:v>16.31046688888889</x:v>
      </x:c>
      <x:c r="F356" s="99" t="n">
        <x:v>0.15206733333333333</x:v>
      </x:c>
      <x:c r="G356" s="99" t="n">
        <x:v>-0.15742655555555557</x:v>
      </x:c>
      <x:c r="H356" s="101" t="n">
        <x:v>15391070</x:v>
      </x:c>
      <x:c r="I356" s="99" t="n">
        <x:v>0.08041167348567879</x:v>
      </x:c>
      <x:c r="J356" s="100" t="n">
        <x:v>-0.2222222222222222</x:v>
      </x:c>
      <x:c r="K356" s="100"/>
      <x:c r="L356" s="99" t="n">
        <x:v>0.5276666666666666</x:v>
      </x:c>
      <x:c r="M356" s="99" t="n">
        <x:v>0.6266666666666666</x:v>
      </x:c>
      <x:c r="N356" s="99"/>
      <x:c r="O356" s="99" t="n">
        <x:v>0.40103744444444445</x:v>
      </x:c>
      <x:c r="P356" s="99" t="n">
        <x:v>0.030904222222222208</x:v>
      </x:c>
      <x:c r="Q356" s="99" t="n">
        <x:v>0.122899</x:v>
      </x:c>
      <x:c r="R356" s="99" t="n">
        <x:v>0.31516411111111114</x:v>
      </x:c>
      <x:c r="S356" s="45"/>
      <x:c r="T356" s="45"/>
      <x:c r="U356" s="51" t="d">
        <x:v>2026-09-30T00:00:00.000Z</x:v>
      </x:c>
      <x:c r="V356" s="51" t="d">
        <x:v>2026-09-30T00:00:00.000Z</x:v>
      </x:c>
      <x:c r="W356" s="109" t="n">
        <x:v>9</x:v>
      </x:c>
      <x:c r="X356" s="109" t="n">
        <x:v>9</x:v>
      </x:c>
      <x:c r="Y356" s="45" t="str">
        <x:v>sbx-mex/Perfil_Tienda_DM</x:v>
      </x:c>
      <x:c r="Z356" s="45" t="str">
        <x:v>2a6b0d21379739482f0b4c7be9b0f9a022e15f5b</x:v>
      </x:c>
      <x:c r="AA356" s="45" t="str">
        <x:v>8456a41c5e02d454e70a2531577ffb2e29f73e57e44a7762de681d568aa4227a</x:v>
      </x:c>
    </x:row>
    <x:row r="357" ht="23" customHeight="1">
      <x:c r="A357" s="50" t="str">
        <x:v>38440</x:v>
      </x:c>
      <x:c r="B357" s="51" t="d">
        <x:v>2026-09-30T00:00:00.000Z</x:v>
      </x:c>
      <x:c r="C357" s="99" t="n">
        <x:v>0.26087</x:v>
      </x:c>
      <x:c r="D357" s="100" t="n">
        <x:v>6.3411335555555555</x:v>
      </x:c>
      <x:c r="E357" s="100" t="n">
        <x:v>13.103179777777777</x:v>
      </x:c>
      <x:c r="F357" s="99" t="n">
        <x:v>0.17535855555555557</x:v>
      </x:c>
      <x:c r="G357" s="99" t="n">
        <x:v>-0.005511444444444442</x:v>
      </x:c>
      <x:c r="H357" s="101" t="n">
        <x:v>11018170</x:v>
      </x:c>
      <x:c r="I357" s="99" t="n">
        <x:v>-0.08270911616688903</x:v>
      </x:c>
      <x:c r="J357" s="100" t="n">
        <x:v>-23.333333333333332</x:v>
      </x:c>
      <x:c r="K357" s="100"/>
      <x:c r="L357" s="99" t="n">
        <x:v>0.5263333333333333</x:v>
      </x:c>
      <x:c r="M357" s="99" t="n">
        <x:v>0.6766666666666666</x:v>
      </x:c>
      <x:c r="N357" s="99"/>
      <x:c r="O357" s="99" t="n">
        <x:v>0.36987566666666666</x:v>
      </x:c>
      <x:c r="P357" s="99" t="n">
        <x:v>0.03149811111111111</x:v>
      </x:c>
      <x:c r="Q357" s="99" t="n">
        <x:v>0.1380097777777778</x:v>
      </x:c>
      <x:c r="R357" s="99" t="n">
        <x:v>-0.017825555555555553</x:v>
      </x:c>
      <x:c r="S357" s="45"/>
      <x:c r="T357" s="45"/>
      <x:c r="U357" s="51" t="d">
        <x:v>2026-09-30T00:00:00.000Z</x:v>
      </x:c>
      <x:c r="V357" s="51" t="d">
        <x:v>2026-09-30T00:00:00.000Z</x:v>
      </x:c>
      <x:c r="W357" s="109" t="n">
        <x:v>9</x:v>
      </x:c>
      <x:c r="X357" s="109" t="n">
        <x:v>9</x:v>
      </x:c>
      <x:c r="Y357" s="45" t="str">
        <x:v>sbx-mex/Perfil_Tienda_DM</x:v>
      </x:c>
      <x:c r="Z357" s="45" t="str">
        <x:v>2a6b0d21379739482f0b4c7be9b0f9a022e15f5b</x:v>
      </x:c>
      <x:c r="AA357" s="45" t="str">
        <x:v>8456a41c5e02d454e70a2531577ffb2e29f73e57e44a7762de681d568aa4227a</x:v>
      </x:c>
    </x:row>
    <x:row r="358" ht="23" customHeight="1">
      <x:c r="A358" s="50" t="str">
        <x:v>38483</x:v>
      </x:c>
      <x:c r="B358" s="51" t="d">
        <x:v>2026-09-30T00:00:00.000Z</x:v>
      </x:c>
      <x:c r="C358" s="99" t="n">
        <x:v>0.587413</x:v>
      </x:c>
      <x:c r="D358" s="100" t="n">
        <x:v>7.0884833333333335</x:v>
      </x:c>
      <x:c r="E358" s="100" t="n">
        <x:v>15.012731333333335</x:v>
      </x:c>
      <x:c r="F358" s="99" t="n">
        <x:v>0.165402</x:v>
      </x:c>
      <x:c r="G358" s="99" t="n">
        <x:v>0.009715888888888885</x:v>
      </x:c>
      <x:c r="H358" s="101" t="n">
        <x:v>11977879</x:v>
      </x:c>
      <x:c r="I358" s="99" t="n">
        <x:v>-0.07373839228611756</x:v>
      </x:c>
      <x:c r="J358" s="100" t="n">
        <x:v>-16.11111111111111</x:v>
      </x:c>
      <x:c r="K358" s="100"/>
      <x:c r="L358" s="99" t="n">
        <x:v>0.5038888888888889</x:v>
      </x:c>
      <x:c r="M358" s="99" t="n">
        <x:v>0.5877777777777777</x:v>
      </x:c>
      <x:c r="N358" s="99"/>
      <x:c r="O358" s="99" t="n">
        <x:v>0.38976355555555553</x:v>
      </x:c>
      <x:c r="P358" s="99" t="n">
        <x:v>0.034472</x:v>
      </x:c>
      <x:c r="Q358" s="99" t="n">
        <x:v>0.20608555555555555</x:v>
      </x:c>
      <x:c r="R358" s="99" t="n">
        <x:v>-0.022062666666666668</x:v>
      </x:c>
      <x:c r="S358" s="45"/>
      <x:c r="T358" s="45"/>
      <x:c r="U358" s="51" t="d">
        <x:v>2026-09-30T00:00:00.000Z</x:v>
      </x:c>
      <x:c r="V358" s="51" t="d">
        <x:v>2026-09-30T00:00:00.000Z</x:v>
      </x:c>
      <x:c r="W358" s="109" t="n">
        <x:v>9</x:v>
      </x:c>
      <x:c r="X358" s="109" t="n">
        <x:v>9</x:v>
      </x:c>
      <x:c r="Y358" s="45" t="str">
        <x:v>sbx-mex/Perfil_Tienda_DM</x:v>
      </x:c>
      <x:c r="Z358" s="45" t="str">
        <x:v>2a6b0d21379739482f0b4c7be9b0f9a022e15f5b</x:v>
      </x:c>
      <x:c r="AA358" s="45" t="str">
        <x:v>8456a41c5e02d454e70a2531577ffb2e29f73e57e44a7762de681d568aa4227a</x:v>
      </x:c>
    </x:row>
    <x:row r="359" ht="23" customHeight="1">
      <x:c r="A359" s="50" t="str">
        <x:v>38554</x:v>
      </x:c>
      <x:c r="B359" s="51" t="d">
        <x:v>2026-09-30T00:00:00.000Z</x:v>
      </x:c>
      <x:c r="C359" s="99" t="n">
        <x:v>0.285714</x:v>
      </x:c>
      <x:c r="D359" s="100" t="n">
        <x:v>6.717245777777778</x:v>
      </x:c>
      <x:c r="E359" s="100" t="n">
        <x:v>13.207474444444445</x:v>
      </x:c>
      <x:c r="F359" s="99" t="n">
        <x:v>0.149038</x:v>
      </x:c>
      <x:c r="G359" s="99" t="n">
        <x:v>-0.0006768888888888905</x:v>
      </x:c>
      <x:c r="H359" s="101" t="n">
        <x:v>14938671</x:v>
      </x:c>
      <x:c r="I359" s="99" t="n">
        <x:v>-0.03395846702178851</x:v>
      </x:c>
      <x:c r="J359" s="100" t="n">
        <x:v>8.666666666666666</x:v>
      </x:c>
      <x:c r="K359" s="100"/>
      <x:c r="L359" s="99" t="n">
        <x:v>0.41866666666666663</x:v>
      </x:c>
      <x:c r="M359" s="99" t="n">
        <x:v>0.5166666666666667</x:v>
      </x:c>
      <x:c r="N359" s="99"/>
      <x:c r="O359" s="99" t="n">
        <x:v>0.3853331111111111</x:v>
      </x:c>
      <x:c r="P359" s="99" t="n">
        <x:v>0.04037266666666667</x:v>
      </x:c>
      <x:c r="Q359" s="99" t="n">
        <x:v>0.2213411111111111</x:v>
      </x:c>
      <x:c r="R359" s="99" t="n">
        <x:v>-0.05200244444444445</x:v>
      </x:c>
      <x:c r="S359" s="45"/>
      <x:c r="T359" s="45"/>
      <x:c r="U359" s="51" t="d">
        <x:v>2026-09-30T00:00:00.000Z</x:v>
      </x:c>
      <x:c r="V359" s="51" t="d">
        <x:v>2026-09-30T00:00:00.000Z</x:v>
      </x:c>
      <x:c r="W359" s="109" t="n">
        <x:v>9</x:v>
      </x:c>
      <x:c r="X359" s="109" t="n">
        <x:v>9</x:v>
      </x:c>
      <x:c r="Y359" s="45" t="str">
        <x:v>sbx-mex/Perfil_Tienda_DM</x:v>
      </x:c>
      <x:c r="Z359" s="45" t="str">
        <x:v>2a6b0d21379739482f0b4c7be9b0f9a022e15f5b</x:v>
      </x:c>
      <x:c r="AA359" s="45" t="str">
        <x:v>8456a41c5e02d454e70a2531577ffb2e29f73e57e44a7762de681d568aa4227a</x:v>
      </x:c>
    </x:row>
    <x:row r="360" ht="23" customHeight="1">
      <x:c r="A360" s="50" t="str">
        <x:v>38556</x:v>
      </x:c>
      <x:c r="B360" s="51" t="d">
        <x:v>2026-09-30T00:00:00.000Z</x:v>
      </x:c>
      <x:c r="C360" s="99" t="n">
        <x:v>0.531646</x:v>
      </x:c>
      <x:c r="D360" s="100" t="n">
        <x:v>6.190290555555555</x:v>
      </x:c>
      <x:c r="E360" s="100" t="n">
        <x:v>13.203709222222223</x:v>
      </x:c>
      <x:c r="F360" s="99" t="n">
        <x:v>0.16748044444444443</x:v>
      </x:c>
      <x:c r="G360" s="99" t="n">
        <x:v>0.012437222222222218</x:v>
      </x:c>
      <x:c r="H360" s="101" t="n">
        <x:v>13261094</x:v>
      </x:c>
      <x:c r="I360" s="99" t="n">
        <x:v>-0.12831527505945362</x:v>
      </x:c>
      <x:c r="J360" s="100" t="n">
        <x:v>-21.88888888888889</x:v>
      </x:c>
      <x:c r="K360" s="100"/>
      <x:c r="L360" s="99" t="n">
        <x:v>0.509</x:v>
      </x:c>
      <x:c r="M360" s="99" t="n">
        <x:v>0.6155555555555555</x:v>
      </x:c>
      <x:c r="N360" s="99"/>
      <x:c r="O360" s="99" t="n">
        <x:v>0.38239833333333334</x:v>
      </x:c>
      <x:c r="P360" s="99" t="n">
        <x:v>0.02403477777777778</x:v>
      </x:c>
      <x:c r="Q360" s="99" t="n">
        <x:v>0.2029976666666667</x:v>
      </x:c>
      <x:c r="R360" s="99" t="n">
        <x:v>-0.047203777777777775</x:v>
      </x:c>
      <x:c r="S360" s="45"/>
      <x:c r="T360" s="45"/>
      <x:c r="U360" s="51" t="d">
        <x:v>2026-09-30T00:00:00.000Z</x:v>
      </x:c>
      <x:c r="V360" s="51" t="d">
        <x:v>2026-09-30T00:00:00.000Z</x:v>
      </x:c>
      <x:c r="W360" s="109" t="n">
        <x:v>9</x:v>
      </x:c>
      <x:c r="X360" s="109" t="n">
        <x:v>9</x:v>
      </x:c>
      <x:c r="Y360" s="45" t="str">
        <x:v>sbx-mex/Perfil_Tienda_DM</x:v>
      </x:c>
      <x:c r="Z360" s="45" t="str">
        <x:v>2a6b0d21379739482f0b4c7be9b0f9a022e15f5b</x:v>
      </x:c>
      <x:c r="AA360" s="45" t="str">
        <x:v>8456a41c5e02d454e70a2531577ffb2e29f73e57e44a7762de681d568aa4227a</x:v>
      </x:c>
    </x:row>
    <x:row r="361" ht="23" customHeight="1">
      <x:c r="A361" s="50" t="str">
        <x:v>38558</x:v>
      </x:c>
      <x:c r="B361" s="51" t="d">
        <x:v>2026-09-30T00:00:00.000Z</x:v>
      </x:c>
      <x:c r="C361" s="99" t="n">
        <x:v>0.553846</x:v>
      </x:c>
      <x:c r="D361" s="100" t="n">
        <x:v>5.730555666666667</x:v>
      </x:c>
      <x:c r="E361" s="100" t="n">
        <x:v>13.007743111111111</x:v>
      </x:c>
      <x:c r="F361" s="99" t="n">
        <x:v>0.21555355555555555</x:v>
      </x:c>
      <x:c r="G361" s="99" t="n">
        <x:v>0.020653444444444446</x:v>
      </x:c>
      <x:c r="H361" s="101" t="n">
        <x:v>9438123</x:v>
      </x:c>
      <x:c r="I361" s="99" t="n">
        <x:v>-0.11941329857170413</x:v>
      </x:c>
      <x:c r="J361" s="100" t="n">
        <x:v>4.444444444444445</x:v>
      </x:c>
      <x:c r="K361" s="100"/>
      <x:c r="L361" s="99" t="n">
        <x:v>0.5091111111111111</x:v>
      </x:c>
      <x:c r="M361" s="99" t="n">
        <x:v>0.5988888888888888</x:v>
      </x:c>
      <x:c r="N361" s="99"/>
      <x:c r="O361" s="99" t="n">
        <x:v>0.415024</x:v>
      </x:c>
      <x:c r="P361" s="99" t="n">
        <x:v>0.03415222222222222</x:v>
      </x:c>
      <x:c r="Q361" s="99" t="n">
        <x:v>0.05569233333333333</x:v>
      </x:c>
      <x:c r="R361" s="99" t="n">
        <x:v>-0.072221</x:v>
      </x:c>
      <x:c r="S361" s="45"/>
      <x:c r="T361" s="45"/>
      <x:c r="U361" s="51" t="d">
        <x:v>2026-09-30T00:00:00.000Z</x:v>
      </x:c>
      <x:c r="V361" s="51" t="d">
        <x:v>2026-09-30T00:00:00.000Z</x:v>
      </x:c>
      <x:c r="W361" s="109" t="n">
        <x:v>9</x:v>
      </x:c>
      <x:c r="X361" s="109" t="n">
        <x:v>9</x:v>
      </x:c>
      <x:c r="Y361" s="45" t="str">
        <x:v>sbx-mex/Perfil_Tienda_DM</x:v>
      </x:c>
      <x:c r="Z361" s="45" t="str">
        <x:v>2a6b0d21379739482f0b4c7be9b0f9a022e15f5b</x:v>
      </x:c>
      <x:c r="AA361" s="45" t="str">
        <x:v>8456a41c5e02d454e70a2531577ffb2e29f73e57e44a7762de681d568aa4227a</x:v>
      </x:c>
    </x:row>
    <x:row r="362" ht="23" customHeight="1">
      <x:c r="A362" s="50" t="str">
        <x:v>38602</x:v>
      </x:c>
      <x:c r="B362" s="51" t="d">
        <x:v>2026-09-30T00:00:00.000Z</x:v>
      </x:c>
      <x:c r="C362" s="99" t="n">
        <x:v>0.410256</x:v>
      </x:c>
      <x:c r="D362" s="100" t="n">
        <x:v>5.875473777777778</x:v>
      </x:c>
      <x:c r="E362" s="100" t="n">
        <x:v>12.44377711111111</x:v>
      </x:c>
      <x:c r="F362" s="99" t="n">
        <x:v>0.20012566666666667</x:v>
      </x:c>
      <x:c r="G362" s="99" t="n">
        <x:v>0.020418777777777786</x:v>
      </x:c>
      <x:c r="H362" s="101" t="n">
        <x:v>8690796</x:v>
      </x:c>
      <x:c r="I362" s="99" t="n">
        <x:v>-0.142689029187951</x:v>
      </x:c>
      <x:c r="J362" s="100" t="n">
        <x:v>-9.11111111111111</x:v>
      </x:c>
      <x:c r="K362" s="100"/>
      <x:c r="L362" s="99" t="n">
        <x:v>0.5818888888888889</x:v>
      </x:c>
      <x:c r="M362" s="99" t="n">
        <x:v>0.6811111111111111</x:v>
      </x:c>
      <x:c r="N362" s="99"/>
      <x:c r="O362" s="99" t="n">
        <x:v>0.40148022222222224</x:v>
      </x:c>
      <x:c r="P362" s="99" t="n">
        <x:v>0.04298622222222221</x:v>
      </x:c>
      <x:c r="Q362" s="99" t="n">
        <x:v>0.06878666666666666</x:v>
      </x:c>
      <x:c r="R362" s="99" t="n">
        <x:v>-0.08829633333333334</x:v>
      </x:c>
      <x:c r="S362" s="45"/>
      <x:c r="T362" s="45"/>
      <x:c r="U362" s="51" t="d">
        <x:v>2026-09-30T00:00:00.000Z</x:v>
      </x:c>
      <x:c r="V362" s="51" t="d">
        <x:v>2026-09-30T00:00:00.000Z</x:v>
      </x:c>
      <x:c r="W362" s="109" t="n">
        <x:v>9</x:v>
      </x:c>
      <x:c r="X362" s="109" t="n">
        <x:v>9</x:v>
      </x:c>
      <x:c r="Y362" s="45" t="str">
        <x:v>sbx-mex/Perfil_Tienda_DM</x:v>
      </x:c>
      <x:c r="Z362" s="45" t="str">
        <x:v>2a6b0d21379739482f0b4c7be9b0f9a022e15f5b</x:v>
      </x:c>
      <x:c r="AA362" s="45" t="str">
        <x:v>8456a41c5e02d454e70a2531577ffb2e29f73e57e44a7762de681d568aa4227a</x:v>
      </x:c>
    </x:row>
    <x:row r="363" ht="23" customHeight="1">
      <x:c r="A363" s="50" t="str">
        <x:v>38658</x:v>
      </x:c>
      <x:c r="B363" s="51" t="d">
        <x:v>2026-09-30T00:00:00.000Z</x:v>
      </x:c>
      <x:c r="C363" s="99" t="n">
        <x:v>0.338028</x:v>
      </x:c>
      <x:c r="D363" s="100" t="n">
        <x:v>7.369089444444445</x:v>
      </x:c>
      <x:c r="E363" s="100" t="n">
        <x:v>15.735105222222224</x:v>
      </x:c>
      <x:c r="F363" s="99" t="n">
        <x:v>0.1358911111111111</x:v>
      </x:c>
      <x:c r="G363" s="99" t="n">
        <x:v>0.00897211111111111</x:v>
      </x:c>
      <x:c r="H363" s="101" t="n">
        <x:v>21810316</x:v>
      </x:c>
      <x:c r="I363" s="99" t="n">
        <x:v>-0.0998381271974097</x:v>
      </x:c>
      <x:c r="J363" s="100" t="n">
        <x:v>-17</x:v>
      </x:c>
      <x:c r="K363" s="100"/>
      <x:c r="L363" s="99" t="n">
        <x:v>0.4503333333333333</x:v>
      </x:c>
      <x:c r="M363" s="99" t="n">
        <x:v>0.5788888888888889</x:v>
      </x:c>
      <x:c r="N363" s="99"/>
      <x:c r="O363" s="99" t="n">
        <x:v>0.3625658888888889</x:v>
      </x:c>
      <x:c r="P363" s="99" t="n">
        <x:v>0.02477111111111112</x:v>
      </x:c>
      <x:c r="Q363" s="99" t="n">
        <x:v>0.23040644444444444</x:v>
      </x:c>
      <x:c r="R363" s="99" t="n">
        <x:v>-0.05970833333333333</x:v>
      </x:c>
      <x:c r="S363" s="45"/>
      <x:c r="T363" s="45"/>
      <x:c r="U363" s="51" t="d">
        <x:v>2026-09-30T00:00:00.000Z</x:v>
      </x:c>
      <x:c r="V363" s="51" t="d">
        <x:v>2026-09-30T00:00:00.000Z</x:v>
      </x:c>
      <x:c r="W363" s="109" t="n">
        <x:v>9</x:v>
      </x:c>
      <x:c r="X363" s="109" t="n">
        <x:v>9</x:v>
      </x:c>
      <x:c r="Y363" s="45" t="str">
        <x:v>sbx-mex/Perfil_Tienda_DM</x:v>
      </x:c>
      <x:c r="Z363" s="45" t="str">
        <x:v>2a6b0d21379739482f0b4c7be9b0f9a022e15f5b</x:v>
      </x:c>
      <x:c r="AA363" s="45" t="str">
        <x:v>8456a41c5e02d454e70a2531577ffb2e29f73e57e44a7762de681d568aa4227a</x:v>
      </x:c>
    </x:row>
    <x:row r="364" ht="23" customHeight="1">
      <x:c r="A364" s="50" t="str">
        <x:v>38752</x:v>
      </x:c>
      <x:c r="B364" s="51" t="d">
        <x:v>2026-09-30T00:00:00.000Z</x:v>
      </x:c>
      <x:c r="C364" s="99" t="n">
        <x:v>0.3</x:v>
      </x:c>
      <x:c r="D364" s="100" t="n">
        <x:v>6.469698111111111</x:v>
      </x:c>
      <x:c r="E364" s="100" t="n">
        <x:v>14.594827222222222</x:v>
      </x:c>
      <x:c r="F364" s="99" t="n">
        <x:v>0.19748244444444443</x:v>
      </x:c>
      <x:c r="G364" s="99" t="n">
        <x:v>0.02958644444444444</x:v>
      </x:c>
      <x:c r="H364" s="101" t="n">
        <x:v>10371206</x:v>
      </x:c>
      <x:c r="I364" s="99" t="n">
        <x:v>-0.07409026296271282</x:v>
      </x:c>
      <x:c r="J364" s="100" t="n">
        <x:v>-3.5555555555555554</x:v>
      </x:c>
      <x:c r="K364" s="100"/>
      <x:c r="L364" s="99" t="n">
        <x:v>0.5201111111111111</x:v>
      </x:c>
      <x:c r="M364" s="99" t="n">
        <x:v>0.6322222222222222</x:v>
      </x:c>
      <x:c r="N364" s="99"/>
      <x:c r="O364" s="99" t="n">
        <x:v>0.4068016666666667</x:v>
      </x:c>
      <x:c r="P364" s="99" t="n">
        <x:v>0.042426000000000005</x:v>
      </x:c>
      <x:c r="Q364" s="99" t="n">
        <x:v>0.15503855555555557</x:v>
      </x:c>
      <x:c r="R364" s="99" t="n">
        <x:v>-0.050449666666666663</x:v>
      </x:c>
      <x:c r="S364" s="45"/>
      <x:c r="T364" s="45"/>
      <x:c r="U364" s="51" t="d">
        <x:v>2026-09-30T00:00:00.000Z</x:v>
      </x:c>
      <x:c r="V364" s="51" t="d">
        <x:v>2026-09-30T00:00:00.000Z</x:v>
      </x:c>
      <x:c r="W364" s="109" t="n">
        <x:v>9</x:v>
      </x:c>
      <x:c r="X364" s="109" t="n">
        <x:v>9</x:v>
      </x:c>
      <x:c r="Y364" s="45" t="str">
        <x:v>sbx-mex/Perfil_Tienda_DM</x:v>
      </x:c>
      <x:c r="Z364" s="45" t="str">
        <x:v>2a6b0d21379739482f0b4c7be9b0f9a022e15f5b</x:v>
      </x:c>
      <x:c r="AA364" s="45" t="str">
        <x:v>8456a41c5e02d454e70a2531577ffb2e29f73e57e44a7762de681d568aa4227a</x:v>
      </x:c>
    </x:row>
    <x:row r="365" ht="23" customHeight="1">
      <x:c r="A365" s="50" t="str">
        <x:v>38850</x:v>
      </x:c>
      <x:c r="B365" s="51" t="d">
        <x:v>2026-09-30T00:00:00.000Z</x:v>
      </x:c>
      <x:c r="C365" s="99" t="n">
        <x:v>0.736842</x:v>
      </x:c>
      <x:c r="D365" s="100" t="n">
        <x:v>6.6439625555555555</x:v>
      </x:c>
      <x:c r="E365" s="100" t="n">
        <x:v>14.793869888888887</x:v>
      </x:c>
      <x:c r="F365" s="99" t="n">
        <x:v>0.140879</x:v>
      </x:c>
      <x:c r="G365" s="99" t="n">
        <x:v>-0.01901644444444445</x:v>
      </x:c>
      <x:c r="H365" s="101" t="n">
        <x:v>11286265</x:v>
      </x:c>
      <x:c r="I365" s="99" t="n">
        <x:v>0.037671270777214216</x:v>
      </x:c>
      <x:c r="J365" s="100" t="n">
        <x:v>0.1111111111111111</x:v>
      </x:c>
      <x:c r="K365" s="100"/>
      <x:c r="L365" s="99" t="n">
        <x:v>0.5854444444444444</x:v>
      </x:c>
      <x:c r="M365" s="99" t="n">
        <x:v>0.6222222222222222</x:v>
      </x:c>
      <x:c r="N365" s="99"/>
      <x:c r="O365" s="99" t="n">
        <x:v>0.3876402222222222</x:v>
      </x:c>
      <x:c r="P365" s="99" t="n">
        <x:v>0.038484333333333336</x:v>
      </x:c>
      <x:c r="Q365" s="99" t="n">
        <x:v>0.10920755555555556</x:v>
      </x:c>
      <x:c r="R365" s="99" t="n">
        <x:v>0.005555777777777777</x:v>
      </x:c>
      <x:c r="S365" s="45"/>
      <x:c r="T365" s="45"/>
      <x:c r="U365" s="51" t="d">
        <x:v>2026-09-30T00:00:00.000Z</x:v>
      </x:c>
      <x:c r="V365" s="51" t="d">
        <x:v>2026-09-30T00:00:00.000Z</x:v>
      </x:c>
      <x:c r="W365" s="109" t="n">
        <x:v>9</x:v>
      </x:c>
      <x:c r="X365" s="109" t="n">
        <x:v>9</x:v>
      </x:c>
      <x:c r="Y365" s="45" t="str">
        <x:v>sbx-mex/Perfil_Tienda_DM</x:v>
      </x:c>
      <x:c r="Z365" s="45" t="str">
        <x:v>2a6b0d21379739482f0b4c7be9b0f9a022e15f5b</x:v>
      </x:c>
      <x:c r="AA365" s="45" t="str">
        <x:v>8456a41c5e02d454e70a2531577ffb2e29f73e57e44a7762de681d568aa4227a</x:v>
      </x:c>
    </x:row>
    <x:row r="366" ht="23" customHeight="1">
      <x:c r="A366" s="50" t="str">
        <x:v>38156</x:v>
      </x:c>
      <x:c r="B366" s="51"/>
      <x:c r="C366" s="99"/>
      <x:c r="D366" s="100"/>
      <x:c r="E366" s="100"/>
      <x:c r="F366" s="99"/>
      <x:c r="G366" s="99"/>
      <x:c r="H366" s="101"/>
      <x:c r="I366" s="99"/>
      <x:c r="J366" s="100"/>
      <x:c r="K366" s="100"/>
      <x:c r="L366" s="99"/>
      <x:c r="M366" s="99"/>
      <x:c r="N366" s="99"/>
      <x:c r="O366" s="99"/>
      <x:c r="P366" s="99"/>
      <x:c r="Q366" s="99"/>
      <x:c r="R366" s="99"/>
      <x:c r="S366" s="45"/>
      <x:c r="T366" s="45"/>
      <x:c r="U366" s="51"/>
      <x:c r="V366" s="51"/>
      <x:c r="W366" s="109" t="n">
        <x:v>0</x:v>
      </x:c>
      <x:c r="X366" s="109" t="n">
        <x:v>0</x:v>
      </x:c>
      <x:c r="Y366" s="45"/>
      <x:c r="Z366" s="45"/>
      <x:c r="AA366" s="45"/>
    </x:row>
    <x:row r="367" ht="23" customHeight="1">
      <x:c r="A367" s="50" t="str">
        <x:v>38202</x:v>
      </x:c>
      <x:c r="B367" s="51"/>
      <x:c r="C367" s="99"/>
      <x:c r="D367" s="100"/>
      <x:c r="E367" s="100"/>
      <x:c r="F367" s="99"/>
      <x:c r="G367" s="99"/>
      <x:c r="H367" s="101"/>
      <x:c r="I367" s="99"/>
      <x:c r="J367" s="100"/>
      <x:c r="K367" s="100"/>
      <x:c r="L367" s="99"/>
      <x:c r="M367" s="99"/>
      <x:c r="N367" s="99"/>
      <x:c r="O367" s="99"/>
      <x:c r="P367" s="99"/>
      <x:c r="Q367" s="99"/>
      <x:c r="R367" s="99"/>
      <x:c r="S367" s="45"/>
      <x:c r="T367" s="45"/>
      <x:c r="U367" s="51"/>
      <x:c r="V367" s="51"/>
      <x:c r="W367" s="109" t="n">
        <x:v>0</x:v>
      </x:c>
      <x:c r="X367" s="109" t="n">
        <x:v>0</x:v>
      </x:c>
      <x:c r="Y367" s="45"/>
      <x:c r="Z367" s="45"/>
      <x:c r="AA367" s="45"/>
    </x:row>
    <x:row r="368" ht="23" customHeight="1">
      <x:c r="A368" s="50" t="str">
        <x:v>38421</x:v>
      </x:c>
      <x:c r="B368" s="51"/>
      <x:c r="C368" s="99"/>
      <x:c r="D368" s="100"/>
      <x:c r="E368" s="100"/>
      <x:c r="F368" s="99"/>
      <x:c r="G368" s="99"/>
      <x:c r="H368" s="101"/>
      <x:c r="I368" s="99"/>
      <x:c r="J368" s="100"/>
      <x:c r="K368" s="100"/>
      <x:c r="L368" s="99"/>
      <x:c r="M368" s="99"/>
      <x:c r="N368" s="99"/>
      <x:c r="O368" s="99"/>
      <x:c r="P368" s="99"/>
      <x:c r="Q368" s="99"/>
      <x:c r="R368" s="99"/>
      <x:c r="S368" s="45"/>
      <x:c r="T368" s="45"/>
      <x:c r="U368" s="51"/>
      <x:c r="V368" s="51"/>
      <x:c r="W368" s="109" t="n">
        <x:v>0</x:v>
      </x:c>
      <x:c r="X368" s="109" t="n">
        <x:v>0</x:v>
      </x:c>
      <x:c r="Y368" s="45"/>
      <x:c r="Z368" s="45"/>
      <x:c r="AA368" s="45"/>
    </x:row>
    <x:row r="369" ht="23" customHeight="1">
      <x:c r="A369" s="50" t="str">
        <x:v>38495</x:v>
      </x:c>
      <x:c r="B369" s="51"/>
      <x:c r="C369" s="99"/>
      <x:c r="D369" s="100"/>
      <x:c r="E369" s="100"/>
      <x:c r="F369" s="99"/>
      <x:c r="G369" s="99"/>
      <x:c r="H369" s="101"/>
      <x:c r="I369" s="99"/>
      <x:c r="J369" s="100"/>
      <x:c r="K369" s="100"/>
      <x:c r="L369" s="99"/>
      <x:c r="M369" s="99"/>
      <x:c r="N369" s="99"/>
      <x:c r="O369" s="99"/>
      <x:c r="P369" s="99"/>
      <x:c r="Q369" s="99"/>
      <x:c r="R369" s="99"/>
      <x:c r="S369" s="45"/>
      <x:c r="T369" s="45"/>
      <x:c r="U369" s="51"/>
      <x:c r="V369" s="51"/>
      <x:c r="W369" s="109" t="n">
        <x:v>0</x:v>
      </x:c>
      <x:c r="X369" s="109" t="n">
        <x:v>0</x:v>
      </x:c>
      <x:c r="Y369" s="45"/>
      <x:c r="Z369" s="45"/>
      <x:c r="AA369" s="45"/>
    </x:row>
    <x:row r="370" ht="23" customHeight="1">
      <x:c r="A370" s="50" t="str">
        <x:v>38632</x:v>
      </x:c>
      <x:c r="B370" s="51"/>
      <x:c r="C370" s="99"/>
      <x:c r="D370" s="100"/>
      <x:c r="E370" s="100"/>
      <x:c r="F370" s="99"/>
      <x:c r="G370" s="99"/>
      <x:c r="H370" s="101"/>
      <x:c r="I370" s="99"/>
      <x:c r="J370" s="100"/>
      <x:c r="K370" s="100"/>
      <x:c r="L370" s="99"/>
      <x:c r="M370" s="99"/>
      <x:c r="N370" s="99"/>
      <x:c r="O370" s="99"/>
      <x:c r="P370" s="99"/>
      <x:c r="Q370" s="99"/>
      <x:c r="R370" s="99"/>
      <x:c r="S370" s="45"/>
      <x:c r="T370" s="45"/>
      <x:c r="U370" s="51"/>
      <x:c r="V370" s="51"/>
      <x:c r="W370" s="109" t="n">
        <x:v>0</x:v>
      </x:c>
      <x:c r="X370" s="109" t="n">
        <x:v>0</x:v>
      </x:c>
      <x:c r="Y370" s="45"/>
      <x:c r="Z370" s="45"/>
      <x:c r="AA370" s="45"/>
    </x:row>
    <x:row r="371" ht="23" customHeight="1">
      <x:c r="A371" s="50" t="str">
        <x:v>38915</x:v>
      </x:c>
      <x:c r="B371" s="51"/>
      <x:c r="C371" s="99"/>
      <x:c r="D371" s="100"/>
      <x:c r="E371" s="100"/>
      <x:c r="F371" s="99"/>
      <x:c r="G371" s="99"/>
      <x:c r="H371" s="101"/>
      <x:c r="I371" s="99"/>
      <x:c r="J371" s="100"/>
      <x:c r="K371" s="100"/>
      <x:c r="L371" s="99"/>
      <x:c r="M371" s="99"/>
      <x:c r="N371" s="99"/>
      <x:c r="O371" s="99"/>
      <x:c r="P371" s="99"/>
      <x:c r="Q371" s="99"/>
      <x:c r="R371" s="99"/>
      <x:c r="S371" s="45"/>
      <x:c r="T371" s="45"/>
      <x:c r="U371" s="51"/>
      <x:c r="V371" s="51"/>
      <x:c r="W371" s="109" t="n">
        <x:v>0</x:v>
      </x:c>
      <x:c r="X371" s="109" t="n">
        <x:v>0</x:v>
      </x:c>
      <x:c r="Y371" s="45"/>
      <x:c r="Z371" s="45"/>
      <x:c r="AA371" s="45"/>
    </x:row>
    <x:row r="372" ht="23" customHeight="1">
      <x:c r="A372" s="50" t="str">
        <x:v>38123</x:v>
      </x:c>
      <x:c r="B372" s="51" t="d">
        <x:v>2026-09-30T00:00:00.000Z</x:v>
      </x:c>
      <x:c r="C372" s="99" t="n">
        <x:v>0.372671</x:v>
      </x:c>
      <x:c r="D372" s="100" t="n">
        <x:v>7.794329333333334</x:v>
      </x:c>
      <x:c r="E372" s="100" t="n">
        <x:v>16.733674666666666</x:v>
      </x:c>
      <x:c r="F372" s="99" t="n">
        <x:v>0.15384366666666666</x:v>
      </x:c>
      <x:c r="G372" s="99" t="n">
        <x:v>-0.012642888888888886</x:v>
      </x:c>
      <x:c r="H372" s="101" t="n">
        <x:v>14653225</x:v>
      </x:c>
      <x:c r="I372" s="99" t="n">
        <x:v>-0.005238286007337445</x:v>
      </x:c>
      <x:c r="J372" s="100" t="n">
        <x:v>-4.666666666666667</x:v>
      </x:c>
      <x:c r="K372" s="100"/>
      <x:c r="L372" s="99" t="n">
        <x:v>0.5225555555555556</x:v>
      </x:c>
      <x:c r="M372" s="99" t="n">
        <x:v>0.6588888888888889</x:v>
      </x:c>
      <x:c r="N372" s="99"/>
      <x:c r="O372" s="99" t="n">
        <x:v>0.3606808888888889</x:v>
      </x:c>
      <x:c r="P372" s="99" t="n">
        <x:v>0.011932666666666666</x:v>
      </x:c>
      <x:c r="Q372" s="99" t="n">
        <x:v>0.24169433333333334</x:v>
      </x:c>
      <x:c r="R372" s="99" t="n">
        <x:v>0.02763311111111111</x:v>
      </x:c>
      <x:c r="S372" s="45"/>
      <x:c r="T372" s="45"/>
      <x:c r="U372" s="51" t="d">
        <x:v>2026-09-30T00:00:00.000Z</x:v>
      </x:c>
      <x:c r="V372" s="51" t="d">
        <x:v>2026-09-30T00:00:00.000Z</x:v>
      </x:c>
      <x:c r="W372" s="109" t="n">
        <x:v>9</x:v>
      </x:c>
      <x:c r="X372" s="109" t="n">
        <x:v>9</x:v>
      </x:c>
      <x:c r="Y372" s="45" t="str">
        <x:v>sbx-mex/Perfil_Tienda_DM</x:v>
      </x:c>
      <x:c r="Z372" s="45" t="str">
        <x:v>2a6b0d21379739482f0b4c7be9b0f9a022e15f5b</x:v>
      </x:c>
      <x:c r="AA372" s="45" t="str">
        <x:v>8456a41c5e02d454e70a2531577ffb2e29f73e57e44a7762de681d568aa4227a</x:v>
      </x:c>
    </x:row>
    <x:row r="373" ht="23" customHeight="1">
      <x:c r="A373" s="50" t="str">
        <x:v>38155</x:v>
      </x:c>
      <x:c r="B373" s="51" t="d">
        <x:v>2026-09-30T00:00:00.000Z</x:v>
      </x:c>
      <x:c r="C373" s="99" t="n">
        <x:v>0.357143</x:v>
      </x:c>
      <x:c r="D373" s="100" t="n">
        <x:v>7.638556666666667</x:v>
      </x:c>
      <x:c r="E373" s="100" t="n">
        <x:v>17.61095411111111</x:v>
      </x:c>
      <x:c r="F373" s="99" t="n">
        <x:v>0.1539918888888889</x:v>
      </x:c>
      <x:c r="G373" s="99" t="n">
        <x:v>-0.10513288888888889</x:v>
      </x:c>
      <x:c r="H373" s="101" t="n">
        <x:v>16463136</x:v>
      </x:c>
      <x:c r="I373" s="99" t="n">
        <x:v>0.02083349174889282</x:v>
      </x:c>
      <x:c r="J373" s="100" t="n">
        <x:v>-5.444444444444445</x:v>
      </x:c>
      <x:c r="K373" s="100"/>
      <x:c r="L373" s="99" t="n">
        <x:v>0.4495555555555556</x:v>
      </x:c>
      <x:c r="M373" s="99" t="n">
        <x:v>0.5744444444444444</x:v>
      </x:c>
      <x:c r="N373" s="99"/>
      <x:c r="O373" s="99" t="n">
        <x:v>0.34481711111111113</x:v>
      </x:c>
      <x:c r="P373" s="99" t="n">
        <x:v>0.009619777777777776</x:v>
      </x:c>
      <x:c r="Q373" s="99" t="n">
        <x:v>0.18488255555555555</x:v>
      </x:c>
      <x:c r="R373" s="99" t="n">
        <x:v>0.21785733333333335</x:v>
      </x:c>
      <x:c r="S373" s="45"/>
      <x:c r="T373" s="45"/>
      <x:c r="U373" s="51" t="d">
        <x:v>2026-09-30T00:00:00.000Z</x:v>
      </x:c>
      <x:c r="V373" s="51" t="d">
        <x:v>2026-09-30T00:00:00.000Z</x:v>
      </x:c>
      <x:c r="W373" s="109" t="n">
        <x:v>9</x:v>
      </x:c>
      <x:c r="X373" s="109" t="n">
        <x:v>9</x:v>
      </x:c>
      <x:c r="Y373" s="45" t="str">
        <x:v>sbx-mex/Perfil_Tienda_DM</x:v>
      </x:c>
      <x:c r="Z373" s="45" t="str">
        <x:v>2a6b0d21379739482f0b4c7be9b0f9a022e15f5b</x:v>
      </x:c>
      <x:c r="AA373" s="45" t="str">
        <x:v>8456a41c5e02d454e70a2531577ffb2e29f73e57e44a7762de681d568aa4227a</x:v>
      </x:c>
    </x:row>
    <x:row r="374" ht="23" customHeight="1">
      <x:c r="A374" s="50" t="str">
        <x:v>38203</x:v>
      </x:c>
      <x:c r="B374" s="51" t="d">
        <x:v>2026-09-30T00:00:00.000Z</x:v>
      </x:c>
      <x:c r="C374" s="99" t="n">
        <x:v>0.549618</x:v>
      </x:c>
      <x:c r="D374" s="100" t="n">
        <x:v>8.791854</x:v>
      </x:c>
      <x:c r="E374" s="100" t="n">
        <x:v>19.25449366666667</x:v>
      </x:c>
      <x:c r="F374" s="99" t="n">
        <x:v>0.14368633333333333</x:v>
      </x:c>
      <x:c r="G374" s="99" t="n">
        <x:v>-0.0017274444444444436</x:v>
      </x:c>
      <x:c r="H374" s="101" t="n">
        <x:v>13083244</x:v>
      </x:c>
      <x:c r="I374" s="99" t="n">
        <x:v>-0.025160566464807688</x:v>
      </x:c>
      <x:c r="J374" s="100" t="n">
        <x:v>-18</x:v>
      </x:c>
      <x:c r="K374" s="100"/>
      <x:c r="L374" s="99" t="n">
        <x:v>0.5045555555555556</x:v>
      </x:c>
      <x:c r="M374" s="99" t="n">
        <x:v>0.6000000000000001</x:v>
      </x:c>
      <x:c r="N374" s="99"/>
      <x:c r="O374" s="99" t="n">
        <x:v>0.3442658888888889</x:v>
      </x:c>
      <x:c r="P374" s="99" t="n">
        <x:v>-0.00917266666666667</x:v>
      </x:c>
      <x:c r="Q374" s="99" t="n">
        <x:v>0.24404722222222222</x:v>
      </x:c>
      <x:c r="R374" s="99" t="n">
        <x:v>0.016944888888888898</x:v>
      </x:c>
      <x:c r="S374" s="45"/>
      <x:c r="T374" s="45"/>
      <x:c r="U374" s="51" t="d">
        <x:v>2026-09-30T00:00:00.000Z</x:v>
      </x:c>
      <x:c r="V374" s="51" t="d">
        <x:v>2026-09-30T00:00:00.000Z</x:v>
      </x:c>
      <x:c r="W374" s="109" t="n">
        <x:v>9</x:v>
      </x:c>
      <x:c r="X374" s="109" t="n">
        <x:v>9</x:v>
      </x:c>
      <x:c r="Y374" s="45" t="str">
        <x:v>sbx-mex/Perfil_Tienda_DM</x:v>
      </x:c>
      <x:c r="Z374" s="45" t="str">
        <x:v>2a6b0d21379739482f0b4c7be9b0f9a022e15f5b</x:v>
      </x:c>
      <x:c r="AA374" s="45" t="str">
        <x:v>8456a41c5e02d454e70a2531577ffb2e29f73e57e44a7762de681d568aa4227a</x:v>
      </x:c>
    </x:row>
    <x:row r="375" ht="23" customHeight="1">
      <x:c r="A375" s="50" t="str">
        <x:v>38234</x:v>
      </x:c>
      <x:c r="B375" s="51" t="d">
        <x:v>2026-09-30T00:00:00.000Z</x:v>
      </x:c>
      <x:c r="C375" s="99" t="n">
        <x:v>0.738462</x:v>
      </x:c>
      <x:c r="D375" s="100" t="n">
        <x:v>6.790607777777778</x:v>
      </x:c>
      <x:c r="E375" s="100" t="n">
        <x:v>15.028544777777777</x:v>
      </x:c>
      <x:c r="F375" s="99" t="n">
        <x:v>0.18712933333333334</x:v>
      </x:c>
      <x:c r="G375" s="99" t="n">
        <x:v>0.024297999999999997</x:v>
      </x:c>
      <x:c r="H375" s="101" t="n">
        <x:v>11213049</x:v>
      </x:c>
      <x:c r="I375" s="99" t="n">
        <x:v>-0.006453505075921129</x:v>
      </x:c>
      <x:c r="J375" s="100" t="n">
        <x:v>-23.11111111111111</x:v>
      </x:c>
      <x:c r="K375" s="100"/>
      <x:c r="L375" s="99" t="n">
        <x:v>0.5672222222222223</x:v>
      </x:c>
      <x:c r="M375" s="99" t="n">
        <x:v>0.66</x:v>
      </x:c>
      <x:c r="N375" s="99"/>
      <x:c r="O375" s="99" t="n">
        <x:v>0.3887793333333333</x:v>
      </x:c>
      <x:c r="P375" s="99" t="n">
        <x:v>0.04365744444444444</x:v>
      </x:c>
      <x:c r="Q375" s="99" t="n">
        <x:v>0.10384622222222223</x:v>
      </x:c>
      <x:c r="R375" s="99" t="n">
        <x:v>-0.06996722222222222</x:v>
      </x:c>
      <x:c r="S375" s="45"/>
      <x:c r="T375" s="45"/>
      <x:c r="U375" s="51" t="d">
        <x:v>2026-09-30T00:00:00.000Z</x:v>
      </x:c>
      <x:c r="V375" s="51" t="d">
        <x:v>2026-09-30T00:00:00.000Z</x:v>
      </x:c>
      <x:c r="W375" s="109" t="n">
        <x:v>9</x:v>
      </x:c>
      <x:c r="X375" s="109" t="n">
        <x:v>9</x:v>
      </x:c>
      <x:c r="Y375" s="45" t="str">
        <x:v>sbx-mex/Perfil_Tienda_DM</x:v>
      </x:c>
      <x:c r="Z375" s="45" t="str">
        <x:v>2a6b0d21379739482f0b4c7be9b0f9a022e15f5b</x:v>
      </x:c>
      <x:c r="AA375" s="45" t="str">
        <x:v>8456a41c5e02d454e70a2531577ffb2e29f73e57e44a7762de681d568aa4227a</x:v>
      </x:c>
    </x:row>
    <x:row r="376" ht="23" customHeight="1">
      <x:c r="A376" s="50" t="str">
        <x:v>38376</x:v>
      </x:c>
      <x:c r="B376" s="51" t="d">
        <x:v>2026-09-30T00:00:00.000Z</x:v>
      </x:c>
      <x:c r="C376" s="99" t="n">
        <x:v>0.857143</x:v>
      </x:c>
      <x:c r="D376" s="100" t="n">
        <x:v>8.48189811111111</x:v>
      </x:c>
      <x:c r="E376" s="100" t="n">
        <x:v>17.112833555555554</x:v>
      </x:c>
      <x:c r="F376" s="99" t="n">
        <x:v>0.15132633333333334</x:v>
      </x:c>
      <x:c r="G376" s="99" t="n">
        <x:v>-0.013431444444444437</x:v>
      </x:c>
      <x:c r="H376" s="101" t="n">
        <x:v>12077950</x:v>
      </x:c>
      <x:c r="I376" s="99" t="n">
        <x:v>0.024726196553141566</x:v>
      </x:c>
      <x:c r="J376" s="100" t="n">
        <x:v>0</x:v>
      </x:c>
      <x:c r="K376" s="100"/>
      <x:c r="L376" s="99" t="n">
        <x:v>0.556888888888889</x:v>
      </x:c>
      <x:c r="M376" s="99" t="n">
        <x:v>0.6177777777777778</x:v>
      </x:c>
      <x:c r="N376" s="99"/>
      <x:c r="O376" s="99" t="n">
        <x:v>0.3846142222222222</x:v>
      </x:c>
      <x:c r="P376" s="99" t="n">
        <x:v>0.026336888888888885</x:v>
      </x:c>
      <x:c r="Q376" s="99" t="n">
        <x:v>0.17201455555555556</x:v>
      </x:c>
      <x:c r="R376" s="99" t="n">
        <x:v>-0.01699311111111111</x:v>
      </x:c>
      <x:c r="S376" s="45"/>
      <x:c r="T376" s="45"/>
      <x:c r="U376" s="51" t="d">
        <x:v>2026-09-30T00:00:00.000Z</x:v>
      </x:c>
      <x:c r="V376" s="51" t="d">
        <x:v>2026-09-30T00:00:00.000Z</x:v>
      </x:c>
      <x:c r="W376" s="109" t="n">
        <x:v>9</x:v>
      </x:c>
      <x:c r="X376" s="109" t="n">
        <x:v>9</x:v>
      </x:c>
      <x:c r="Y376" s="45" t="str">
        <x:v>sbx-mex/Perfil_Tienda_DM</x:v>
      </x:c>
      <x:c r="Z376" s="45" t="str">
        <x:v>2a6b0d21379739482f0b4c7be9b0f9a022e15f5b</x:v>
      </x:c>
      <x:c r="AA376" s="45" t="str">
        <x:v>8456a41c5e02d454e70a2531577ffb2e29f73e57e44a7762de681d568aa4227a</x:v>
      </x:c>
    </x:row>
    <x:row r="377" ht="23" customHeight="1">
      <x:c r="A377" s="50" t="str">
        <x:v>38463</x:v>
      </x:c>
      <x:c r="B377" s="51" t="d">
        <x:v>2026-09-30T00:00:00.000Z</x:v>
      </x:c>
      <x:c r="C377" s="99" t="n">
        <x:v>0.642857</x:v>
      </x:c>
      <x:c r="D377" s="100" t="n">
        <x:v>5.873772888888889</x:v>
      </x:c>
      <x:c r="E377" s="100" t="n">
        <x:v>11.985506777777779</x:v>
      </x:c>
      <x:c r="F377" s="99" t="n">
        <x:v>0.18095411111111112</x:v>
      </x:c>
      <x:c r="G377" s="99" t="n">
        <x:v>0.006288111111111118</x:v>
      </x:c>
      <x:c r="H377" s="101" t="n">
        <x:v>8710913</x:v>
      </x:c>
      <x:c r="I377" s="99" t="n">
        <x:v>-0.11136300507645813</x:v>
      </x:c>
      <x:c r="J377" s="100" t="n">
        <x:v>-6.444444444444445</x:v>
      </x:c>
      <x:c r="K377" s="100"/>
      <x:c r="L377" s="99" t="n">
        <x:v>0.4918888888888888</x:v>
      </x:c>
      <x:c r="M377" s="99" t="n">
        <x:v>0.5844444444444444</x:v>
      </x:c>
      <x:c r="N377" s="99"/>
      <x:c r="O377" s="99" t="n">
        <x:v>0.3869271111111111</x:v>
      </x:c>
      <x:c r="P377" s="99" t="n">
        <x:v>0.030737333333333332</x:v>
      </x:c>
      <x:c r="Q377" s="99" t="n">
        <x:v>0.12510244444444446</x:v>
      </x:c>
      <x:c r="R377" s="99" t="n">
        <x:v>-0.0800841111111111</x:v>
      </x:c>
      <x:c r="S377" s="45"/>
      <x:c r="T377" s="45"/>
      <x:c r="U377" s="51" t="d">
        <x:v>2026-09-30T00:00:00.000Z</x:v>
      </x:c>
      <x:c r="V377" s="51" t="d">
        <x:v>2026-09-30T00:00:00.000Z</x:v>
      </x:c>
      <x:c r="W377" s="109" t="n">
        <x:v>9</x:v>
      </x:c>
      <x:c r="X377" s="109" t="n">
        <x:v>9</x:v>
      </x:c>
      <x:c r="Y377" s="45" t="str">
        <x:v>sbx-mex/Perfil_Tienda_DM</x:v>
      </x:c>
      <x:c r="Z377" s="45" t="str">
        <x:v>2a6b0d21379739482f0b4c7be9b0f9a022e15f5b</x:v>
      </x:c>
      <x:c r="AA377" s="45" t="str">
        <x:v>8456a41c5e02d454e70a2531577ffb2e29f73e57e44a7762de681d568aa4227a</x:v>
      </x:c>
    </x:row>
    <x:row r="378" ht="23" customHeight="1">
      <x:c r="A378" s="50" t="str">
        <x:v>38465</x:v>
      </x:c>
      <x:c r="B378" s="51" t="d">
        <x:v>2026-09-30T00:00:00.000Z</x:v>
      </x:c>
      <x:c r="C378" s="99" t="n">
        <x:v>0.307692</x:v>
      </x:c>
      <x:c r="D378" s="100" t="n">
        <x:v>8.143991444444445</x:v>
      </x:c>
      <x:c r="E378" s="100" t="n">
        <x:v>15.911319333333333</x:v>
      </x:c>
      <x:c r="F378" s="99" t="n">
        <x:v>0.16532666666666668</x:v>
      </x:c>
      <x:c r="G378" s="99" t="n">
        <x:v>-0.146029</x:v>
      </x:c>
      <x:c r="H378" s="101" t="n">
        <x:v>10865534</x:v>
      </x:c>
      <x:c r="I378" s="99" t="n">
        <x:v>-0.011586562599618544</x:v>
      </x:c>
      <x:c r="J378" s="100" t="n">
        <x:v>-11.666666666666666</x:v>
      </x:c>
      <x:c r="K378" s="100"/>
      <x:c r="L378" s="99" t="n">
        <x:v>0.616111111111111</x:v>
      </x:c>
      <x:c r="M378" s="99" t="n">
        <x:v>0.6388888888888888</x:v>
      </x:c>
      <x:c r="N378" s="99"/>
      <x:c r="O378" s="99" t="n">
        <x:v>0.3757433333333333</x:v>
      </x:c>
      <x:c r="P378" s="99" t="n">
        <x:v>0.05604366666666665</x:v>
      </x:c>
      <x:c r="Q378" s="99" t="n">
        <x:v>0.11407899999999999</x:v>
      </x:c>
      <x:c r="R378" s="99" t="n">
        <x:v>0.2754971111111111</x:v>
      </x:c>
      <x:c r="S378" s="45"/>
      <x:c r="T378" s="45"/>
      <x:c r="U378" s="51" t="d">
        <x:v>2026-09-30T00:00:00.000Z</x:v>
      </x:c>
      <x:c r="V378" s="51" t="d">
        <x:v>2026-09-30T00:00:00.000Z</x:v>
      </x:c>
      <x:c r="W378" s="109" t="n">
        <x:v>9</x:v>
      </x:c>
      <x:c r="X378" s="109" t="n">
        <x:v>9</x:v>
      </x:c>
      <x:c r="Y378" s="45" t="str">
        <x:v>sbx-mex/Perfil_Tienda_DM</x:v>
      </x:c>
      <x:c r="Z378" s="45" t="str">
        <x:v>2a6b0d21379739482f0b4c7be9b0f9a022e15f5b</x:v>
      </x:c>
      <x:c r="AA378" s="45" t="str">
        <x:v>8456a41c5e02d454e70a2531577ffb2e29f73e57e44a7762de681d568aa4227a</x:v>
      </x:c>
    </x:row>
    <x:row r="379" ht="23" customHeight="1">
      <x:c r="A379" s="50" t="str">
        <x:v>38487</x:v>
      </x:c>
      <x:c r="B379" s="51" t="d">
        <x:v>2026-09-30T00:00:00.000Z</x:v>
      </x:c>
      <x:c r="C379" s="99" t="n">
        <x:v>0.363636</x:v>
      </x:c>
      <x:c r="D379" s="100" t="n">
        <x:v>7.595811111111112</x:v>
      </x:c>
      <x:c r="E379" s="100" t="n">
        <x:v>16.19794611111111</x:v>
      </x:c>
      <x:c r="F379" s="99" t="n">
        <x:v>0.14959666666666668</x:v>
      </x:c>
      <x:c r="G379" s="99" t="n">
        <x:v>-0.01762212499999999</x:v>
      </x:c>
      <x:c r="H379" s="101" t="n">
        <x:v>17224541</x:v>
      </x:c>
      <x:c r="I379" s="99" t="n">
        <x:v>0.09830722606935649</x:v>
      </x:c>
      <x:c r="J379" s="100" t="n">
        <x:v>-47</x:v>
      </x:c>
      <x:c r="K379" s="100"/>
      <x:c r="L379" s="99" t="n">
        <x:v>0.6073333333333334</x:v>
      </x:c>
      <x:c r="M379" s="99" t="n">
        <x:v>0.6066666666666667</x:v>
      </x:c>
      <x:c r="N379" s="99"/>
      <x:c r="O379" s="99" t="n">
        <x:v>0.3637877777777778</x:v>
      </x:c>
      <x:c r="P379" s="99" t="n">
        <x:v>0.044068124999999986</x:v>
      </x:c>
      <x:c r="Q379" s="99" t="n">
        <x:v>0.13074733333333333</x:v>
      </x:c>
      <x:c r="R379" s="99" t="n">
        <x:v>-0.022366750000000005</x:v>
      </x:c>
      <x:c r="S379" s="45"/>
      <x:c r="T379" s="45"/>
      <x:c r="U379" s="51" t="d">
        <x:v>2026-09-30T00:00:00.000Z</x:v>
      </x:c>
      <x:c r="V379" s="51" t="d">
        <x:v>2026-09-30T00:00:00.000Z</x:v>
      </x:c>
      <x:c r="W379" s="109" t="n">
        <x:v>9</x:v>
      </x:c>
      <x:c r="X379" s="109" t="n">
        <x:v>9</x:v>
      </x:c>
      <x:c r="Y379" s="45" t="str">
        <x:v>sbx-mex/Perfil_Tienda_DM</x:v>
      </x:c>
      <x:c r="Z379" s="45" t="str">
        <x:v>2a6b0d21379739482f0b4c7be9b0f9a022e15f5b</x:v>
      </x:c>
      <x:c r="AA379" s="45" t="str">
        <x:v>8456a41c5e02d454e70a2531577ffb2e29f73e57e44a7762de681d568aa4227a</x:v>
      </x:c>
    </x:row>
    <x:row r="380" ht="23" customHeight="1">
      <x:c r="A380" s="50" t="str">
        <x:v>38497</x:v>
      </x:c>
      <x:c r="B380" s="51" t="d">
        <x:v>2026-09-30T00:00:00.000Z</x:v>
      </x:c>
      <x:c r="C380" s="99" t="n">
        <x:v>0.517241</x:v>
      </x:c>
      <x:c r="D380" s="100" t="n">
        <x:v>7.548822222222223</x:v>
      </x:c>
      <x:c r="E380" s="100" t="n">
        <x:v>15.414732444444446</x:v>
      </x:c>
      <x:c r="F380" s="99" t="n">
        <x:v>0.175925</x:v>
      </x:c>
      <x:c r="G380" s="99" t="n">
        <x:v>-0.00010011111111111254</x:v>
      </x:c>
      <x:c r="H380" s="101" t="n">
        <x:v>10823459</x:v>
      </x:c>
      <x:c r="I380" s="99" t="n">
        <x:v>0.015308389818477819</x:v>
      </x:c>
      <x:c r="J380" s="100" t="n">
        <x:v>-7</x:v>
      </x:c>
      <x:c r="K380" s="100"/>
      <x:c r="L380" s="99" t="n">
        <x:v>0.6491111111111112</x:v>
      </x:c>
      <x:c r="M380" s="99" t="n">
        <x:v>0.7233333333333333</x:v>
      </x:c>
      <x:c r="N380" s="99"/>
      <x:c r="O380" s="99" t="n">
        <x:v>0.3923228888888889</x:v>
      </x:c>
      <x:c r="P380" s="99" t="n">
        <x:v>0.035014222222222224</x:v>
      </x:c>
      <x:c r="Q380" s="99" t="n">
        <x:v>0.026510555555555555</x:v>
      </x:c>
      <x:c r="R380" s="99" t="n">
        <x:v>-0.03230622222222222</x:v>
      </x:c>
      <x:c r="S380" s="45"/>
      <x:c r="T380" s="45"/>
      <x:c r="U380" s="51" t="d">
        <x:v>2026-09-30T00:00:00.000Z</x:v>
      </x:c>
      <x:c r="V380" s="51" t="d">
        <x:v>2026-09-30T00:00:00.000Z</x:v>
      </x:c>
      <x:c r="W380" s="109" t="n">
        <x:v>9</x:v>
      </x:c>
      <x:c r="X380" s="109" t="n">
        <x:v>9</x:v>
      </x:c>
      <x:c r="Y380" s="45" t="str">
        <x:v>sbx-mex/Perfil_Tienda_DM</x:v>
      </x:c>
      <x:c r="Z380" s="45" t="str">
        <x:v>2a6b0d21379739482f0b4c7be9b0f9a022e15f5b</x:v>
      </x:c>
      <x:c r="AA380" s="45" t="str">
        <x:v>8456a41c5e02d454e70a2531577ffb2e29f73e57e44a7762de681d568aa4227a</x:v>
      </x:c>
    </x:row>
    <x:row r="381" ht="23" customHeight="1">
      <x:c r="A381" s="50" t="str">
        <x:v>38762</x:v>
      </x:c>
      <x:c r="B381" s="51" t="d">
        <x:v>2026-09-30T00:00:00.000Z</x:v>
      </x:c>
      <x:c r="C381" s="99" t="n">
        <x:v>0.552632</x:v>
      </x:c>
      <x:c r="D381" s="100" t="n">
        <x:v>10.991994222222223</x:v>
      </x:c>
      <x:c r="E381" s="100" t="n">
        <x:v>24.306155444444446</x:v>
      </x:c>
      <x:c r="F381" s="99" t="n">
        <x:v>0.15077233333333334</x:v>
      </x:c>
      <x:c r="G381" s="99" t="n">
        <x:v>0.01618277777777778</x:v>
      </x:c>
      <x:c r="H381" s="101" t="n">
        <x:v>15136954</x:v>
      </x:c>
      <x:c r="I381" s="99" t="n">
        <x:v>-0.11513576230557654</x:v>
      </x:c>
      <x:c r="J381" s="100" t="n">
        <x:v>-15.11111111111111</x:v>
      </x:c>
      <x:c r="K381" s="100"/>
      <x:c r="L381" s="99" t="n">
        <x:v>0.44433333333333336</x:v>
      </x:c>
      <x:c r="M381" s="99" t="n">
        <x:v>0.6022222222222222</x:v>
      </x:c>
      <x:c r="N381" s="99"/>
      <x:c r="O381" s="99" t="n">
        <x:v>0.37955066666666665</x:v>
      </x:c>
      <x:c r="P381" s="99" t="n">
        <x:v>0.027874333333333327</x:v>
      </x:c>
      <x:c r="Q381" s="99" t="n">
        <x:v>0.192724</x:v>
      </x:c>
      <x:c r="R381" s="99" t="n">
        <x:v>-0.046275666666666666</x:v>
      </x:c>
      <x:c r="S381" s="45"/>
      <x:c r="T381" s="45"/>
      <x:c r="U381" s="51" t="d">
        <x:v>2026-09-30T00:00:00.000Z</x:v>
      </x:c>
      <x:c r="V381" s="51" t="d">
        <x:v>2026-09-30T00:00:00.000Z</x:v>
      </x:c>
      <x:c r="W381" s="109" t="n">
        <x:v>9</x:v>
      </x:c>
      <x:c r="X381" s="109" t="n">
        <x:v>9</x:v>
      </x:c>
      <x:c r="Y381" s="45" t="str">
        <x:v>sbx-mex/Perfil_Tienda_DM</x:v>
      </x:c>
      <x:c r="Z381" s="45" t="str">
        <x:v>2a6b0d21379739482f0b4c7be9b0f9a022e15f5b</x:v>
      </x:c>
      <x:c r="AA381" s="45" t="str">
        <x:v>8456a41c5e02d454e70a2531577ffb2e29f73e57e44a7762de681d568aa4227a</x:v>
      </x:c>
    </x:row>
    <x:row r="382" ht="23" customHeight="1">
      <x:c r="A382" s="50" t="str">
        <x:v>38785</x:v>
      </x:c>
      <x:c r="B382" s="51" t="d">
        <x:v>2026-09-30T00:00:00.000Z</x:v>
      </x:c>
      <x:c r="C382" s="99" t="n">
        <x:v>0.310345</x:v>
      </x:c>
      <x:c r="D382" s="100" t="n">
        <x:v>6.481288444444444</x:v>
      </x:c>
      <x:c r="E382" s="100" t="n">
        <x:v>14.59216411111111</x:v>
      </x:c>
      <x:c r="F382" s="99" t="n">
        <x:v>0.163686</x:v>
      </x:c>
      <x:c r="G382" s="99" t="n">
        <x:v>-0.0017934444444444402</x:v>
      </x:c>
      <x:c r="H382" s="101" t="n">
        <x:v>11013722</x:v>
      </x:c>
      <x:c r="I382" s="99" t="n">
        <x:v>-0.04717740719183505</x:v>
      </x:c>
      <x:c r="J382" s="100" t="n">
        <x:v>-12.444444444444445</x:v>
      </x:c>
      <x:c r="K382" s="100"/>
      <x:c r="L382" s="99" t="n">
        <x:v>0.5304444444444445</x:v>
      </x:c>
      <x:c r="M382" s="99" t="n">
        <x:v>0.62</x:v>
      </x:c>
      <x:c r="N382" s="99"/>
      <x:c r="O382" s="99" t="n">
        <x:v>0.40919288888888894</x:v>
      </x:c>
      <x:c r="P382" s="99" t="n">
        <x:v>0.03772733333333334</x:v>
      </x:c>
      <x:c r="Q382" s="99" t="n">
        <x:v>0.15230766666666665</x:v>
      </x:c>
      <x:c r="R382" s="99" t="n">
        <x:v>-0.03412866666666667</x:v>
      </x:c>
      <x:c r="S382" s="45"/>
      <x:c r="T382" s="45"/>
      <x:c r="U382" s="51" t="d">
        <x:v>2026-09-30T00:00:00.000Z</x:v>
      </x:c>
      <x:c r="V382" s="51" t="d">
        <x:v>2026-09-30T00:00:00.000Z</x:v>
      </x:c>
      <x:c r="W382" s="109" t="n">
        <x:v>9</x:v>
      </x:c>
      <x:c r="X382" s="109" t="n">
        <x:v>9</x:v>
      </x:c>
      <x:c r="Y382" s="45" t="str">
        <x:v>sbx-mex/Perfil_Tienda_DM</x:v>
      </x:c>
      <x:c r="Z382" s="45" t="str">
        <x:v>2a6b0d21379739482f0b4c7be9b0f9a022e15f5b</x:v>
      </x:c>
      <x:c r="AA382" s="45" t="str">
        <x:v>8456a41c5e02d454e70a2531577ffb2e29f73e57e44a7762de681d568aa4227a</x:v>
      </x:c>
    </x:row>
    <x:row r="383" ht="23" customHeight="1">
      <x:c r="A383" s="50" t="str">
        <x:v>43123</x:v>
      </x:c>
      <x:c r="B383" s="51" t="d">
        <x:v>2026-09-30T00:00:00.000Z</x:v>
      </x:c>
      <x:c r="C383" s="99" t="n">
        <x:v>0.687898</x:v>
      </x:c>
      <x:c r="D383" s="100" t="n">
        <x:v>7.0214110000000005</x:v>
      </x:c>
      <x:c r="E383" s="100" t="n">
        <x:v>16.96779111111111</x:v>
      </x:c>
      <x:c r="F383" s="99" t="n">
        <x:v>0.15036755555555556</x:v>
      </x:c>
      <x:c r="G383" s="99" t="n">
        <x:v>-0.047147999999999995</x:v>
      </x:c>
      <x:c r="H383" s="101" t="n">
        <x:v>14105367</x:v>
      </x:c>
      <x:c r="I383" s="99" t="n">
        <x:v>0.0619760482123346</x:v>
      </x:c>
      <x:c r="J383" s="100" t="n">
        <x:v>16.857142857142858</x:v>
      </x:c>
      <x:c r="K383" s="100"/>
      <x:c r="L383" s="99" t="n">
        <x:v>0.4935555555555556</x:v>
      </x:c>
      <x:c r="M383" s="99" t="n">
        <x:v>0.6388888888888888</x:v>
      </x:c>
      <x:c r="N383" s="99"/>
      <x:c r="O383" s="99" t="n">
        <x:v>0.38393866666666665</x:v>
      </x:c>
      <x:c r="P383" s="99" t="n">
        <x:v>0.03565188888888888</x:v>
      </x:c>
      <x:c r="Q383" s="99" t="n">
        <x:v>0.17971277777777778</x:v>
      </x:c>
      <x:c r="R383" s="99" t="n">
        <x:v>-0.040336000000000004</x:v>
      </x:c>
      <x:c r="S383" s="45"/>
      <x:c r="T383" s="45"/>
      <x:c r="U383" s="51" t="d">
        <x:v>2026-09-30T00:00:00.000Z</x:v>
      </x:c>
      <x:c r="V383" s="51" t="d">
        <x:v>2026-09-30T00:00:00.000Z</x:v>
      </x:c>
      <x:c r="W383" s="109" t="n">
        <x:v>9</x:v>
      </x:c>
      <x:c r="X383" s="109" t="n">
        <x:v>9</x:v>
      </x:c>
      <x:c r="Y383" s="45" t="str">
        <x:v>sbx-mex/Perfil_Tienda_DM</x:v>
      </x:c>
      <x:c r="Z383" s="45" t="str">
        <x:v>2a6b0d21379739482f0b4c7be9b0f9a022e15f5b</x:v>
      </x:c>
      <x:c r="AA383" s="45" t="str">
        <x:v>8456a41c5e02d454e70a2531577ffb2e29f73e57e44a7762de681d568aa4227a</x:v>
      </x:c>
    </x:row>
    <x:row r="384" ht="23" customHeight="1">
      <x:c r="A384" s="50" t="str">
        <x:v>38262</x:v>
      </x:c>
      <x:c r="B384" s="51" t="d">
        <x:v>2026-09-30T00:00:00.000Z</x:v>
      </x:c>
      <x:c r="C384" s="99" t="n">
        <x:v>0.274286</x:v>
      </x:c>
      <x:c r="D384" s="100" t="n">
        <x:v>7.126199333333334</x:v>
      </x:c>
      <x:c r="E384" s="100" t="n">
        <x:v>16.182185777777775</x:v>
      </x:c>
      <x:c r="F384" s="99" t="n">
        <x:v>0.17874244444444443</x:v>
      </x:c>
      <x:c r="G384" s="99" t="n">
        <x:v>0.006093000000000003</x:v>
      </x:c>
      <x:c r="H384" s="101" t="n">
        <x:v>14827563</x:v>
      </x:c>
      <x:c r="I384" s="99" t="n">
        <x:v>-0.038871213456473375</x:v>
      </x:c>
      <x:c r="J384" s="100" t="n">
        <x:v>-26.333333333333332</x:v>
      </x:c>
      <x:c r="K384" s="100"/>
      <x:c r="L384" s="99" t="n">
        <x:v>0.506</x:v>
      </x:c>
      <x:c r="M384" s="99" t="n">
        <x:v>0.6499999999999999</x:v>
      </x:c>
      <x:c r="N384" s="99"/>
      <x:c r="O384" s="99" t="n">
        <x:v>0.36136555555555555</x:v>
      </x:c>
      <x:c r="P384" s="99" t="n">
        <x:v>-0.002158444444444444</x:v>
      </x:c>
      <x:c r="Q384" s="99" t="n">
        <x:v>0.21892033333333333</x:v>
      </x:c>
      <x:c r="R384" s="99" t="n">
        <x:v>-0.003477666666666669</x:v>
      </x:c>
      <x:c r="S384" s="45"/>
      <x:c r="T384" s="45"/>
      <x:c r="U384" s="51" t="d">
        <x:v>2026-09-30T00:00:00.000Z</x:v>
      </x:c>
      <x:c r="V384" s="51" t="d">
        <x:v>2026-09-30T00:00:00.000Z</x:v>
      </x:c>
      <x:c r="W384" s="109" t="n">
        <x:v>9</x:v>
      </x:c>
      <x:c r="X384" s="109" t="n">
        <x:v>9</x:v>
      </x:c>
      <x:c r="Y384" s="45" t="str">
        <x:v>sbx-mex/Perfil_Tienda_DM</x:v>
      </x:c>
      <x:c r="Z384" s="45" t="str">
        <x:v>2a6b0d21379739482f0b4c7be9b0f9a022e15f5b</x:v>
      </x:c>
      <x:c r="AA384" s="45" t="str">
        <x:v>8456a41c5e02d454e70a2531577ffb2e29f73e57e44a7762de681d568aa4227a</x:v>
      </x:c>
    </x:row>
    <x:row r="385" ht="23" customHeight="1">
      <x:c r="A385" s="50" t="str">
        <x:v>38355</x:v>
      </x:c>
      <x:c r="B385" s="51" t="d">
        <x:v>2026-09-30T00:00:00.000Z</x:v>
      </x:c>
      <x:c r="C385" s="99" t="n">
        <x:v>0.25</x:v>
      </x:c>
      <x:c r="D385" s="100" t="n">
        <x:v>6.061342777777778</x:v>
      </x:c>
      <x:c r="E385" s="100" t="n">
        <x:v>12.013511222222222</x:v>
      </x:c>
      <x:c r="F385" s="99" t="n">
        <x:v>0.1711797777777778</x:v>
      </x:c>
      <x:c r="G385" s="99" t="n">
        <x:v>-0.012041111111111117</x:v>
      </x:c>
      <x:c r="H385" s="101" t="n">
        <x:v>12726030</x:v>
      </x:c>
      <x:c r="I385" s="99" t="n">
        <x:v>-0.0040497553311870105</x:v>
      </x:c>
      <x:c r="J385" s="100" t="n">
        <x:v>-11.444444444444445</x:v>
      </x:c>
      <x:c r="K385" s="100"/>
      <x:c r="L385" s="99" t="n">
        <x:v>0.516</x:v>
      </x:c>
      <x:c r="M385" s="99" t="n">
        <x:v>0.7211111111111111</x:v>
      </x:c>
      <x:c r="N385" s="99"/>
      <x:c r="O385" s="99" t="n">
        <x:v>0.3288361111111111</x:v>
      </x:c>
      <x:c r="P385" s="99" t="n">
        <x:v>-0.010314777777777772</x:v>
      </x:c>
      <x:c r="Q385" s="99" t="n">
        <x:v>0.23606166666666667</x:v>
      </x:c>
      <x:c r="R385" s="99" t="n">
        <x:v>0.047959666666666664</x:v>
      </x:c>
      <x:c r="S385" s="45"/>
      <x:c r="T385" s="45"/>
      <x:c r="U385" s="51" t="d">
        <x:v>2026-09-30T00:00:00.000Z</x:v>
      </x:c>
      <x:c r="V385" s="51" t="d">
        <x:v>2026-09-30T00:00:00.000Z</x:v>
      </x:c>
      <x:c r="W385" s="109" t="n">
        <x:v>9</x:v>
      </x:c>
      <x:c r="X385" s="109" t="n">
        <x:v>9</x:v>
      </x:c>
      <x:c r="Y385" s="45" t="str">
        <x:v>sbx-mex/Perfil_Tienda_DM</x:v>
      </x:c>
      <x:c r="Z385" s="45" t="str">
        <x:v>2a6b0d21379739482f0b4c7be9b0f9a022e15f5b</x:v>
      </x:c>
      <x:c r="AA385" s="45" t="str">
        <x:v>8456a41c5e02d454e70a2531577ffb2e29f73e57e44a7762de681d568aa4227a</x:v>
      </x:c>
    </x:row>
    <x:row r="386" ht="23" customHeight="1">
      <x:c r="A386" s="50" t="str">
        <x:v>38392</x:v>
      </x:c>
      <x:c r="B386" s="51" t="d">
        <x:v>2026-09-30T00:00:00.000Z</x:v>
      </x:c>
      <x:c r="C386" s="99" t="n">
        <x:v>0.411429</x:v>
      </x:c>
      <x:c r="D386" s="100" t="n">
        <x:v>5.627701555555555</x:v>
      </x:c>
      <x:c r="E386" s="100" t="n">
        <x:v>12.967366555555556</x:v>
      </x:c>
      <x:c r="F386" s="99" t="n">
        <x:v>0.16970522222222223</x:v>
      </x:c>
      <x:c r="G386" s="99" t="n">
        <x:v>0.0035170000000000045</x:v>
      </x:c>
      <x:c r="H386" s="101" t="n">
        <x:v>14770700</x:v>
      </x:c>
      <x:c r="I386" s="99" t="n">
        <x:v>-0.016618134244679617</x:v>
      </x:c>
      <x:c r="J386" s="100" t="n">
        <x:v>-14.88888888888889</x:v>
      </x:c>
      <x:c r="K386" s="100"/>
      <x:c r="L386" s="99" t="n">
        <x:v>0.5680000000000001</x:v>
      </x:c>
      <x:c r="M386" s="99" t="n">
        <x:v>0.6766666666666666</x:v>
      </x:c>
      <x:c r="N386" s="99"/>
      <x:c r="O386" s="99" t="n">
        <x:v>0.3637714444444444</x:v>
      </x:c>
      <x:c r="P386" s="99" t="n">
        <x:v>-0.001700333333333316</x:v>
      </x:c>
      <x:c r="Q386" s="99" t="n">
        <x:v>0.18672333333333332</x:v>
      </x:c>
      <x:c r="R386" s="99" t="n">
        <x:v>-0.019612777777777778</x:v>
      </x:c>
      <x:c r="S386" s="45"/>
      <x:c r="T386" s="45"/>
      <x:c r="U386" s="51" t="d">
        <x:v>2026-09-30T00:00:00.000Z</x:v>
      </x:c>
      <x:c r="V386" s="51" t="d">
        <x:v>2026-09-30T00:00:00.000Z</x:v>
      </x:c>
      <x:c r="W386" s="109" t="n">
        <x:v>9</x:v>
      </x:c>
      <x:c r="X386" s="109" t="n">
        <x:v>9</x:v>
      </x:c>
      <x:c r="Y386" s="45" t="str">
        <x:v>sbx-mex/Perfil_Tienda_DM</x:v>
      </x:c>
      <x:c r="Z386" s="45" t="str">
        <x:v>2a6b0d21379739482f0b4c7be9b0f9a022e15f5b</x:v>
      </x:c>
      <x:c r="AA386" s="45" t="str">
        <x:v>8456a41c5e02d454e70a2531577ffb2e29f73e57e44a7762de681d568aa4227a</x:v>
      </x:c>
    </x:row>
    <x:row r="387" ht="23" customHeight="1">
      <x:c r="A387" s="50" t="str">
        <x:v>38473</x:v>
      </x:c>
      <x:c r="B387" s="51" t="d">
        <x:v>2026-09-30T00:00:00.000Z</x:v>
      </x:c>
      <x:c r="C387" s="99" t="n">
        <x:v>0.608696</x:v>
      </x:c>
      <x:c r="D387" s="100" t="n">
        <x:v>5.689812</x:v>
      </x:c>
      <x:c r="E387" s="100" t="n">
        <x:v>14.022178666666667</x:v>
      </x:c>
      <x:c r="F387" s="99" t="n">
        <x:v>0.1806782222222222</x:v>
      </x:c>
      <x:c r="G387" s="99" t="n">
        <x:v>0.017813777777777783</x:v>
      </x:c>
      <x:c r="H387" s="101" t="n">
        <x:v>12181847</x:v>
      </x:c>
      <x:c r="I387" s="99" t="n">
        <x:v>-0.11069099813755401</x:v>
      </x:c>
      <x:c r="J387" s="100" t="n">
        <x:v>-5.555555555555555</x:v>
      </x:c>
      <x:c r="K387" s="100"/>
      <x:c r="L387" s="99" t="n">
        <x:v>0.5352222222222223</x:v>
      </x:c>
      <x:c r="M387" s="99" t="n">
        <x:v>0.7444444444444445</x:v>
      </x:c>
      <x:c r="N387" s="99"/>
      <x:c r="O387" s="99" t="n">
        <x:v>0.35747733333333337</x:v>
      </x:c>
      <x:c r="P387" s="99" t="n">
        <x:v>0.0015763333333333339</x:v>
      </x:c>
      <x:c r="Q387" s="99" t="n">
        <x:v>0.22439077777777777</x:v>
      </x:c>
      <x:c r="R387" s="99" t="n">
        <x:v>-0.023652888888888893</x:v>
      </x:c>
      <x:c r="S387" s="45"/>
      <x:c r="T387" s="45"/>
      <x:c r="U387" s="51" t="d">
        <x:v>2026-09-30T00:00:00.000Z</x:v>
      </x:c>
      <x:c r="V387" s="51" t="d">
        <x:v>2026-09-30T00:00:00.000Z</x:v>
      </x:c>
      <x:c r="W387" s="109" t="n">
        <x:v>9</x:v>
      </x:c>
      <x:c r="X387" s="109" t="n">
        <x:v>9</x:v>
      </x:c>
      <x:c r="Y387" s="45" t="str">
        <x:v>sbx-mex/Perfil_Tienda_DM</x:v>
      </x:c>
      <x:c r="Z387" s="45" t="str">
        <x:v>2a6b0d21379739482f0b4c7be9b0f9a022e15f5b</x:v>
      </x:c>
      <x:c r="AA387" s="45" t="str">
        <x:v>8456a41c5e02d454e70a2531577ffb2e29f73e57e44a7762de681d568aa4227a</x:v>
      </x:c>
    </x:row>
    <x:row r="388" ht="23" customHeight="1">
      <x:c r="A388" s="50" t="str">
        <x:v>38506</x:v>
      </x:c>
      <x:c r="B388" s="51" t="d">
        <x:v>2026-09-30T00:00:00.000Z</x:v>
      </x:c>
      <x:c r="C388" s="99" t="n">
        <x:v>0.485549</x:v>
      </x:c>
      <x:c r="D388" s="100" t="n">
        <x:v>7.556808777777778</x:v>
      </x:c>
      <x:c r="E388" s="100" t="n">
        <x:v>17.098116666666666</x:v>
      </x:c>
      <x:c r="F388" s="99" t="n">
        <x:v>0.1362808888888889</x:v>
      </x:c>
      <x:c r="G388" s="99" t="n">
        <x:v>0.010189555555555556</x:v>
      </x:c>
      <x:c r="H388" s="101" t="n">
        <x:v>18840637</x:v>
      </x:c>
      <x:c r="I388" s="99" t="n">
        <x:v>-0.085806514098836</x:v>
      </x:c>
      <x:c r="J388" s="100" t="n">
        <x:v>-1</x:v>
      </x:c>
      <x:c r="K388" s="100"/>
      <x:c r="L388" s="99" t="n">
        <x:v>0.38766666666666666</x:v>
      </x:c>
      <x:c r="M388" s="99" t="n">
        <x:v>0.61</x:v>
      </x:c>
      <x:c r="N388" s="99"/>
      <x:c r="O388" s="99" t="n">
        <x:v>0.3373002222222222</x:v>
      </x:c>
      <x:c r="P388" s="99" t="n">
        <x:v>0.0008568888888889008</x:v>
      </x:c>
      <x:c r="Q388" s="99" t="n">
        <x:v>0.2711847777777778</x:v>
      </x:c>
      <x:c r="R388" s="99" t="n">
        <x:v>-0.016213666666666657</x:v>
      </x:c>
      <x:c r="S388" s="45"/>
      <x:c r="T388" s="45"/>
      <x:c r="U388" s="51" t="d">
        <x:v>2026-09-30T00:00:00.000Z</x:v>
      </x:c>
      <x:c r="V388" s="51" t="d">
        <x:v>2026-09-30T00:00:00.000Z</x:v>
      </x:c>
      <x:c r="W388" s="109" t="n">
        <x:v>9</x:v>
      </x:c>
      <x:c r="X388" s="109" t="n">
        <x:v>9</x:v>
      </x:c>
      <x:c r="Y388" s="45" t="str">
        <x:v>sbx-mex/Perfil_Tienda_DM</x:v>
      </x:c>
      <x:c r="Z388" s="45" t="str">
        <x:v>2a6b0d21379739482f0b4c7be9b0f9a022e15f5b</x:v>
      </x:c>
      <x:c r="AA388" s="45" t="str">
        <x:v>8456a41c5e02d454e70a2531577ffb2e29f73e57e44a7762de681d568aa4227a</x:v>
      </x:c>
    </x:row>
    <x:row r="389" ht="23" customHeight="1">
      <x:c r="A389" s="50" t="str">
        <x:v>38563</x:v>
      </x:c>
      <x:c r="B389" s="51" t="d">
        <x:v>2026-09-30T00:00:00.000Z</x:v>
      </x:c>
      <x:c r="C389" s="99" t="n">
        <x:v>0.663317</x:v>
      </x:c>
      <x:c r="D389" s="100" t="n">
        <x:v>6.720688222222222</x:v>
      </x:c>
      <x:c r="E389" s="100" t="n">
        <x:v>16.51666722222222</x:v>
      </x:c>
      <x:c r="F389" s="99" t="n">
        <x:v>0.15010866666666667</x:v>
      </x:c>
      <x:c r="G389" s="99" t="n">
        <x:v>-0.020285333333333332</x:v>
      </x:c>
      <x:c r="H389" s="101" t="n">
        <x:v>18802292</x:v>
      </x:c>
      <x:c r="I389" s="99" t="n">
        <x:v>0.01487642425421054</x:v>
      </x:c>
      <x:c r="J389" s="100" t="n">
        <x:v>-21.11111111111111</x:v>
      </x:c>
      <x:c r="K389" s="100"/>
      <x:c r="L389" s="99" t="n">
        <x:v>0.4534444444444444</x:v>
      </x:c>
      <x:c r="M389" s="99" t="n">
        <x:v>0.5777777777777778</x:v>
      </x:c>
      <x:c r="N389" s="99"/>
      <x:c r="O389" s="99" t="n">
        <x:v>0.33591166666666666</x:v>
      </x:c>
      <x:c r="P389" s="99" t="n">
        <x:v>0.0021816666666666807</x:v>
      </x:c>
      <x:c r="Q389" s="99" t="n">
        <x:v>0.24343411111111113</x:v>
      </x:c>
      <x:c r="R389" s="99" t="n">
        <x:v>0.04028044444444445</x:v>
      </x:c>
      <x:c r="S389" s="45" t="str">
        <x:v>01:26</x:v>
      </x:c>
      <x:c r="T389" s="45" t="str">
        <x:v>01:46</x:v>
      </x:c>
      <x:c r="U389" s="51" t="d">
        <x:v>2026-09-30T00:00:00.000Z</x:v>
      </x:c>
      <x:c r="V389" s="51" t="d">
        <x:v>2026-09-30T00:00:00.000Z</x:v>
      </x:c>
      <x:c r="W389" s="109" t="n">
        <x:v>9</x:v>
      </x:c>
      <x:c r="X389" s="109" t="n">
        <x:v>9</x:v>
      </x:c>
      <x:c r="Y389" s="45" t="str">
        <x:v>sbx-mex/Perfil_Tienda_DM</x:v>
      </x:c>
      <x:c r="Z389" s="45" t="str">
        <x:v>2a6b0d21379739482f0b4c7be9b0f9a022e15f5b</x:v>
      </x:c>
      <x:c r="AA389" s="45" t="str">
        <x:v>8456a41c5e02d454e70a2531577ffb2e29f73e57e44a7762de681d568aa4227a</x:v>
      </x:c>
    </x:row>
    <x:row r="390" ht="23" customHeight="1">
      <x:c r="A390" s="50" t="str">
        <x:v>38630</x:v>
      </x:c>
      <x:c r="B390" s="51" t="d">
        <x:v>2026-09-30T00:00:00.000Z</x:v>
      </x:c>
      <x:c r="C390" s="99" t="n">
        <x:v>0.198347</x:v>
      </x:c>
      <x:c r="D390" s="100" t="n">
        <x:v>6.994355777777778</x:v>
      </x:c>
      <x:c r="E390" s="100" t="n">
        <x:v>14.860952444444443</x:v>
      </x:c>
      <x:c r="F390" s="99" t="n">
        <x:v>0.1576362222222222</x:v>
      </x:c>
      <x:c r="G390" s="99" t="n">
        <x:v>-0.011222777777777772</x:v>
      </x:c>
      <x:c r="H390" s="101" t="n">
        <x:v>12000655</x:v>
      </x:c>
      <x:c r="I390" s="99" t="n">
        <x:v>0.0024734808340476366</x:v>
      </x:c>
      <x:c r="J390" s="100" t="n">
        <x:v>22.333333333333332</x:v>
      </x:c>
      <x:c r="K390" s="100"/>
      <x:c r="L390" s="99" t="n">
        <x:v>0.6323333333333333</x:v>
      </x:c>
      <x:c r="M390" s="99" t="n">
        <x:v>0.8</x:v>
      </x:c>
      <x:c r="N390" s="99"/>
      <x:c r="O390" s="99" t="n">
        <x:v>0.3383455555555555</x:v>
      </x:c>
      <x:c r="P390" s="99" t="n">
        <x:v>-0.00996911111111112</x:v>
      </x:c>
      <x:c r="Q390" s="99" t="n">
        <x:v>0.26748944444444445</x:v>
      </x:c>
      <x:c r="R390" s="99" t="n">
        <x:v>0.03364266666666667</x:v>
      </x:c>
      <x:c r="S390" s="45"/>
      <x:c r="T390" s="45"/>
      <x:c r="U390" s="51" t="d">
        <x:v>2026-09-30T00:00:00.000Z</x:v>
      </x:c>
      <x:c r="V390" s="51" t="d">
        <x:v>2026-09-30T00:00:00.000Z</x:v>
      </x:c>
      <x:c r="W390" s="109" t="n">
        <x:v>9</x:v>
      </x:c>
      <x:c r="X390" s="109" t="n">
        <x:v>9</x:v>
      </x:c>
      <x:c r="Y390" s="45" t="str">
        <x:v>sbx-mex/Perfil_Tienda_DM</x:v>
      </x:c>
      <x:c r="Z390" s="45" t="str">
        <x:v>2a6b0d21379739482f0b4c7be9b0f9a022e15f5b</x:v>
      </x:c>
      <x:c r="AA390" s="45" t="str">
        <x:v>8456a41c5e02d454e70a2531577ffb2e29f73e57e44a7762de681d568aa4227a</x:v>
      </x:c>
    </x:row>
    <x:row r="391" ht="23" customHeight="1">
      <x:c r="A391" s="50" t="str">
        <x:v>38734</x:v>
      </x:c>
      <x:c r="B391" s="51" t="d">
        <x:v>2026-09-30T00:00:00.000Z</x:v>
      </x:c>
      <x:c r="C391" s="99" t="n">
        <x:v>0.327273</x:v>
      </x:c>
      <x:c r="D391" s="100" t="n">
        <x:v>5.848692444444445</x:v>
      </x:c>
      <x:c r="E391" s="100" t="n">
        <x:v>14.334295333333333</x:v>
      </x:c>
      <x:c r="F391" s="99" t="n">
        <x:v>0.15578833333333333</x:v>
      </x:c>
      <x:c r="G391" s="99" t="n">
        <x:v>0.010683333333333331</x:v>
      </x:c>
      <x:c r="H391" s="101" t="n">
        <x:v>20939997</x:v>
      </x:c>
      <x:c r="I391" s="99" t="n">
        <x:v>-0.00675597425872565</x:v>
      </x:c>
      <x:c r="J391" s="100" t="n">
        <x:v>-27.333333333333332</x:v>
      </x:c>
      <x:c r="K391" s="100"/>
      <x:c r="L391" s="99" t="n">
        <x:v>0.4156666666666667</x:v>
      </x:c>
      <x:c r="M391" s="99" t="n">
        <x:v>0.548888888888889</x:v>
      </x:c>
      <x:c r="N391" s="99"/>
      <x:c r="O391" s="99" t="n">
        <x:v>0.35623099999999996</x:v>
      </x:c>
      <x:c r="P391" s="99" t="n">
        <x:v>0.013750111111111117</x:v>
      </x:c>
      <x:c r="Q391" s="99" t="n">
        <x:v>0.26814255555555555</x:v>
      </x:c>
      <x:c r="R391" s="99" t="n">
        <x:v>-0.024674666666666657</x:v>
      </x:c>
      <x:c r="S391" s="45" t="str">
        <x:v>01:34</x:v>
      </x:c>
      <x:c r="T391" s="45" t="str">
        <x:v>01:32</x:v>
      </x:c>
      <x:c r="U391" s="51" t="d">
        <x:v>2026-09-30T00:00:00.000Z</x:v>
      </x:c>
      <x:c r="V391" s="51" t="d">
        <x:v>2026-09-30T00:00:00.000Z</x:v>
      </x:c>
      <x:c r="W391" s="109" t="n">
        <x:v>9</x:v>
      </x:c>
      <x:c r="X391" s="109" t="n">
        <x:v>9</x:v>
      </x:c>
      <x:c r="Y391" s="45" t="str">
        <x:v>sbx-mex/Perfil_Tienda_DM</x:v>
      </x:c>
      <x:c r="Z391" s="45" t="str">
        <x:v>2a6b0d21379739482f0b4c7be9b0f9a022e15f5b</x:v>
      </x:c>
      <x:c r="AA391" s="45" t="str">
        <x:v>8456a41c5e02d454e70a2531577ffb2e29f73e57e44a7762de681d568aa4227a</x:v>
      </x:c>
    </x:row>
    <x:row r="392" ht="23" customHeight="1">
      <x:c r="A392" s="50" t="str">
        <x:v>38833</x:v>
      </x:c>
      <x:c r="B392" s="51" t="d">
        <x:v>2026-09-30T00:00:00.000Z</x:v>
      </x:c>
      <x:c r="C392" s="99" t="n">
        <x:v>0.270677</x:v>
      </x:c>
      <x:c r="D392" s="100" t="n">
        <x:v>7.2029281111111105</x:v>
      </x:c>
      <x:c r="E392" s="100" t="n">
        <x:v>16.468788888888888</x:v>
      </x:c>
      <x:c r="F392" s="99" t="n">
        <x:v>0.1080258888888889</x:v>
      </x:c>
      <x:c r="G392" s="99" t="n">
        <x:v>-0.009486</x:v>
      </x:c>
      <x:c r="H392" s="101" t="n">
        <x:v>36884667</x:v>
      </x:c>
      <x:c r="I392" s="99" t="n">
        <x:v>0.06064132444590431</x:v>
      </x:c>
      <x:c r="J392" s="100" t="n">
        <x:v>-23</x:v>
      </x:c>
      <x:c r="K392" s="100"/>
      <x:c r="L392" s="99" t="n">
        <x:v>0.4093333333333333</x:v>
      </x:c>
      <x:c r="M392" s="99" t="n">
        <x:v>0.5688888888888889</x:v>
      </x:c>
      <x:c r="N392" s="99"/>
      <x:c r="O392" s="99" t="n">
        <x:v>0.24281633333333336</x:v>
      </x:c>
      <x:c r="P392" s="99" t="n">
        <x:v>-0.011789777777777776</x:v>
      </x:c>
      <x:c r="Q392" s="99" t="n">
        <x:v>0.1890113333333333</x:v>
      </x:c>
      <x:c r="R392" s="99" t="n">
        <x:v>-0.039651000000000006</x:v>
      </x:c>
      <x:c r="S392" s="45"/>
      <x:c r="T392" s="45"/>
      <x:c r="U392" s="51" t="d">
        <x:v>2026-09-30T00:00:00.000Z</x:v>
      </x:c>
      <x:c r="V392" s="51" t="d">
        <x:v>2026-09-30T00:00:00.000Z</x:v>
      </x:c>
      <x:c r="W392" s="109" t="n">
        <x:v>9</x:v>
      </x:c>
      <x:c r="X392" s="109" t="n">
        <x:v>9</x:v>
      </x:c>
      <x:c r="Y392" s="45" t="str">
        <x:v>sbx-mex/Perfil_Tienda_DM</x:v>
      </x:c>
      <x:c r="Z392" s="45" t="str">
        <x:v>2a6b0d21379739482f0b4c7be9b0f9a022e15f5b</x:v>
      </x:c>
      <x:c r="AA392" s="45" t="str">
        <x:v>8456a41c5e02d454e70a2531577ffb2e29f73e57e44a7762de681d568aa4227a</x:v>
      </x:c>
    </x:row>
    <x:row r="393" ht="23" customHeight="1">
      <x:c r="A393" s="50" t="str">
        <x:v>38891</x:v>
      </x:c>
      <x:c r="B393" s="51" t="d">
        <x:v>2026-09-30T00:00:00.000Z</x:v>
      </x:c>
      <x:c r="C393" s="99" t="n">
        <x:v>0.805369</x:v>
      </x:c>
      <x:c r="D393" s="100" t="n">
        <x:v>8.099704555555554</x:v>
      </x:c>
      <x:c r="E393" s="100" t="n">
        <x:v>18.549233333333333</x:v>
      </x:c>
      <x:c r="F393" s="99" t="n">
        <x:v>0.1618587777777778</x:v>
      </x:c>
      <x:c r="G393" s="99" t="n">
        <x:v>-0.013951666666666659</x:v>
      </x:c>
      <x:c r="H393" s="101" t="n">
        <x:v>12814313</x:v>
      </x:c>
      <x:c r="I393" s="99" t="n">
        <x:v>-0.08034396497419305</x:v>
      </x:c>
      <x:c r="J393" s="100" t="n">
        <x:v>-9.555555555555555</x:v>
      </x:c>
      <x:c r="K393" s="100"/>
      <x:c r="L393" s="99" t="n">
        <x:v>0.6112222222222222</x:v>
      </x:c>
      <x:c r="M393" s="99" t="n">
        <x:v>0.6822222222222222</x:v>
      </x:c>
      <x:c r="N393" s="99"/>
      <x:c r="O393" s="99" t="n">
        <x:v>0.34338144444444446</x:v>
      </x:c>
      <x:c r="P393" s="99" t="n">
        <x:v>0.004149999999999999</x:v>
      </x:c>
      <x:c r="Q393" s="99" t="n">
        <x:v>0.22909055555555558</x:v>
      </x:c>
      <x:c r="R393" s="99" t="n">
        <x:v>0.011662777777777779</x:v>
      </x:c>
      <x:c r="S393" s="45"/>
      <x:c r="T393" s="45"/>
      <x:c r="U393" s="51" t="d">
        <x:v>2026-09-30T00:00:00.000Z</x:v>
      </x:c>
      <x:c r="V393" s="51" t="d">
        <x:v>2026-09-30T00:00:00.000Z</x:v>
      </x:c>
      <x:c r="W393" s="109" t="n">
        <x:v>9</x:v>
      </x:c>
      <x:c r="X393" s="109" t="n">
        <x:v>9</x:v>
      </x:c>
      <x:c r="Y393" s="45" t="str">
        <x:v>sbx-mex/Perfil_Tienda_DM</x:v>
      </x:c>
      <x:c r="Z393" s="45" t="str">
        <x:v>2a6b0d21379739482f0b4c7be9b0f9a022e15f5b</x:v>
      </x:c>
      <x:c r="AA393" s="45" t="str">
        <x:v>8456a41c5e02d454e70a2531577ffb2e29f73e57e44a7762de681d568aa4227a</x:v>
      </x:c>
    </x:row>
    <x:row r="394" ht="23" customHeight="1">
      <x:c r="A394" s="50" t="str">
        <x:v>38912</x:v>
      </x:c>
      <x:c r="B394" s="51" t="d">
        <x:v>2026-09-30T00:00:00.000Z</x:v>
      </x:c>
      <x:c r="C394" s="99" t="n">
        <x:v>0.375</x:v>
      </x:c>
      <x:c r="D394" s="100" t="n">
        <x:v>7.955460555555555</x:v>
      </x:c>
      <x:c r="E394" s="100" t="n">
        <x:v>17.573927555555557</x:v>
      </x:c>
      <x:c r="F394" s="99" t="n">
        <x:v>0.147988</x:v>
      </x:c>
      <x:c r="G394" s="99" t="n">
        <x:v>-0.005046555555555554</x:v>
      </x:c>
      <x:c r="H394" s="101" t="n">
        <x:v>19231943</x:v>
      </x:c>
      <x:c r="I394" s="99" t="n">
        <x:v>-0.027787736793204898</x:v>
      </x:c>
      <x:c r="J394" s="100" t="n">
        <x:v>17.666666666666668</x:v>
      </x:c>
      <x:c r="K394" s="100"/>
      <x:c r="L394" s="99" t="n">
        <x:v>0.49822222222222223</x:v>
      </x:c>
      <x:c r="M394" s="99" t="n">
        <x:v>0.6633333333333333</x:v>
      </x:c>
      <x:c r="N394" s="99"/>
      <x:c r="O394" s="99" t="n">
        <x:v>0.3469751111111111</x:v>
      </x:c>
      <x:c r="P394" s="99" t="n">
        <x:v>0.02735522222222223</x:v>
      </x:c>
      <x:c r="Q394" s="99" t="n">
        <x:v>0.31841855555555554</x:v>
      </x:c>
      <x:c r="R394" s="99" t="n">
        <x:v>-0.02978611111111111</x:v>
      </x:c>
      <x:c r="S394" s="45" t="str">
        <x:v>01:34</x:v>
      </x:c>
      <x:c r="T394" s="45" t="str">
        <x:v>01:26</x:v>
      </x:c>
      <x:c r="U394" s="51" t="d">
        <x:v>2026-09-30T00:00:00.000Z</x:v>
      </x:c>
      <x:c r="V394" s="51" t="d">
        <x:v>2026-09-30T00:00:00.000Z</x:v>
      </x:c>
      <x:c r="W394" s="109" t="n">
        <x:v>9</x:v>
      </x:c>
      <x:c r="X394" s="109" t="n">
        <x:v>9</x:v>
      </x:c>
      <x:c r="Y394" s="45" t="str">
        <x:v>sbx-mex/Perfil_Tienda_DM</x:v>
      </x:c>
      <x:c r="Z394" s="45" t="str">
        <x:v>2a6b0d21379739482f0b4c7be9b0f9a022e15f5b</x:v>
      </x:c>
      <x:c r="AA394" s="45" t="str">
        <x:v>8456a41c5e02d454e70a2531577ffb2e29f73e57e44a7762de681d568aa4227a</x:v>
      </x:c>
    </x:row>
    <x:row r="395" ht="23" customHeight="1">
      <x:c r="A395" s="50" t="str">
        <x:v>38974</x:v>
      </x:c>
      <x:c r="B395" s="51" t="d">
        <x:v>2026-09-30T00:00:00.000Z</x:v>
      </x:c>
      <x:c r="C395" s="99" t="n">
        <x:v>0.117073</x:v>
      </x:c>
      <x:c r="D395" s="100" t="n">
        <x:v>6.464603333333333</x:v>
      </x:c>
      <x:c r="E395" s="100" t="n">
        <x:v>15.105373333333334</x:v>
      </x:c>
      <x:c r="F395" s="99" t="n">
        <x:v>0.14291133333333333</x:v>
      </x:c>
      <x:c r="G395" s="99" t="n">
        <x:v>-0.015406666666666664</x:v>
      </x:c>
      <x:c r="H395" s="101" t="n">
        <x:v>19935055</x:v>
      </x:c>
      <x:c r="I395" s="99" t="n">
        <x:v>0.05211196903883719</x:v>
      </x:c>
      <x:c r="J395" s="100" t="n">
        <x:v>34.888888888888886</x:v>
      </x:c>
      <x:c r="K395" s="100"/>
      <x:c r="L395" s="99" t="n">
        <x:v>0.4731111111111111</x:v>
      </x:c>
      <x:c r="M395" s="99" t="n">
        <x:v>0.6422222222222222</x:v>
      </x:c>
      <x:c r="N395" s="99"/>
      <x:c r="O395" s="99" t="n">
        <x:v>0.3400147777777778</x:v>
      </x:c>
      <x:c r="P395" s="99" t="n">
        <x:v>-0.01937288888888887</x:v>
      </x:c>
      <x:c r="Q395" s="99" t="n">
        <x:v>0.3128253333333333</x:v>
      </x:c>
      <x:c r="R395" s="99" t="n">
        <x:v>0.023951222222222218</x:v>
      </x:c>
      <x:c r="S395" s="45" t="str">
        <x:v>01:39</x:v>
      </x:c>
      <x:c r="T395" s="45" t="str">
        <x:v>01:44</x:v>
      </x:c>
      <x:c r="U395" s="51" t="d">
        <x:v>2026-09-30T00:00:00.000Z</x:v>
      </x:c>
      <x:c r="V395" s="51" t="d">
        <x:v>2026-09-30T00:00:00.000Z</x:v>
      </x:c>
      <x:c r="W395" s="109" t="n">
        <x:v>9</x:v>
      </x:c>
      <x:c r="X395" s="109" t="n">
        <x:v>9</x:v>
      </x:c>
      <x:c r="Y395" s="45" t="str">
        <x:v>sbx-mex/Perfil_Tienda_DM</x:v>
      </x:c>
      <x:c r="Z395" s="45" t="str">
        <x:v>2a6b0d21379739482f0b4c7be9b0f9a022e15f5b</x:v>
      </x:c>
      <x:c r="AA395" s="45" t="str">
        <x:v>8456a41c5e02d454e70a2531577ffb2e29f73e57e44a7762de681d568aa4227a</x:v>
      </x:c>
    </x:row>
    <x:row r="396" ht="23" customHeight="1">
      <x:c r="A396" s="50" t="str">
        <x:v>43063</x:v>
      </x:c>
      <x:c r="B396" s="51" t="d">
        <x:v>2026-09-30T00:00:00.000Z</x:v>
      </x:c>
      <x:c r="C396" s="99" t="n">
        <x:v>0.753927</x:v>
      </x:c>
      <x:c r="D396" s="100" t="n">
        <x:v>8.107952888888889</x:v>
      </x:c>
      <x:c r="E396" s="100" t="n">
        <x:v>18.246039222222223</x:v>
      </x:c>
      <x:c r="F396" s="99" t="n">
        <x:v>0.15826866666666667</x:v>
      </x:c>
      <x:c r="G396" s="99" t="n">
        <x:v>-0.020995222222222217</x:v>
      </x:c>
      <x:c r="H396" s="101" t="n">
        <x:v>17420727</x:v>
      </x:c>
      <x:c r="I396" s="99" t="n">
        <x:v>0.04347384224201378</x:v>
      </x:c>
      <x:c r="J396" s="100" t="n">
        <x:v>10.666666666666666</x:v>
      </x:c>
      <x:c r="K396" s="100"/>
      <x:c r="L396" s="99" t="n">
        <x:v>0.4171111111111111</x:v>
      </x:c>
      <x:c r="M396" s="99" t="n">
        <x:v>0.5911111111111111</x:v>
      </x:c>
      <x:c r="N396" s="99"/>
      <x:c r="O396" s="99" t="n">
        <x:v>0.34182433333333334</x:v>
      </x:c>
      <x:c r="P396" s="99" t="n">
        <x:v>-0.001834888888888892</x:v>
      </x:c>
      <x:c r="Q396" s="99" t="n">
        <x:v>0.30246666666666666</x:v>
      </x:c>
      <x:c r="R396" s="99" t="n">
        <x:v>0.015985222222222237</x:v>
      </x:c>
      <x:c r="S396" s="45" t="str">
        <x:v>01:39</x:v>
      </x:c>
      <x:c r="T396" s="45" t="str">
        <x:v>01:31</x:v>
      </x:c>
      <x:c r="U396" s="51" t="d">
        <x:v>2026-09-30T00:00:00.000Z</x:v>
      </x:c>
      <x:c r="V396" s="51" t="d">
        <x:v>2026-09-30T00:00:00.000Z</x:v>
      </x:c>
      <x:c r="W396" s="109" t="n">
        <x:v>9</x:v>
      </x:c>
      <x:c r="X396" s="109" t="n">
        <x:v>9</x:v>
      </x:c>
      <x:c r="Y396" s="45" t="str">
        <x:v>sbx-mex/Perfil_Tienda_DM</x:v>
      </x:c>
      <x:c r="Z396" s="45" t="str">
        <x:v>2a6b0d21379739482f0b4c7be9b0f9a022e15f5b</x:v>
      </x:c>
      <x:c r="AA396" s="45" t="str">
        <x:v>8456a41c5e02d454e70a2531577ffb2e29f73e57e44a7762de681d568aa4227a</x:v>
      </x:c>
    </x:row>
    <x:row r="397" ht="23" customHeight="1">
      <x:c r="A397" s="50" t="str">
        <x:v>43185</x:v>
      </x:c>
      <x:c r="B397" s="51" t="d">
        <x:v>2026-09-30T00:00:00.000Z</x:v>
      </x:c>
      <x:c r="C397" s="99" t="n">
        <x:v>0.473684</x:v>
      </x:c>
      <x:c r="D397" s="100" t="n">
        <x:v>4.694312333333333</x:v>
      </x:c>
      <x:c r="E397" s="100" t="n">
        <x:v>10.858843111111112</x:v>
      </x:c>
      <x:c r="F397" s="99" t="n">
        <x:v>0.2020437777777778</x:v>
      </x:c>
      <x:c r="G397" s="99" t="n">
        <x:v>-0.0019060000000000004</x:v>
      </x:c>
      <x:c r="H397" s="101" t="n">
        <x:v>10387921</x:v>
      </x:c>
      <x:c r="I397" s="99" t="n">
        <x:v>-0.030405780059061582</x:v>
      </x:c>
      <x:c r="J397" s="100"/>
      <x:c r="K397" s="100"/>
      <x:c r="L397" s="99" t="n">
        <x:v>0.5583333333333333</x:v>
      </x:c>
      <x:c r="M397" s="99" t="n">
        <x:v>0.6822222222222222</x:v>
      </x:c>
      <x:c r="N397" s="99"/>
      <x:c r="O397" s="99" t="n">
        <x:v>0.3465445555555556</x:v>
      </x:c>
      <x:c r="P397" s="99" t="n">
        <x:v>0.012124555555555564</x:v>
      </x:c>
      <x:c r="Q397" s="99" t="n">
        <x:v>0.19142177777777777</x:v>
      </x:c>
      <x:c r="R397" s="99" t="n">
        <x:v>-0.014051888888888885</x:v>
      </x:c>
      <x:c r="S397" s="45" t="str">
        <x:v>01:30</x:v>
      </x:c>
      <x:c r="T397" s="45"/>
      <x:c r="U397" s="51" t="d">
        <x:v>2026-09-30T00:00:00.000Z</x:v>
      </x:c>
      <x:c r="V397" s="51" t="d">
        <x:v>2026-09-30T00:00:00.000Z</x:v>
      </x:c>
      <x:c r="W397" s="109" t="n">
        <x:v>9</x:v>
      </x:c>
      <x:c r="X397" s="109" t="n">
        <x:v>9</x:v>
      </x:c>
      <x:c r="Y397" s="45" t="str">
        <x:v>sbx-mex/Perfil_Tienda_DM</x:v>
      </x:c>
      <x:c r="Z397" s="45" t="str">
        <x:v>2a6b0d21379739482f0b4c7be9b0f9a022e15f5b</x:v>
      </x:c>
      <x:c r="AA397" s="45" t="str">
        <x:v>8456a41c5e02d454e70a2531577ffb2e29f73e57e44a7762de681d568aa4227a</x:v>
      </x:c>
    </x:row>
    <x:row r="398" ht="23" customHeight="1">
      <x:c r="A398" s="50" t="str">
        <x:v>38357</x:v>
      </x:c>
      <x:c r="B398" s="51"/>
      <x:c r="C398" s="99"/>
      <x:c r="D398" s="100"/>
      <x:c r="E398" s="100"/>
      <x:c r="F398" s="99"/>
      <x:c r="G398" s="99"/>
      <x:c r="H398" s="101"/>
      <x:c r="I398" s="99"/>
      <x:c r="J398" s="100"/>
      <x:c r="K398" s="100"/>
      <x:c r="L398" s="99"/>
      <x:c r="M398" s="99"/>
      <x:c r="N398" s="99"/>
      <x:c r="O398" s="99"/>
      <x:c r="P398" s="99"/>
      <x:c r="Q398" s="99"/>
      <x:c r="R398" s="99"/>
      <x:c r="S398" s="45"/>
      <x:c r="T398" s="45"/>
      <x:c r="U398" s="51"/>
      <x:c r="V398" s="51"/>
      <x:c r="W398" s="109" t="n">
        <x:v>0</x:v>
      </x:c>
      <x:c r="X398" s="109" t="n">
        <x:v>0</x:v>
      </x:c>
      <x:c r="Y398" s="45"/>
      <x:c r="Z398" s="45"/>
      <x:c r="AA398" s="45"/>
    </x:row>
    <x:row r="399" ht="23" customHeight="1">
      <x:c r="A399" s="50" t="str">
        <x:v>38358</x:v>
      </x:c>
      <x:c r="B399" s="51" t="d">
        <x:v>2026-09-30T00:00:00.000Z</x:v>
      </x:c>
      <x:c r="C399" s="99" t="n">
        <x:v>0.516129</x:v>
      </x:c>
      <x:c r="D399" s="100" t="n">
        <x:v>7.238211444444444</x:v>
      </x:c>
      <x:c r="E399" s="100" t="n">
        <x:v>16.15357722222222</x:v>
      </x:c>
      <x:c r="F399" s="99" t="n">
        <x:v>0.12848500000000002</x:v>
      </x:c>
      <x:c r="G399" s="99" t="n">
        <x:v>0.016884666666666666</x:v>
      </x:c>
      <x:c r="H399" s="101" t="n">
        <x:v>29335118</x:v>
      </x:c>
      <x:c r="I399" s="99" t="n">
        <x:v>-0.1298822446778477</x:v>
      </x:c>
      <x:c r="J399" s="100" t="n">
        <x:v>-32</x:v>
      </x:c>
      <x:c r="K399" s="100"/>
      <x:c r="L399" s="99" t="n">
        <x:v>0.503</x:v>
      </x:c>
      <x:c r="M399" s="99" t="n">
        <x:v>0.6455555555555555</x:v>
      </x:c>
      <x:c r="N399" s="99"/>
      <x:c r="O399" s="99" t="n">
        <x:v>0.35964044444444443</x:v>
      </x:c>
      <x:c r="P399" s="99" t="n">
        <x:v>0.014135777777777771</x:v>
      </x:c>
      <x:c r="Q399" s="99" t="n">
        <x:v>0.3032856666666667</x:v>
      </x:c>
      <x:c r="R399" s="99" t="n">
        <x:v>-0.06895266666666666</x:v>
      </x:c>
      <x:c r="S399" s="45" t="str">
        <x:v>01:33</x:v>
      </x:c>
      <x:c r="T399" s="45" t="str">
        <x:v>01:37</x:v>
      </x:c>
      <x:c r="U399" s="51" t="d">
        <x:v>2026-09-30T00:00:00.000Z</x:v>
      </x:c>
      <x:c r="V399" s="51" t="d">
        <x:v>2026-09-30T00:00:00.000Z</x:v>
      </x:c>
      <x:c r="W399" s="109" t="n">
        <x:v>9</x:v>
      </x:c>
      <x:c r="X399" s="109" t="n">
        <x:v>9</x:v>
      </x:c>
      <x:c r="Y399" s="45" t="str">
        <x:v>sbx-mex/Perfil_Tienda_DM</x:v>
      </x:c>
      <x:c r="Z399" s="45" t="str">
        <x:v>2a6b0d21379739482f0b4c7be9b0f9a022e15f5b</x:v>
      </x:c>
      <x:c r="AA399" s="45" t="str">
        <x:v>8456a41c5e02d454e70a2531577ffb2e29f73e57e44a7762de681d568aa4227a</x:v>
      </x:c>
    </x:row>
    <x:row r="400" ht="23" customHeight="1">
      <x:c r="A400" s="50" t="str">
        <x:v>38790</x:v>
      </x:c>
      <x:c r="B400" s="51" t="d">
        <x:v>2026-09-30T00:00:00.000Z</x:v>
      </x:c>
      <x:c r="C400" s="99" t="n">
        <x:v>0.357447</x:v>
      </x:c>
      <x:c r="D400" s="100" t="n">
        <x:v>5.509678</x:v>
      </x:c>
      <x:c r="E400" s="100" t="n">
        <x:v>15.24660977777778</x:v>
      </x:c>
      <x:c r="F400" s="99" t="n">
        <x:v>0.1417581111111111</x:v>
      </x:c>
      <x:c r="G400" s="99" t="n">
        <x:v>0.003849444444444439</x:v>
      </x:c>
      <x:c r="H400" s="101" t="n">
        <x:v>25216332</x:v>
      </x:c>
      <x:c r="I400" s="99" t="n">
        <x:v>-0.007269723296774999</x:v>
      </x:c>
      <x:c r="J400" s="100" t="n">
        <x:v>10.222222222222221</x:v>
      </x:c>
      <x:c r="K400" s="100"/>
      <x:c r="L400" s="99" t="n">
        <x:v>0.4613333333333334</x:v>
      </x:c>
      <x:c r="M400" s="99" t="n">
        <x:v>0.5988888888888888</x:v>
      </x:c>
      <x:c r="N400" s="99"/>
      <x:c r="O400" s="99" t="n">
        <x:v>0.3554447777777778</x:v>
      </x:c>
      <x:c r="P400" s="99" t="n">
        <x:v>0.004479555555555552</x:v>
      </x:c>
      <x:c r="Q400" s="99" t="n">
        <x:v>0.31024644444444444</x:v>
      </x:c>
      <x:c r="R400" s="99" t="n">
        <x:v>-0.007182666666666677</x:v>
      </x:c>
      <x:c r="S400" s="45" t="str">
        <x:v>01:42</x:v>
      </x:c>
      <x:c r="T400" s="45" t="str">
        <x:v>01:35</x:v>
      </x:c>
      <x:c r="U400" s="51" t="d">
        <x:v>2026-09-30T00:00:00.000Z</x:v>
      </x:c>
      <x:c r="V400" s="51" t="d">
        <x:v>2026-09-30T00:00:00.000Z</x:v>
      </x:c>
      <x:c r="W400" s="109" t="n">
        <x:v>9</x:v>
      </x:c>
      <x:c r="X400" s="109" t="n">
        <x:v>9</x:v>
      </x:c>
      <x:c r="Y400" s="45" t="str">
        <x:v>sbx-mex/Perfil_Tienda_DM</x:v>
      </x:c>
      <x:c r="Z400" s="45" t="str">
        <x:v>2a6b0d21379739482f0b4c7be9b0f9a022e15f5b</x:v>
      </x:c>
      <x:c r="AA400" s="45" t="str">
        <x:v>8456a41c5e02d454e70a2531577ffb2e29f73e57e44a7762de681d568aa4227a</x:v>
      </x:c>
    </x:row>
    <x:row r="401" ht="23" customHeight="1">
      <x:c r="A401" s="50" t="str">
        <x:v>38793</x:v>
      </x:c>
      <x:c r="B401" s="51" t="d">
        <x:v>2026-09-30T00:00:00.000Z</x:v>
      </x:c>
      <x:c r="C401" s="99" t="n">
        <x:v>0.233766</x:v>
      </x:c>
      <x:c r="D401" s="100" t="n">
        <x:v>5.8360840000000005</x:v>
      </x:c>
      <x:c r="E401" s="100" t="n">
        <x:v>13.75619411111111</x:v>
      </x:c>
      <x:c r="F401" s="99" t="n">
        <x:v>0.16213733333333333</x:v>
      </x:c>
      <x:c r="G401" s="99" t="n">
        <x:v>-0.008752333333333338</x:v>
      </x:c>
      <x:c r="H401" s="101" t="n">
        <x:v>14174192</x:v>
      </x:c>
      <x:c r="I401" s="99" t="n">
        <x:v>-0.026869773206689818</x:v>
      </x:c>
      <x:c r="J401" s="100" t="n">
        <x:v>-3</x:v>
      </x:c>
      <x:c r="K401" s="100"/>
      <x:c r="L401" s="99" t="n">
        <x:v>0.6612222222222223</x:v>
      </x:c>
      <x:c r="M401" s="99" t="n">
        <x:v>0.7666666666666667</x:v>
      </x:c>
      <x:c r="N401" s="99"/>
      <x:c r="O401" s="99" t="n">
        <x:v>0.3616231111111111</x:v>
      </x:c>
      <x:c r="P401" s="99" t="n">
        <x:v>0.02108588888888889</x:v>
      </x:c>
      <x:c r="Q401" s="99" t="n">
        <x:v>0.201891</x:v>
      </x:c>
      <x:c r="R401" s="99" t="n">
        <x:v>-0.007595333333333331</x:v>
      </x:c>
      <x:c r="S401" s="45"/>
      <x:c r="T401" s="45"/>
      <x:c r="U401" s="51" t="d">
        <x:v>2026-09-30T00:00:00.000Z</x:v>
      </x:c>
      <x:c r="V401" s="51" t="d">
        <x:v>2026-09-30T00:00:00.000Z</x:v>
      </x:c>
      <x:c r="W401" s="109" t="n">
        <x:v>9</x:v>
      </x:c>
      <x:c r="X401" s="109" t="n">
        <x:v>9</x:v>
      </x:c>
      <x:c r="Y401" s="45" t="str">
        <x:v>sbx-mex/Perfil_Tienda_DM</x:v>
      </x:c>
      <x:c r="Z401" s="45" t="str">
        <x:v>2a6b0d21379739482f0b4c7be9b0f9a022e15f5b</x:v>
      </x:c>
      <x:c r="AA401" s="45" t="str">
        <x:v>8456a41c5e02d454e70a2531577ffb2e29f73e57e44a7762de681d568aa4227a</x:v>
      </x:c>
    </x:row>
    <x:row r="402" ht="23" customHeight="1">
      <x:c r="A402" s="50" t="str">
        <x:v>38893</x:v>
      </x:c>
      <x:c r="B402" s="51" t="d">
        <x:v>2026-09-30T00:00:00.000Z</x:v>
      </x:c>
      <x:c r="C402" s="99" t="n">
        <x:v>0.509091</x:v>
      </x:c>
      <x:c r="D402" s="100" t="n">
        <x:v>6.042158</x:v>
      </x:c>
      <x:c r="E402" s="100" t="n">
        <x:v>15.597302444444445</x:v>
      </x:c>
      <x:c r="F402" s="99" t="n">
        <x:v>0.15904144444444446</x:v>
      </x:c>
      <x:c r="G402" s="99" t="n">
        <x:v>0.005880111111111114</x:v>
      </x:c>
      <x:c r="H402" s="101" t="n">
        <x:v>14370051</x:v>
      </x:c>
      <x:c r="I402" s="99" t="n">
        <x:v>-0.06972923240887186</x:v>
      </x:c>
      <x:c r="J402" s="100" t="n">
        <x:v>-6.888888888888889</x:v>
      </x:c>
      <x:c r="K402" s="100"/>
      <x:c r="L402" s="99" t="n">
        <x:v>0.5273333333333333</x:v>
      </x:c>
      <x:c r="M402" s="99" t="n">
        <x:v>0.6477777777777778</x:v>
      </x:c>
      <x:c r="N402" s="99"/>
      <x:c r="O402" s="99" t="n">
        <x:v>0.35743111111111114</x:v>
      </x:c>
      <x:c r="P402" s="99" t="n">
        <x:v>-0.0015736666666666646</x:v>
      </x:c>
      <x:c r="Q402" s="99" t="n">
        <x:v>0.22768911111111112</x:v>
      </x:c>
      <x:c r="R402" s="99" t="n">
        <x:v>-0.012189333333333326</x:v>
      </x:c>
      <x:c r="S402" s="45"/>
      <x:c r="T402" s="45"/>
      <x:c r="U402" s="51" t="d">
        <x:v>2026-09-30T00:00:00.000Z</x:v>
      </x:c>
      <x:c r="V402" s="51" t="d">
        <x:v>2026-09-30T00:00:00.000Z</x:v>
      </x:c>
      <x:c r="W402" s="109" t="n">
        <x:v>9</x:v>
      </x:c>
      <x:c r="X402" s="109" t="n">
        <x:v>9</x:v>
      </x:c>
      <x:c r="Y402" s="45" t="str">
        <x:v>sbx-mex/Perfil_Tienda_DM</x:v>
      </x:c>
      <x:c r="Z402" s="45" t="str">
        <x:v>2a6b0d21379739482f0b4c7be9b0f9a022e15f5b</x:v>
      </x:c>
      <x:c r="AA402" s="45" t="str">
        <x:v>8456a41c5e02d454e70a2531577ffb2e29f73e57e44a7762de681d568aa4227a</x:v>
      </x:c>
    </x:row>
    <x:row r="403" ht="23" customHeight="1">
      <x:c r="A403" s="50" t="str">
        <x:v>38908</x:v>
      </x:c>
      <x:c r="B403" s="51" t="d">
        <x:v>2026-09-30T00:00:00.000Z</x:v>
      </x:c>
      <x:c r="C403" s="99" t="n">
        <x:v>0.167247</x:v>
      </x:c>
      <x:c r="D403" s="100" t="n">
        <x:v>5.9115825555555555</x:v>
      </x:c>
      <x:c r="E403" s="100" t="n">
        <x:v>16.625485</x:v>
      </x:c>
      <x:c r="F403" s="99" t="n">
        <x:v>0.12194944444444444</x:v>
      </x:c>
      <x:c r="G403" s="99" t="n">
        <x:v>-0.021595111111111107</x:v>
      </x:c>
      <x:c r="H403" s="101" t="n">
        <x:v>33101919</x:v>
      </x:c>
      <x:c r="I403" s="99" t="n">
        <x:v>0.09783514458798837</x:v>
      </x:c>
      <x:c r="J403" s="100" t="n">
        <x:v>14.11111111111111</x:v>
      </x:c>
      <x:c r="K403" s="100"/>
      <x:c r="L403" s="99" t="n">
        <x:v>0.46222222222222226</x:v>
      </x:c>
      <x:c r="M403" s="99" t="n">
        <x:v>0.6066666666666667</x:v>
      </x:c>
      <x:c r="N403" s="99"/>
      <x:c r="O403" s="99" t="n">
        <x:v>0.33588466666666666</x:v>
      </x:c>
      <x:c r="P403" s="99" t="n">
        <x:v>0.004758111111111111</x:v>
      </x:c>
      <x:c r="Q403" s="99" t="n">
        <x:v>0.3802037777777778</x:v>
      </x:c>
      <x:c r="R403" s="99" t="n">
        <x:v>0.025488000000000004</x:v>
      </x:c>
      <x:c r="S403" s="45" t="str">
        <x:v>01:38</x:v>
      </x:c>
      <x:c r="T403" s="45" t="str">
        <x:v>01:38</x:v>
      </x:c>
      <x:c r="U403" s="51" t="d">
        <x:v>2026-09-30T00:00:00.000Z</x:v>
      </x:c>
      <x:c r="V403" s="51" t="d">
        <x:v>2026-09-30T00:00:00.000Z</x:v>
      </x:c>
      <x:c r="W403" s="109" t="n">
        <x:v>9</x:v>
      </x:c>
      <x:c r="X403" s="109" t="n">
        <x:v>9</x:v>
      </x:c>
      <x:c r="Y403" s="45" t="str">
        <x:v>sbx-mex/Perfil_Tienda_DM</x:v>
      </x:c>
      <x:c r="Z403" s="45" t="str">
        <x:v>2a6b0d21379739482f0b4c7be9b0f9a022e15f5b</x:v>
      </x:c>
      <x:c r="AA403" s="45" t="str">
        <x:v>8456a41c5e02d454e70a2531577ffb2e29f73e57e44a7762de681d568aa4227a</x:v>
      </x:c>
    </x:row>
    <x:row r="404" ht="23" customHeight="1">
      <x:c r="A404" s="50" t="str">
        <x:v>38910</x:v>
      </x:c>
      <x:c r="B404" s="51" t="d">
        <x:v>2026-09-30T00:00:00.000Z</x:v>
      </x:c>
      <x:c r="C404" s="99" t="n">
        <x:v>0.180905</x:v>
      </x:c>
      <x:c r="D404" s="100" t="n">
        <x:v>6.785116888888889</x:v>
      </x:c>
      <x:c r="E404" s="100" t="n">
        <x:v>14.313546666666667</x:v>
      </x:c>
      <x:c r="F404" s="99" t="n">
        <x:v>0.13172144444444445</x:v>
      </x:c>
      <x:c r="G404" s="99" t="n">
        <x:v>0.007904222222222226</x:v>
      </x:c>
      <x:c r="H404" s="101" t="n">
        <x:v>24553199</x:v>
      </x:c>
      <x:c r="I404" s="99" t="n">
        <x:v>-0.09452042629287638</x:v>
      </x:c>
      <x:c r="J404" s="100" t="n">
        <x:v>14.11111111111111</x:v>
      </x:c>
      <x:c r="K404" s="100"/>
      <x:c r="L404" s="99" t="n">
        <x:v>0.6895555555555556</x:v>
      </x:c>
      <x:c r="M404" s="99" t="n">
        <x:v>0.7633333333333333</x:v>
      </x:c>
      <x:c r="N404" s="99"/>
      <x:c r="O404" s="99" t="n">
        <x:v>0.2838076666666667</x:v>
      </x:c>
      <x:c r="P404" s="99" t="n">
        <x:v>0.0031965555555555545</x:v>
      </x:c>
      <x:c r="Q404" s="99" t="n">
        <x:v>0.2930383333333333</x:v>
      </x:c>
      <x:c r="R404" s="99" t="n">
        <x:v>-0.04492844444444444</x:v>
      </x:c>
      <x:c r="S404" s="45"/>
      <x:c r="T404" s="45"/>
      <x:c r="U404" s="51" t="d">
        <x:v>2026-09-30T00:00:00.000Z</x:v>
      </x:c>
      <x:c r="V404" s="51" t="d">
        <x:v>2026-09-30T00:00:00.000Z</x:v>
      </x:c>
      <x:c r="W404" s="109" t="n">
        <x:v>9</x:v>
      </x:c>
      <x:c r="X404" s="109" t="n">
        <x:v>9</x:v>
      </x:c>
      <x:c r="Y404" s="45" t="str">
        <x:v>sbx-mex/Perfil_Tienda_DM</x:v>
      </x:c>
      <x:c r="Z404" s="45" t="str">
        <x:v>2a6b0d21379739482f0b4c7be9b0f9a022e15f5b</x:v>
      </x:c>
      <x:c r="AA404" s="45" t="str">
        <x:v>8456a41c5e02d454e70a2531577ffb2e29f73e57e44a7762de681d568aa4227a</x:v>
      </x:c>
    </x:row>
    <x:row r="405" ht="23" customHeight="1">
      <x:c r="A405" s="50" t="str">
        <x:v>38911</x:v>
      </x:c>
      <x:c r="B405" s="51" t="d">
        <x:v>2026-09-30T00:00:00.000Z</x:v>
      </x:c>
      <x:c r="C405" s="99" t="n">
        <x:v>0.285714</x:v>
      </x:c>
      <x:c r="D405" s="100" t="n">
        <x:v>6.7961001111111115</x:v>
      </x:c>
      <x:c r="E405" s="100" t="n">
        <x:v>14.289764</x:v>
      </x:c>
      <x:c r="F405" s="99" t="n">
        <x:v>0.113794</x:v>
      </x:c>
      <x:c r="G405" s="99" t="n">
        <x:v>-0.01779733333333333</x:v>
      </x:c>
      <x:c r="H405" s="101" t="n">
        <x:v>29797647</x:v>
      </x:c>
      <x:c r="I405" s="99" t="n">
        <x:v>0.10796153175349432</x:v>
      </x:c>
      <x:c r="J405" s="100" t="n">
        <x:v>-14.11111111111111</x:v>
      </x:c>
      <x:c r="K405" s="100"/>
      <x:c r="L405" s="99" t="n">
        <x:v>0.4941111111111111</x:v>
      </x:c>
      <x:c r="M405" s="99" t="n">
        <x:v>0.5800000000000001</x:v>
      </x:c>
      <x:c r="N405" s="99"/>
      <x:c r="O405" s="99" t="n">
        <x:v>0.24328966666666668</x:v>
      </x:c>
      <x:c r="P405" s="99" t="n">
        <x:v>0.004220222222222224</x:v>
      </x:c>
      <x:c r="Q405" s="99" t="n">
        <x:v>0.2571908888888889</x:v>
      </x:c>
      <x:c r="R405" s="99" t="n">
        <x:v>0.015350333333333327</x:v>
      </x:c>
      <x:c r="S405" s="45"/>
      <x:c r="T405" s="45"/>
      <x:c r="U405" s="51" t="d">
        <x:v>2026-09-30T00:00:00.000Z</x:v>
      </x:c>
      <x:c r="V405" s="51" t="d">
        <x:v>2026-09-30T00:00:00.000Z</x:v>
      </x:c>
      <x:c r="W405" s="109" t="n">
        <x:v>9</x:v>
      </x:c>
      <x:c r="X405" s="109" t="n">
        <x:v>9</x:v>
      </x:c>
      <x:c r="Y405" s="45" t="str">
        <x:v>sbx-mex/Perfil_Tienda_DM</x:v>
      </x:c>
      <x:c r="Z405" s="45" t="str">
        <x:v>2a6b0d21379739482f0b4c7be9b0f9a022e15f5b</x:v>
      </x:c>
      <x:c r="AA405" s="45" t="str">
        <x:v>8456a41c5e02d454e70a2531577ffb2e29f73e57e44a7762de681d568aa4227a</x:v>
      </x:c>
    </x:row>
    <x:row r="406" ht="23" customHeight="1">
      <x:c r="A406" s="50" t="str">
        <x:v>38939</x:v>
      </x:c>
      <x:c r="B406" s="51" t="d">
        <x:v>2026-09-30T00:00:00.000Z</x:v>
      </x:c>
      <x:c r="C406" s="99" t="n">
        <x:v>0.444444</x:v>
      </x:c>
      <x:c r="D406" s="100" t="n">
        <x:v>6.871602666666667</x:v>
      </x:c>
      <x:c r="E406" s="100" t="n">
        <x:v>16.221138444444442</x:v>
      </x:c>
      <x:c r="F406" s="99" t="n">
        <x:v>0.12295455555555554</x:v>
      </x:c>
      <x:c r="G406" s="99" t="n">
        <x:v>-0.004593888888888887</x:v>
      </x:c>
      <x:c r="H406" s="101" t="n">
        <x:v>31808165</x:v>
      </x:c>
      <x:c r="I406" s="99" t="n">
        <x:v>-0.0407078717418734</x:v>
      </x:c>
      <x:c r="J406" s="100" t="n">
        <x:v>-56.77777777777778</x:v>
      </x:c>
      <x:c r="K406" s="100"/>
      <x:c r="L406" s="99" t="n">
        <x:v>0.44788888888888884</x:v>
      </x:c>
      <x:c r="M406" s="99" t="n">
        <x:v>0.6133333333333333</x:v>
      </x:c>
      <x:c r="N406" s="99"/>
      <x:c r="O406" s="99" t="n">
        <x:v>0.35797477777777775</x:v>
      </x:c>
      <x:c r="P406" s="99" t="n">
        <x:v>0.011754444444444437</x:v>
      </x:c>
      <x:c r="Q406" s="99" t="n">
        <x:v>0.3395068888888889</x:v>
      </x:c>
      <x:c r="R406" s="99" t="n">
        <x:v>0.0031017777777777836</x:v>
      </x:c>
      <x:c r="S406" s="45" t="str">
        <x:v>01:33</x:v>
      </x:c>
      <x:c r="T406" s="45" t="str">
        <x:v>01:25</x:v>
      </x:c>
      <x:c r="U406" s="51" t="d">
        <x:v>2026-09-30T00:00:00.000Z</x:v>
      </x:c>
      <x:c r="V406" s="51" t="d">
        <x:v>2026-09-30T00:00:00.000Z</x:v>
      </x:c>
      <x:c r="W406" s="109" t="n">
        <x:v>9</x:v>
      </x:c>
      <x:c r="X406" s="109" t="n">
        <x:v>9</x:v>
      </x:c>
      <x:c r="Y406" s="45" t="str">
        <x:v>sbx-mex/Perfil_Tienda_DM</x:v>
      </x:c>
      <x:c r="Z406" s="45" t="str">
        <x:v>2a6b0d21379739482f0b4c7be9b0f9a022e15f5b</x:v>
      </x:c>
      <x:c r="AA406" s="45" t="str">
        <x:v>8456a41c5e02d454e70a2531577ffb2e29f73e57e44a7762de681d568aa4227a</x:v>
      </x:c>
    </x:row>
    <x:row r="407" ht="23" customHeight="1">
      <x:c r="A407" s="50" t="str">
        <x:v>43064</x:v>
      </x:c>
      <x:c r="B407" s="51" t="d">
        <x:v>2026-09-30T00:00:00.000Z</x:v>
      </x:c>
      <x:c r="C407" s="99" t="n">
        <x:v>0</x:v>
      </x:c>
      <x:c r="D407" s="100" t="n">
        <x:v>5.049615428571428</x:v>
      </x:c>
      <x:c r="E407" s="100" t="n">
        <x:v>12.630744857142856</x:v>
      </x:c>
      <x:c r="F407" s="99" t="n">
        <x:v>0.2535804285714286</x:v>
      </x:c>
      <x:c r="G407" s="99" t="n">
        <x:v>0.11230085714285713</x:v>
      </x:c>
      <x:c r="H407" s="101" t="n">
        <x:v>8880882</x:v>
      </x:c>
      <x:c r="I407" s="99" t="n">
        <x:v>-0.4260855415425092</x:v>
      </x:c>
      <x:c r="J407" s="100" t="n">
        <x:v>-163.85714285714286</x:v>
      </x:c>
      <x:c r="K407" s="100"/>
      <x:c r="L407" s="99" t="n">
        <x:v>0.6245714285714286</x:v>
      </x:c>
      <x:c r="M407" s="99" t="n">
        <x:v>0.7300000000000001</x:v>
      </x:c>
      <x:c r="N407" s="99"/>
      <x:c r="O407" s="99" t="n">
        <x:v>0.37158299999999994</x:v>
      </x:c>
      <x:c r="P407" s="99" t="n">
        <x:v>0.02093385714285714</x:v>
      </x:c>
      <x:c r="Q407" s="99" t="n">
        <x:v>-0.17653885714285714</x:v>
      </x:c>
      <x:c r="R407" s="99" t="n">
        <x:v>-0.42454657142857144</x:v>
      </x:c>
      <x:c r="S407" s="45" t="str">
        <x:v>01:26</x:v>
      </x:c>
      <x:c r="T407" s="45" t="str">
        <x:v>01:28</x:v>
      </x:c>
      <x:c r="U407" s="51" t="d">
        <x:v>2026-09-30T00:00:00.000Z</x:v>
      </x:c>
      <x:c r="V407" s="51" t="d">
        <x:v>2026-09-30T00:00:00.000Z</x:v>
      </x:c>
      <x:c r="W407" s="109" t="n">
        <x:v>9</x:v>
      </x:c>
      <x:c r="X407" s="109" t="n">
        <x:v>9</x:v>
      </x:c>
      <x:c r="Y407" s="45" t="str">
        <x:v>sbx-mex/Perfil_Tienda_DM</x:v>
      </x:c>
      <x:c r="Z407" s="45" t="str">
        <x:v>2a6b0d21379739482f0b4c7be9b0f9a022e15f5b</x:v>
      </x:c>
      <x:c r="AA407" s="45" t="str">
        <x:v>8456a41c5e02d454e70a2531577ffb2e29f73e57e44a7762de681d568aa4227a</x:v>
      </x:c>
    </x:row>
    <x:row r="408" ht="23" customHeight="1">
      <x:c r="A408" s="50" t="str">
        <x:v>43082</x:v>
      </x:c>
      <x:c r="B408" s="51" t="d">
        <x:v>2026-09-30T00:00:00.000Z</x:v>
      </x:c>
      <x:c r="C408" s="99" t="n">
        <x:v>0.071429</x:v>
      </x:c>
      <x:c r="D408" s="100" t="n">
        <x:v>4.3231022222222215</x:v>
      </x:c>
      <x:c r="E408" s="100" t="n">
        <x:v>9.863261555555555</x:v>
      </x:c>
      <x:c r="F408" s="99" t="n">
        <x:v>0.19991333333333333</x:v>
      </x:c>
      <x:c r="G408" s="99" t="n">
        <x:v>0.011230111111111114</x:v>
      </x:c>
      <x:c r="H408" s="101" t="n">
        <x:v>13632607</x:v>
      </x:c>
      <x:c r="I408" s="99" t="n">
        <x:v>-0.04028787367279296</x:v>
      </x:c>
      <x:c r="J408" s="100" t="n">
        <x:v>50.666666666666664</x:v>
      </x:c>
      <x:c r="K408" s="100"/>
      <x:c r="L408" s="99" t="n">
        <x:v>0.6642222222222222</x:v>
      </x:c>
      <x:c r="M408" s="99" t="n">
        <x:v>0.6855555555555556</x:v>
      </x:c>
      <x:c r="N408" s="99"/>
      <x:c r="O408" s="99" t="n">
        <x:v>0.2867246666666667</x:v>
      </x:c>
      <x:c r="P408" s="99" t="n">
        <x:v>-0.0007267777777777799</x:v>
      </x:c>
      <x:c r="Q408" s="99" t="n">
        <x:v>0.16971922222222224</x:v>
      </x:c>
      <x:c r="R408" s="99" t="n">
        <x:v>-0.06836999999999999</x:v>
      </x:c>
      <x:c r="S408" s="45"/>
      <x:c r="T408" s="45"/>
      <x:c r="U408" s="51" t="d">
        <x:v>2026-09-30T00:00:00.000Z</x:v>
      </x:c>
      <x:c r="V408" s="51" t="d">
        <x:v>2026-09-30T00:00:00.000Z</x:v>
      </x:c>
      <x:c r="W408" s="109" t="n">
        <x:v>9</x:v>
      </x:c>
      <x:c r="X408" s="109" t="n">
        <x:v>9</x:v>
      </x:c>
      <x:c r="Y408" s="45" t="str">
        <x:v>sbx-mex/Perfil_Tienda_DM</x:v>
      </x:c>
      <x:c r="Z408" s="45" t="str">
        <x:v>2a6b0d21379739482f0b4c7be9b0f9a022e15f5b</x:v>
      </x:c>
      <x:c r="AA408" s="45" t="str">
        <x:v>8456a41c5e02d454e70a2531577ffb2e29f73e57e44a7762de681d568aa4227a</x:v>
      </x:c>
    </x:row>
    <x:row r="409" ht="23" customHeight="1">
      <x:c r="A409" s="50" t="str">
        <x:v>43083</x:v>
      </x:c>
      <x:c r="B409" s="51" t="d">
        <x:v>2026-09-30T00:00:00.000Z</x:v>
      </x:c>
      <x:c r="C409" s="99" t="n">
        <x:v>0.164384</x:v>
      </x:c>
      <x:c r="D409" s="100" t="n">
        <x:v>3.4328648888888886</x:v>
      </x:c>
      <x:c r="E409" s="100" t="n">
        <x:v>7.82731711111111</x:v>
      </x:c>
      <x:c r="F409" s="99" t="n">
        <x:v>0.23825644444444447</x:v>
      </x:c>
      <x:c r="G409" s="99" t="n">
        <x:v>0.004700333333333344</x:v>
      </x:c>
      <x:c r="H409" s="101" t="n">
        <x:v>8884763</x:v>
      </x:c>
      <x:c r="I409" s="99" t="n">
        <x:v>-0.05137282457904102</x:v>
      </x:c>
      <x:c r="J409" s="100" t="n">
        <x:v>6</x:v>
      </x:c>
      <x:c r="K409" s="100"/>
      <x:c r="L409" s="99" t="n">
        <x:v>0.7694444444444444</x:v>
      </x:c>
      <x:c r="M409" s="99" t="n">
        <x:v>0.74</x:v>
      </x:c>
      <x:c r="N409" s="99"/>
      <x:c r="O409" s="99" t="n">
        <x:v>0.325037</x:v>
      </x:c>
      <x:c r="P409" s="99" t="n">
        <x:v>0.02058277777777777</x:v>
      </x:c>
      <x:c r="Q409" s="99" t="n">
        <x:v>0.06850677777777778</x:v>
      </x:c>
      <x:c r="R409" s="99" t="n">
        <x:v>-0.020592666666666665</x:v>
      </x:c>
      <x:c r="S409" s="45"/>
      <x:c r="T409" s="45"/>
      <x:c r="U409" s="51" t="d">
        <x:v>2026-09-30T00:00:00.000Z</x:v>
      </x:c>
      <x:c r="V409" s="51" t="d">
        <x:v>2026-09-30T00:00:00.000Z</x:v>
      </x:c>
      <x:c r="W409" s="109" t="n">
        <x:v>9</x:v>
      </x:c>
      <x:c r="X409" s="109" t="n">
        <x:v>9</x:v>
      </x:c>
      <x:c r="Y409" s="45" t="str">
        <x:v>sbx-mex/Perfil_Tienda_DM</x:v>
      </x:c>
      <x:c r="Z409" s="45" t="str">
        <x:v>2a6b0d21379739482f0b4c7be9b0f9a022e15f5b</x:v>
      </x:c>
      <x:c r="AA409" s="45" t="str">
        <x:v>8456a41c5e02d454e70a2531577ffb2e29f73e57e44a7762de681d568aa4227a</x:v>
      </x:c>
    </x:row>
    <x:row r="410" ht="23" customHeight="1">
      <x:c r="A410" s="50" t="str">
        <x:v>43170</x:v>
      </x:c>
      <x:c r="B410" s="51" t="d">
        <x:v>2026-09-30T00:00:00.000Z</x:v>
      </x:c>
      <x:c r="C410" s="99" t="n">
        <x:v>0.266667</x:v>
      </x:c>
      <x:c r="D410" s="100" t="n">
        <x:v>5.9934899999999995</x:v>
      </x:c>
      <x:c r="E410" s="100" t="n">
        <x:v>13.996499333333333</x:v>
      </x:c>
      <x:c r="F410" s="99" t="n">
        <x:v>0.13916522222222225</x:v>
      </x:c>
      <x:c r="G410" s="99" t="n">
        <x:v>0.0018182222222222241</x:v>
      </x:c>
      <x:c r="H410" s="101" t="n">
        <x:v>21711526</x:v>
      </x:c>
      <x:c r="I410" s="99" t="n">
        <x:v>0.25653313761607643</x:v>
      </x:c>
      <x:c r="J410" s="100"/>
      <x:c r="K410" s="100"/>
      <x:c r="L410" s="99" t="n">
        <x:v>0.5112222222222222</x:v>
      </x:c>
      <x:c r="M410" s="99" t="n">
        <x:v>0.64</x:v>
      </x:c>
      <x:c r="N410" s="99"/>
      <x:c r="O410" s="99" t="n">
        <x:v>0.37159888888888887</x:v>
      </x:c>
      <x:c r="P410" s="99" t="n">
        <x:v>0.04438699999999998</x:v>
      </x:c>
      <x:c r="Q410" s="99" t="n">
        <x:v>0.279632</x:v>
      </x:c>
      <x:c r="R410" s="99" t="n">
        <x:v>-0.039114666666666666</x:v>
      </x:c>
      <x:c r="S410" s="45" t="str">
        <x:v>01:26</x:v>
      </x:c>
      <x:c r="T410" s="45"/>
      <x:c r="U410" s="51" t="d">
        <x:v>2026-09-30T00:00:00.000Z</x:v>
      </x:c>
      <x:c r="V410" s="51" t="d">
        <x:v>2026-09-30T00:00:00.000Z</x:v>
      </x:c>
      <x:c r="W410" s="109" t="n">
        <x:v>9</x:v>
      </x:c>
      <x:c r="X410" s="109" t="n">
        <x:v>9</x:v>
      </x:c>
      <x:c r="Y410" s="45" t="str">
        <x:v>sbx-mex/Perfil_Tienda_DM</x:v>
      </x:c>
      <x:c r="Z410" s="45" t="str">
        <x:v>2a6b0d21379739482f0b4c7be9b0f9a022e15f5b</x:v>
      </x:c>
      <x:c r="AA410" s="45" t="str">
        <x:v>8456a41c5e02d454e70a2531577ffb2e29f73e57e44a7762de681d568aa4227a</x:v>
      </x:c>
    </x:row>
    <x:row r="411" ht="23" customHeight="1">
      <x:c r="A411" s="50" t="str">
        <x:v>43256</x:v>
      </x:c>
      <x:c r="B411" s="51" t="d">
        <x:v>2026-09-30T00:00:00.000Z</x:v>
      </x:c>
      <x:c r="C411" s="99" t="n">
        <x:v>0</x:v>
      </x:c>
      <x:c r="D411" s="100"/>
      <x:c r="E411" s="100"/>
      <x:c r="F411" s="99" t="n">
        <x:v>0.096055</x:v>
      </x:c>
      <x:c r="G411" s="99"/>
      <x:c r="H411" s="101" t="n">
        <x:v>810126</x:v>
      </x:c>
      <x:c r="I411" s="99"/>
      <x:c r="J411" s="100"/>
      <x:c r="K411" s="100"/>
      <x:c r="L411" s="99" t="n">
        <x:v>0.346</x:v>
      </x:c>
      <x:c r="M411" s="99" t="n">
        <x:v>0.52</x:v>
      </x:c>
      <x:c r="N411" s="99"/>
      <x:c r="O411" s="99" t="n">
        <x:v>0.27221</x:v>
      </x:c>
      <x:c r="P411" s="99"/>
      <x:c r="Q411" s="99" t="n">
        <x:v>0.388162</x:v>
      </x:c>
      <x:c r="R411" s="99"/>
      <x:c r="S411" s="45"/>
      <x:c r="T411" s="45"/>
      <x:c r="U411" s="51" t="d">
        <x:v>2026-09-30T00:00:00.000Z</x:v>
      </x:c>
      <x:c r="V411" s="51" t="d">
        <x:v>2026-09-30T00:00:00.000Z</x:v>
      </x:c>
      <x:c r="W411" s="109" t="n">
        <x:v>1</x:v>
      </x:c>
      <x:c r="X411" s="109" t="n">
        <x:v>1</x:v>
      </x:c>
      <x:c r="Y411" s="45" t="str">
        <x:v>sbx-mex/Perfil_Tienda_DM</x:v>
      </x:c>
      <x:c r="Z411" s="45" t="str">
        <x:v>2a6b0d21379739482f0b4c7be9b0f9a022e15f5b</x:v>
      </x:c>
      <x:c r="AA411" s="45" t="str">
        <x:v>8456a41c5e02d454e70a2531577ffb2e29f73e57e44a7762de681d568aa4227a</x:v>
      </x:c>
    </x:row>
    <x:row r="412" ht="23" customHeight="1">
      <x:c r="A412" s="50" t="str">
        <x:v>38306</x:v>
      </x:c>
      <x:c r="B412" s="51" t="d">
        <x:v>2026-09-30T00:00:00.000Z</x:v>
      </x:c>
      <x:c r="C412" s="99" t="n">
        <x:v>0.223256</x:v>
      </x:c>
      <x:c r="D412" s="100" t="n">
        <x:v>7.839870333333334</x:v>
      </x:c>
      <x:c r="E412" s="100" t="n">
        <x:v>17.272564777777777</x:v>
      </x:c>
      <x:c r="F412" s="99" t="n">
        <x:v>0.1417521111111111</x:v>
      </x:c>
      <x:c r="G412" s="99" t="n">
        <x:v>-0.0007102222222222262</x:v>
      </x:c>
      <x:c r="H412" s="101" t="n">
        <x:v>21008287</x:v>
      </x:c>
      <x:c r="I412" s="99" t="n">
        <x:v>-0.06847975860617694</x:v>
      </x:c>
      <x:c r="J412" s="100" t="n">
        <x:v>6.555555555555555</x:v>
      </x:c>
      <x:c r="K412" s="100"/>
      <x:c r="L412" s="99" t="n">
        <x:v>0.522</x:v>
      </x:c>
      <x:c r="M412" s="99" t="n">
        <x:v>0.6244444444444445</x:v>
      </x:c>
      <x:c r="N412" s="99"/>
      <x:c r="O412" s="99" t="n">
        <x:v>0.3522848888888889</x:v>
      </x:c>
      <x:c r="P412" s="99" t="n">
        <x:v>-0.007689777777777777</x:v>
      </x:c>
      <x:c r="Q412" s="99" t="n">
        <x:v>0.32604</x:v>
      </x:c>
      <x:c r="R412" s="99" t="n">
        <x:v>0.000455111111111116</x:v>
      </x:c>
      <x:c r="S412" s="45" t="str">
        <x:v>01:26</x:v>
      </x:c>
      <x:c r="T412" s="45" t="str">
        <x:v>01:35</x:v>
      </x:c>
      <x:c r="U412" s="51" t="d">
        <x:v>2026-09-30T00:00:00.000Z</x:v>
      </x:c>
      <x:c r="V412" s="51" t="d">
        <x:v>2026-09-30T00:00:00.000Z</x:v>
      </x:c>
      <x:c r="W412" s="109" t="n">
        <x:v>9</x:v>
      </x:c>
      <x:c r="X412" s="109" t="n">
        <x:v>9</x:v>
      </x:c>
      <x:c r="Y412" s="45" t="str">
        <x:v>sbx-mex/Perfil_Tienda_DM</x:v>
      </x:c>
      <x:c r="Z412" s="45" t="str">
        <x:v>2a6b0d21379739482f0b4c7be9b0f9a022e15f5b</x:v>
      </x:c>
      <x:c r="AA412" s="45" t="str">
        <x:v>8456a41c5e02d454e70a2531577ffb2e29f73e57e44a7762de681d568aa4227a</x:v>
      </x:c>
    </x:row>
    <x:row r="413" ht="23" customHeight="1">
      <x:c r="A413" s="50" t="str">
        <x:v>38315</x:v>
      </x:c>
      <x:c r="B413" s="51" t="d">
        <x:v>2026-09-30T00:00:00.000Z</x:v>
      </x:c>
      <x:c r="C413" s="99" t="n">
        <x:v>0.331797</x:v>
      </x:c>
      <x:c r="D413" s="100" t="n">
        <x:v>6.846536333333334</x:v>
      </x:c>
      <x:c r="E413" s="100" t="n">
        <x:v>16.944154</x:v>
      </x:c>
      <x:c r="F413" s="99" t="n">
        <x:v>0.12422111111111112</x:v>
      </x:c>
      <x:c r="G413" s="99" t="n">
        <x:v>0.0020595555555555567</x:v>
      </x:c>
      <x:c r="H413" s="101" t="n">
        <x:v>22885934</x:v>
      </x:c>
      <x:c r="I413" s="99" t="n">
        <x:v>-0.1398290074961558</x:v>
      </x:c>
      <x:c r="J413" s="100" t="n">
        <x:v>-58.666666666666664</x:v>
      </x:c>
      <x:c r="K413" s="100"/>
      <x:c r="L413" s="99" t="n">
        <x:v>0.5477777777777777</x:v>
      </x:c>
      <x:c r="M413" s="99" t="n">
        <x:v>0.66</x:v>
      </x:c>
      <x:c r="N413" s="99"/>
      <x:c r="O413" s="99" t="n">
        <x:v>0.35590022222222223</x:v>
      </x:c>
      <x:c r="P413" s="99" t="n">
        <x:v>0.00330088888888889</x:v>
      </x:c>
      <x:c r="Q413" s="99" t="n">
        <x:v>0.30217466666666665</x:v>
      </x:c>
      <x:c r="R413" s="99" t="n">
        <x:v>-0.005810222222222229</x:v>
      </x:c>
      <x:c r="S413" s="45"/>
      <x:c r="T413" s="45"/>
      <x:c r="U413" s="51" t="d">
        <x:v>2026-09-30T00:00:00.000Z</x:v>
      </x:c>
      <x:c r="V413" s="51" t="d">
        <x:v>2026-09-30T00:00:00.000Z</x:v>
      </x:c>
      <x:c r="W413" s="109" t="n">
        <x:v>9</x:v>
      </x:c>
      <x:c r="X413" s="109" t="n">
        <x:v>9</x:v>
      </x:c>
      <x:c r="Y413" s="45" t="str">
        <x:v>sbx-mex/Perfil_Tienda_DM</x:v>
      </x:c>
      <x:c r="Z413" s="45" t="str">
        <x:v>2a6b0d21379739482f0b4c7be9b0f9a022e15f5b</x:v>
      </x:c>
      <x:c r="AA413" s="45" t="str">
        <x:v>8456a41c5e02d454e70a2531577ffb2e29f73e57e44a7762de681d568aa4227a</x:v>
      </x:c>
    </x:row>
    <x:row r="414" ht="23" customHeight="1">
      <x:c r="A414" s="50" t="str">
        <x:v>38520</x:v>
      </x:c>
      <x:c r="B414" s="51" t="d">
        <x:v>2026-09-30T00:00:00.000Z</x:v>
      </x:c>
      <x:c r="C414" s="99" t="n">
        <x:v>0.494845</x:v>
      </x:c>
      <x:c r="D414" s="100" t="n">
        <x:v>7.912993111111111</x:v>
      </x:c>
      <x:c r="E414" s="100" t="n">
        <x:v>19.053833222222224</x:v>
      </x:c>
      <x:c r="F414" s="99" t="n">
        <x:v>0.13131388888888887</x:v>
      </x:c>
      <x:c r="G414" s="99" t="n">
        <x:v>-0.06520766666666666</x:v>
      </x:c>
      <x:c r="H414" s="101" t="n">
        <x:v>20607974</x:v>
      </x:c>
      <x:c r="I414" s="99" t="n">
        <x:v>0.0021650420013159533</x:v>
      </x:c>
      <x:c r="J414" s="100" t="n">
        <x:v>6.888888888888889</x:v>
      </x:c>
      <x:c r="K414" s="100"/>
      <x:c r="L414" s="99" t="n">
        <x:v>0.592111111111111</x:v>
      </x:c>
      <x:c r="M414" s="99" t="n">
        <x:v>0.7033333333333334</x:v>
      </x:c>
      <x:c r="N414" s="99"/>
      <x:c r="O414" s="99" t="n">
        <x:v>0.34590933333333335</x:v>
      </x:c>
      <x:c r="P414" s="99" t="n">
        <x:v>-0.013947555555555553</x:v>
      </x:c>
      <x:c r="Q414" s="99" t="n">
        <x:v>0.3067468888888889</x:v>
      </x:c>
      <x:c r="R414" s="99" t="n">
        <x:v>0.144285</x:v>
      </x:c>
      <x:c r="S414" s="45"/>
      <x:c r="T414" s="45"/>
      <x:c r="U414" s="51" t="d">
        <x:v>2026-09-30T00:00:00.000Z</x:v>
      </x:c>
      <x:c r="V414" s="51" t="d">
        <x:v>2026-09-30T00:00:00.000Z</x:v>
      </x:c>
      <x:c r="W414" s="109" t="n">
        <x:v>9</x:v>
      </x:c>
      <x:c r="X414" s="109" t="n">
        <x:v>9</x:v>
      </x:c>
      <x:c r="Y414" s="45" t="str">
        <x:v>sbx-mex/Perfil_Tienda_DM</x:v>
      </x:c>
      <x:c r="Z414" s="45" t="str">
        <x:v>2a6b0d21379739482f0b4c7be9b0f9a022e15f5b</x:v>
      </x:c>
      <x:c r="AA414" s="45" t="str">
        <x:v>8456a41c5e02d454e70a2531577ffb2e29f73e57e44a7762de681d568aa4227a</x:v>
      </x:c>
    </x:row>
    <x:row r="415" ht="23" customHeight="1">
      <x:c r="A415" s="50" t="str">
        <x:v>38631</x:v>
      </x:c>
      <x:c r="B415" s="51" t="d">
        <x:v>2026-09-30T00:00:00.000Z</x:v>
      </x:c>
      <x:c r="C415" s="99" t="n">
        <x:v>0.5</x:v>
      </x:c>
      <x:c r="D415" s="100" t="n">
        <x:v>6.726194444444444</x:v>
      </x:c>
      <x:c r="E415" s="100" t="n">
        <x:v>14.584505666666665</x:v>
      </x:c>
      <x:c r="F415" s="99" t="n">
        <x:v>0.14844433333333332</x:v>
      </x:c>
      <x:c r="G415" s="99" t="n">
        <x:v>-0.0011183333333333323</x:v>
      </x:c>
      <x:c r="H415" s="101" t="n">
        <x:v>14505599</x:v>
      </x:c>
      <x:c r="I415" s="99" t="n">
        <x:v>-0.0028763865786346487</x:v>
      </x:c>
      <x:c r="J415" s="100" t="n">
        <x:v>5.888888888888889</x:v>
      </x:c>
      <x:c r="K415" s="100"/>
      <x:c r="L415" s="99" t="n">
        <x:v>0.5282222222222223</x:v>
      </x:c>
      <x:c r="M415" s="99" t="n">
        <x:v>0.6611111111111111</x:v>
      </x:c>
      <x:c r="N415" s="99"/>
      <x:c r="O415" s="99" t="n">
        <x:v>0.3415677777777778</x:v>
      </x:c>
      <x:c r="P415" s="99" t="n">
        <x:v>0.025940222222222222</x:v>
      </x:c>
      <x:c r="Q415" s="99" t="n">
        <x:v>0.2770728888888889</x:v>
      </x:c>
      <x:c r="R415" s="99" t="n">
        <x:v>-0.006994555555555556</x:v>
      </x:c>
      <x:c r="S415" s="45"/>
      <x:c r="T415" s="45"/>
      <x:c r="U415" s="51" t="d">
        <x:v>2026-09-30T00:00:00.000Z</x:v>
      </x:c>
      <x:c r="V415" s="51" t="d">
        <x:v>2026-09-30T00:00:00.000Z</x:v>
      </x:c>
      <x:c r="W415" s="109" t="n">
        <x:v>9</x:v>
      </x:c>
      <x:c r="X415" s="109" t="n">
        <x:v>9</x:v>
      </x:c>
      <x:c r="Y415" s="45" t="str">
        <x:v>sbx-mex/Perfil_Tienda_DM</x:v>
      </x:c>
      <x:c r="Z415" s="45" t="str">
        <x:v>2a6b0d21379739482f0b4c7be9b0f9a022e15f5b</x:v>
      </x:c>
      <x:c r="AA415" s="45" t="str">
        <x:v>8456a41c5e02d454e70a2531577ffb2e29f73e57e44a7762de681d568aa4227a</x:v>
      </x:c>
    </x:row>
    <x:row r="416" ht="23" customHeight="1">
      <x:c r="A416" s="50" t="str">
        <x:v>38665</x:v>
      </x:c>
      <x:c r="B416" s="51" t="d">
        <x:v>2026-09-30T00:00:00.000Z</x:v>
      </x:c>
      <x:c r="C416" s="99" t="n">
        <x:v>0.340909</x:v>
      </x:c>
      <x:c r="D416" s="100" t="n">
        <x:v>8.945717666666667</x:v>
      </x:c>
      <x:c r="E416" s="100" t="n">
        <x:v>20.598425333333335</x:v>
      </x:c>
      <x:c r="F416" s="99" t="n">
        <x:v>0.13853044444444446</x:v>
      </x:c>
      <x:c r="G416" s="99" t="n">
        <x:v>0.004365666666666666</x:v>
      </x:c>
      <x:c r="H416" s="101" t="n">
        <x:v>17832432</x:v>
      </x:c>
      <x:c r="I416" s="99" t="n">
        <x:v>-0.030397088088088275</x:v>
      </x:c>
      <x:c r="J416" s="100" t="n">
        <x:v>12.333333333333334</x:v>
      </x:c>
      <x:c r="K416" s="100"/>
      <x:c r="L416" s="99" t="n">
        <x:v>0.47455555555555556</x:v>
      </x:c>
      <x:c r="M416" s="99" t="n">
        <x:v>0.5966666666666667</x:v>
      </x:c>
      <x:c r="N416" s="99"/>
      <x:c r="O416" s="99" t="n">
        <x:v>0.3382998888888889</x:v>
      </x:c>
      <x:c r="P416" s="99" t="n">
        <x:v>-0.0008380000000000054</x:v>
      </x:c>
      <x:c r="Q416" s="99" t="n">
        <x:v>0.30193311111111115</x:v>
      </x:c>
      <x:c r="R416" s="99" t="n">
        <x:v>0.022023888888888902</x:v>
      </x:c>
      <x:c r="S416" s="45"/>
      <x:c r="T416" s="45"/>
      <x:c r="U416" s="51" t="d">
        <x:v>2026-09-30T00:00:00.000Z</x:v>
      </x:c>
      <x:c r="V416" s="51" t="d">
        <x:v>2026-09-30T00:00:00.000Z</x:v>
      </x:c>
      <x:c r="W416" s="109" t="n">
        <x:v>9</x:v>
      </x:c>
      <x:c r="X416" s="109" t="n">
        <x:v>9</x:v>
      </x:c>
      <x:c r="Y416" s="45" t="str">
        <x:v>sbx-mex/Perfil_Tienda_DM</x:v>
      </x:c>
      <x:c r="Z416" s="45" t="str">
        <x:v>2a6b0d21379739482f0b4c7be9b0f9a022e15f5b</x:v>
      </x:c>
      <x:c r="AA416" s="45" t="str">
        <x:v>8456a41c5e02d454e70a2531577ffb2e29f73e57e44a7762de681d568aa4227a</x:v>
      </x:c>
    </x:row>
    <x:row r="417" ht="23" customHeight="1">
      <x:c r="A417" s="50" t="str">
        <x:v>38669</x:v>
      </x:c>
      <x:c r="B417" s="51" t="d">
        <x:v>2026-09-30T00:00:00.000Z</x:v>
      </x:c>
      <x:c r="C417" s="99" t="n">
        <x:v>0.315789</x:v>
      </x:c>
      <x:c r="D417" s="100" t="n">
        <x:v>5.688432666666667</x:v>
      </x:c>
      <x:c r="E417" s="100" t="n">
        <x:v>13.957931555555556</x:v>
      </x:c>
      <x:c r="F417" s="99" t="n">
        <x:v>0.15675133333333335</x:v>
      </x:c>
      <x:c r="G417" s="99" t="n">
        <x:v>0.014552111111111111</x:v>
      </x:c>
      <x:c r="H417" s="101" t="n">
        <x:v>15105289</x:v>
      </x:c>
      <x:c r="I417" s="99" t="n">
        <x:v>-0.09580606163047678</x:v>
      </x:c>
      <x:c r="J417" s="100" t="n">
        <x:v>-9.555555555555555</x:v>
      </x:c>
      <x:c r="K417" s="100"/>
      <x:c r="L417" s="99" t="n">
        <x:v>0.6686666666666666</x:v>
      </x:c>
      <x:c r="M417" s="99" t="n">
        <x:v>0.7722222222222223</x:v>
      </x:c>
      <x:c r="N417" s="99"/>
      <x:c r="O417" s="99" t="n">
        <x:v>0.34453711111111107</x:v>
      </x:c>
      <x:c r="P417" s="99" t="n">
        <x:v>0.0055804444444444495</x:v>
      </x:c>
      <x:c r="Q417" s="99" t="n">
        <x:v>0.2593236666666667</x:v>
      </x:c>
      <x:c r="R417" s="99" t="n">
        <x:v>-0.018985555555555554</x:v>
      </x:c>
      <x:c r="S417" s="45"/>
      <x:c r="T417" s="45"/>
      <x:c r="U417" s="51" t="d">
        <x:v>2026-09-30T00:00:00.000Z</x:v>
      </x:c>
      <x:c r="V417" s="51" t="d">
        <x:v>2026-09-30T00:00:00.000Z</x:v>
      </x:c>
      <x:c r="W417" s="109" t="n">
        <x:v>9</x:v>
      </x:c>
      <x:c r="X417" s="109" t="n">
        <x:v>9</x:v>
      </x:c>
      <x:c r="Y417" s="45" t="str">
        <x:v>sbx-mex/Perfil_Tienda_DM</x:v>
      </x:c>
      <x:c r="Z417" s="45" t="str">
        <x:v>2a6b0d21379739482f0b4c7be9b0f9a022e15f5b</x:v>
      </x:c>
      <x:c r="AA417" s="45" t="str">
        <x:v>8456a41c5e02d454e70a2531577ffb2e29f73e57e44a7762de681d568aa4227a</x:v>
      </x:c>
    </x:row>
    <x:row r="418" ht="23" customHeight="1">
      <x:c r="A418" s="50" t="str">
        <x:v>38689</x:v>
      </x:c>
      <x:c r="B418" s="51" t="d">
        <x:v>2026-09-30T00:00:00.000Z</x:v>
      </x:c>
      <x:c r="C418" s="99" t="n">
        <x:v>0.333333</x:v>
      </x:c>
      <x:c r="D418" s="100" t="n">
        <x:v>6.782813222222222</x:v>
      </x:c>
      <x:c r="E418" s="100" t="n">
        <x:v>16.35066122222222</x:v>
      </x:c>
      <x:c r="F418" s="99" t="n">
        <x:v>0.17344844444444446</x:v>
      </x:c>
      <x:c r="G418" s="99" t="n">
        <x:v>-0.01668433333333333</x:v>
      </x:c>
      <x:c r="H418" s="101" t="n">
        <x:v>11827116</x:v>
      </x:c>
      <x:c r="I418" s="99" t="n">
        <x:v>0.08799053476836649</x:v>
      </x:c>
      <x:c r="J418" s="100" t="n">
        <x:v>-6.222222222222222</x:v>
      </x:c>
      <x:c r="K418" s="100"/>
      <x:c r="L418" s="99" t="n">
        <x:v>0.5557777777777777</x:v>
      </x:c>
      <x:c r="M418" s="99" t="n">
        <x:v>0.6488888888888888</x:v>
      </x:c>
      <x:c r="N418" s="99"/>
      <x:c r="O418" s="99" t="n">
        <x:v>0.3562086666666666</x:v>
      </x:c>
      <x:c r="P418" s="99" t="n">
        <x:v>0.011911222222222228</x:v>
      </x:c>
      <x:c r="Q418" s="99" t="n">
        <x:v>0.22996666666666668</x:v>
      </x:c>
      <x:c r="R418" s="99" t="n">
        <x:v>0.04396177777777778</x:v>
      </x:c>
      <x:c r="S418" s="45" t="str">
        <x:v>01:51</x:v>
      </x:c>
      <x:c r="T418" s="45" t="str">
        <x:v>01:40</x:v>
      </x:c>
      <x:c r="U418" s="51" t="d">
        <x:v>2026-09-30T00:00:00.000Z</x:v>
      </x:c>
      <x:c r="V418" s="51" t="d">
        <x:v>2026-09-30T00:00:00.000Z</x:v>
      </x:c>
      <x:c r="W418" s="109" t="n">
        <x:v>9</x:v>
      </x:c>
      <x:c r="X418" s="109" t="n">
        <x:v>9</x:v>
      </x:c>
      <x:c r="Y418" s="45" t="str">
        <x:v>sbx-mex/Perfil_Tienda_DM</x:v>
      </x:c>
      <x:c r="Z418" s="45" t="str">
        <x:v>2a6b0d21379739482f0b4c7be9b0f9a022e15f5b</x:v>
      </x:c>
      <x:c r="AA418" s="45" t="str">
        <x:v>8456a41c5e02d454e70a2531577ffb2e29f73e57e44a7762de681d568aa4227a</x:v>
      </x:c>
    </x:row>
    <x:row r="419" ht="23" customHeight="1">
      <x:c r="A419" s="50" t="str">
        <x:v>38735</x:v>
      </x:c>
      <x:c r="B419" s="51" t="d">
        <x:v>2026-09-30T00:00:00.000Z</x:v>
      </x:c>
      <x:c r="C419" s="99" t="n">
        <x:v>0.392157</x:v>
      </x:c>
      <x:c r="D419" s="100" t="n">
        <x:v>6.707438444444445</x:v>
      </x:c>
      <x:c r="E419" s="100" t="n">
        <x:v>17.006887444444445</x:v>
      </x:c>
      <x:c r="F419" s="99" t="n">
        <x:v>0.1620618888888889</x:v>
      </x:c>
      <x:c r="G419" s="99" t="n">
        <x:v>-0.020293888888888886</x:v>
      </x:c>
      <x:c r="H419" s="101" t="n">
        <x:v>13839763</x:v>
      </x:c>
      <x:c r="I419" s="99" t="n">
        <x:v>0.1269832234510353</x:v>
      </x:c>
      <x:c r="J419" s="100" t="n">
        <x:v>16.666666666666668</x:v>
      </x:c>
      <x:c r="K419" s="100"/>
      <x:c r="L419" s="99" t="n">
        <x:v>0.5752222222222222</x:v>
      </x:c>
      <x:c r="M419" s="99" t="n">
        <x:v>0.7555555555555555</x:v>
      </x:c>
      <x:c r="N419" s="99"/>
      <x:c r="O419" s="99" t="n">
        <x:v>0.3576091111111111</x:v>
      </x:c>
      <x:c r="P419" s="99" t="n">
        <x:v>0.011225000000000004</x:v>
      </x:c>
      <x:c r="Q419" s="99" t="n">
        <x:v>0.26433388888888887</x:v>
      </x:c>
      <x:c r="R419" s="99" t="n">
        <x:v>0.02000233333333333</x:v>
      </x:c>
      <x:c r="S419" s="45" t="str">
        <x:v>01:39</x:v>
      </x:c>
      <x:c r="T419" s="45" t="str">
        <x:v>01:51</x:v>
      </x:c>
      <x:c r="U419" s="51" t="d">
        <x:v>2026-09-30T00:00:00.000Z</x:v>
      </x:c>
      <x:c r="V419" s="51" t="d">
        <x:v>2026-09-30T00:00:00.000Z</x:v>
      </x:c>
      <x:c r="W419" s="109" t="n">
        <x:v>9</x:v>
      </x:c>
      <x:c r="X419" s="109" t="n">
        <x:v>9</x:v>
      </x:c>
      <x:c r="Y419" s="45" t="str">
        <x:v>sbx-mex/Perfil_Tienda_DM</x:v>
      </x:c>
      <x:c r="Z419" s="45" t="str">
        <x:v>2a6b0d21379739482f0b4c7be9b0f9a022e15f5b</x:v>
      </x:c>
      <x:c r="AA419" s="45" t="str">
        <x:v>8456a41c5e02d454e70a2531577ffb2e29f73e57e44a7762de681d568aa4227a</x:v>
      </x:c>
    </x:row>
    <x:row r="420" ht="23" customHeight="1">
      <x:c r="A420" s="50" t="str">
        <x:v>38818</x:v>
      </x:c>
      <x:c r="B420" s="51" t="d">
        <x:v>2026-09-30T00:00:00.000Z</x:v>
      </x:c>
      <x:c r="C420" s="99" t="n">
        <x:v>0.067416</x:v>
      </x:c>
      <x:c r="D420" s="100" t="n">
        <x:v>5.816931111111111</x:v>
      </x:c>
      <x:c r="E420" s="100" t="n">
        <x:v>13.721094666666666</x:v>
      </x:c>
      <x:c r="F420" s="99" t="n">
        <x:v>0.1509521111111111</x:v>
      </x:c>
      <x:c r="G420" s="99" t="n">
        <x:v>0.01997488888888889</x:v>
      </x:c>
      <x:c r="H420" s="101" t="n">
        <x:v>16885002</x:v>
      </x:c>
      <x:c r="I420" s="99" t="n">
        <x:v>-0.06217233070207784</x:v>
      </x:c>
      <x:c r="J420" s="100" t="n">
        <x:v>8</x:v>
      </x:c>
      <x:c r="K420" s="100"/>
      <x:c r="L420" s="99" t="n">
        <x:v>0.5614444444444444</x:v>
      </x:c>
      <x:c r="M420" s="99" t="n">
        <x:v>0.7155555555555555</x:v>
      </x:c>
      <x:c r="N420" s="99"/>
      <x:c r="O420" s="99" t="n">
        <x:v>0.3475082222222222</x:v>
      </x:c>
      <x:c r="P420" s="99" t="n">
        <x:v>0.004846333333333335</x:v>
      </x:c>
      <x:c r="Q420" s="99" t="n">
        <x:v>0.25219322222222224</x:v>
      </x:c>
      <x:c r="R420" s="99" t="n">
        <x:v>-0.0426861111111111</x:v>
      </x:c>
      <x:c r="S420" s="45"/>
      <x:c r="T420" s="45"/>
      <x:c r="U420" s="51" t="d">
        <x:v>2026-09-30T00:00:00.000Z</x:v>
      </x:c>
      <x:c r="V420" s="51" t="d">
        <x:v>2026-09-30T00:00:00.000Z</x:v>
      </x:c>
      <x:c r="W420" s="109" t="n">
        <x:v>9</x:v>
      </x:c>
      <x:c r="X420" s="109" t="n">
        <x:v>9</x:v>
      </x:c>
      <x:c r="Y420" s="45" t="str">
        <x:v>sbx-mex/Perfil_Tienda_DM</x:v>
      </x:c>
      <x:c r="Z420" s="45" t="str">
        <x:v>2a6b0d21379739482f0b4c7be9b0f9a022e15f5b</x:v>
      </x:c>
      <x:c r="AA420" s="45" t="str">
        <x:v>8456a41c5e02d454e70a2531577ffb2e29f73e57e44a7762de681d568aa4227a</x:v>
      </x:c>
    </x:row>
    <x:row r="421" ht="23" customHeight="1">
      <x:c r="A421" s="50" t="str">
        <x:v>38953</x:v>
      </x:c>
      <x:c r="B421" s="51" t="d">
        <x:v>2026-09-30T00:00:00.000Z</x:v>
      </x:c>
      <x:c r="C421" s="99" t="n">
        <x:v>0.204255</x:v>
      </x:c>
      <x:c r="D421" s="100" t="n">
        <x:v>6.261961888888889</x:v>
      </x:c>
      <x:c r="E421" s="100" t="n">
        <x:v>14.172927666666666</x:v>
      </x:c>
      <x:c r="F421" s="99" t="n">
        <x:v>0.148643</x:v>
      </x:c>
      <x:c r="G421" s="99" t="n">
        <x:v>-0.008502666666666672</x:v>
      </x:c>
      <x:c r="H421" s="101" t="n">
        <x:v>21139615</x:v>
      </x:c>
      <x:c r="I421" s="99" t="n">
        <x:v>0.04031571666916545</x:v>
      </x:c>
      <x:c r="J421" s="100" t="n">
        <x:v>-15.333333333333334</x:v>
      </x:c>
      <x:c r="K421" s="100"/>
      <x:c r="L421" s="99" t="n">
        <x:v>0.41333333333333333</x:v>
      </x:c>
      <x:c r="M421" s="99" t="n">
        <x:v>0.5533333333333333</x:v>
      </x:c>
      <x:c r="N421" s="99"/>
      <x:c r="O421" s="99" t="n">
        <x:v>0.3300016666666667</x:v>
      </x:c>
      <x:c r="P421" s="99" t="n">
        <x:v>0.005397777777777785</x:v>
      </x:c>
      <x:c r="Q421" s="99" t="n">
        <x:v>0.3277646666666667</x:v>
      </x:c>
      <x:c r="R421" s="99" t="n">
        <x:v>0.007663888888888883</x:v>
      </x:c>
      <x:c r="S421" s="45" t="str">
        <x:v>01:36</x:v>
      </x:c>
      <x:c r="T421" s="45" t="str">
        <x:v>01:35</x:v>
      </x:c>
      <x:c r="U421" s="51" t="d">
        <x:v>2026-09-30T00:00:00.000Z</x:v>
      </x:c>
      <x:c r="V421" s="51" t="d">
        <x:v>2026-09-30T00:00:00.000Z</x:v>
      </x:c>
      <x:c r="W421" s="109" t="n">
        <x:v>9</x:v>
      </x:c>
      <x:c r="X421" s="109" t="n">
        <x:v>9</x:v>
      </x:c>
      <x:c r="Y421" s="45" t="str">
        <x:v>sbx-mex/Perfil_Tienda_DM</x:v>
      </x:c>
      <x:c r="Z421" s="45" t="str">
        <x:v>2a6b0d21379739482f0b4c7be9b0f9a022e15f5b</x:v>
      </x:c>
      <x:c r="AA421" s="45" t="str">
        <x:v>8456a41c5e02d454e70a2531577ffb2e29f73e57e44a7762de681d568aa4227a</x:v>
      </x:c>
    </x:row>
    <x:row r="422" ht="23" customHeight="1">
      <x:c r="A422" s="50" t="str">
        <x:v>43050</x:v>
      </x:c>
      <x:c r="B422" s="51" t="d">
        <x:v>2026-09-30T00:00:00.000Z</x:v>
      </x:c>
      <x:c r="C422" s="99" t="n">
        <x:v>0.25</x:v>
      </x:c>
      <x:c r="D422" s="100" t="n">
        <x:v>4.735615888888889</x:v>
      </x:c>
      <x:c r="E422" s="100" t="n">
        <x:v>11.760959555555555</x:v>
      </x:c>
      <x:c r="F422" s="99" t="n">
        <x:v>0.16693555555555556</x:v>
      </x:c>
      <x:c r="G422" s="99" t="n">
        <x:v>-0.029988222222222218</x:v>
      </x:c>
      <x:c r="H422" s="101" t="n">
        <x:v>16693725</x:v>
      </x:c>
      <x:c r="I422" s="99" t="n">
        <x:v>0.08914423679476102</x:v>
      </x:c>
      <x:c r="J422" s="100" t="n">
        <x:v>25.666666666666668</x:v>
      </x:c>
      <x:c r="K422" s="100"/>
      <x:c r="L422" s="99" t="n">
        <x:v>0.5694444444444444</x:v>
      </x:c>
      <x:c r="M422" s="99" t="n">
        <x:v>0.6588888888888889</x:v>
      </x:c>
      <x:c r="N422" s="99"/>
      <x:c r="O422" s="99" t="n">
        <x:v>0.33192977777777777</x:v>
      </x:c>
      <x:c r="P422" s="99" t="n">
        <x:v>-0.009469444444444456</x:v>
      </x:c>
      <x:c r="Q422" s="99" t="n">
        <x:v>0.31311344444444444</x:v>
      </x:c>
      <x:c r="R422" s="99" t="n">
        <x:v>0.04758944444444445</x:v>
      </x:c>
      <x:c r="S422" s="45" t="str">
        <x:v>01:39</x:v>
      </x:c>
      <x:c r="T422" s="45" t="str">
        <x:v>01:30</x:v>
      </x:c>
      <x:c r="U422" s="51" t="d">
        <x:v>2026-09-30T00:00:00.000Z</x:v>
      </x:c>
      <x:c r="V422" s="51" t="d">
        <x:v>2026-09-30T00:00:00.000Z</x:v>
      </x:c>
      <x:c r="W422" s="109" t="n">
        <x:v>9</x:v>
      </x:c>
      <x:c r="X422" s="109" t="n">
        <x:v>9</x:v>
      </x:c>
      <x:c r="Y422" s="45" t="str">
        <x:v>sbx-mex/Perfil_Tienda_DM</x:v>
      </x:c>
      <x:c r="Z422" s="45" t="str">
        <x:v>2a6b0d21379739482f0b4c7be9b0f9a022e15f5b</x:v>
      </x:c>
      <x:c r="AA422" s="45" t="str">
        <x:v>8456a41c5e02d454e70a2531577ffb2e29f73e57e44a7762de681d568aa4227a</x:v>
      </x:c>
    </x:row>
    <x:row r="423" ht="23" customHeight="1">
      <x:c r="A423" s="50" t="str">
        <x:v>43071</x:v>
      </x:c>
      <x:c r="B423" s="51" t="d">
        <x:v>2026-09-30T00:00:00.000Z</x:v>
      </x:c>
      <x:c r="C423" s="99" t="n">
        <x:v>0.717391</x:v>
      </x:c>
      <x:c r="D423" s="100" t="n">
        <x:v>7.685536555555554</x:v>
      </x:c>
      <x:c r="E423" s="100" t="n">
        <x:v>19.065047777777778</x:v>
      </x:c>
      <x:c r="F423" s="99" t="n">
        <x:v>0.11570055555555554</x:v>
      </x:c>
      <x:c r="G423" s="99" t="n">
        <x:v>0.01794833333333333</x:v>
      </x:c>
      <x:c r="H423" s="101" t="n">
        <x:v>21970893</x:v>
      </x:c>
      <x:c r="I423" s="99" t="n">
        <x:v>0.021012487747110953</x:v>
      </x:c>
      <x:c r="J423" s="100" t="n">
        <x:v>86</x:v>
      </x:c>
      <x:c r="K423" s="100"/>
      <x:c r="L423" s="99" t="n">
        <x:v>0.5073333333333333</x:v>
      </x:c>
      <x:c r="M423" s="99" t="n">
        <x:v>0.5611111111111111</x:v>
      </x:c>
      <x:c r="N423" s="99"/>
      <x:c r="O423" s="99" t="n">
        <x:v>0.3311327777777778</x:v>
      </x:c>
      <x:c r="P423" s="99" t="n">
        <x:v>0.017785888888888893</x:v>
      </x:c>
      <x:c r="Q423" s="99" t="n">
        <x:v>0.3749287777777778</x:v>
      </x:c>
      <x:c r="R423" s="99" t="n">
        <x:v>-0.06164311111111112</x:v>
      </x:c>
      <x:c r="S423" s="45" t="str">
        <x:v>01:55</x:v>
      </x:c>
      <x:c r="T423" s="45" t="str">
        <x:v>01:53</x:v>
      </x:c>
      <x:c r="U423" s="51" t="d">
        <x:v>2026-09-30T00:00:00.000Z</x:v>
      </x:c>
      <x:c r="V423" s="51" t="d">
        <x:v>2026-09-30T00:00:00.000Z</x:v>
      </x:c>
      <x:c r="W423" s="109" t="n">
        <x:v>9</x:v>
      </x:c>
      <x:c r="X423" s="109" t="n">
        <x:v>9</x:v>
      </x:c>
      <x:c r="Y423" s="45" t="str">
        <x:v>sbx-mex/Perfil_Tienda_DM</x:v>
      </x:c>
      <x:c r="Z423" s="45" t="str">
        <x:v>2a6b0d21379739482f0b4c7be9b0f9a022e15f5b</x:v>
      </x:c>
      <x:c r="AA423" s="45" t="str">
        <x:v>8456a41c5e02d454e70a2531577ffb2e29f73e57e44a7762de681d568aa4227a</x:v>
      </x:c>
    </x:row>
    <x:row r="424" ht="23" customHeight="1">
      <x:c r="A424" s="50" t="str">
        <x:v>38268</x:v>
      </x:c>
      <x:c r="B424" s="51" t="d">
        <x:v>2026-09-30T00:00:00.000Z</x:v>
      </x:c>
      <x:c r="C424" s="99" t="n">
        <x:v>0.387097</x:v>
      </x:c>
      <x:c r="D424" s="100" t="n">
        <x:v>5.923990333333333</x:v>
      </x:c>
      <x:c r="E424" s="100" t="n">
        <x:v>13.077036444444445</x:v>
      </x:c>
      <x:c r="F424" s="99" t="n">
        <x:v>0.1886311111111111</x:v>
      </x:c>
      <x:c r="G424" s="99" t="n">
        <x:v>-0.007404555555555553</x:v>
      </x:c>
      <x:c r="H424" s="101" t="n">
        <x:v>9679512</x:v>
      </x:c>
      <x:c r="I424" s="99" t="n">
        <x:v>-0.04107620260322542</x:v>
      </x:c>
      <x:c r="J424" s="100" t="n">
        <x:v>9.444444444444445</x:v>
      </x:c>
      <x:c r="K424" s="100"/>
      <x:c r="L424" s="99" t="n">
        <x:v>0.6786666666666666</x:v>
      </x:c>
      <x:c r="M424" s="99" t="n">
        <x:v>0.7222222222222222</x:v>
      </x:c>
      <x:c r="N424" s="99"/>
      <x:c r="O424" s="99" t="n">
        <x:v>0.3805338888888889</x:v>
      </x:c>
      <x:c r="P424" s="99" t="n">
        <x:v>-0.009793888888888887</x:v>
      </x:c>
      <x:c r="Q424" s="99" t="n">
        <x:v>0.13412744444444444</x:v>
      </x:c>
      <x:c r="R424" s="99" t="n">
        <x:v>0.00847655555555556</x:v>
      </x:c>
      <x:c r="S424" s="45"/>
      <x:c r="T424" s="45"/>
      <x:c r="U424" s="51" t="d">
        <x:v>2026-09-30T00:00:00.000Z</x:v>
      </x:c>
      <x:c r="V424" s="51" t="d">
        <x:v>2026-09-30T00:00:00.000Z</x:v>
      </x:c>
      <x:c r="W424" s="109" t="n">
        <x:v>9</x:v>
      </x:c>
      <x:c r="X424" s="109" t="n">
        <x:v>9</x:v>
      </x:c>
      <x:c r="Y424" s="45" t="str">
        <x:v>sbx-mex/Perfil_Tienda_DM</x:v>
      </x:c>
      <x:c r="Z424" s="45" t="str">
        <x:v>2a6b0d21379739482f0b4c7be9b0f9a022e15f5b</x:v>
      </x:c>
      <x:c r="AA424" s="45" t="str">
        <x:v>8456a41c5e02d454e70a2531577ffb2e29f73e57e44a7762de681d568aa4227a</x:v>
      </x:c>
    </x:row>
    <x:row r="425" ht="23" customHeight="1">
      <x:c r="A425" s="50" t="str">
        <x:v>38286</x:v>
      </x:c>
      <x:c r="B425" s="51" t="d">
        <x:v>2026-09-30T00:00:00.000Z</x:v>
      </x:c>
      <x:c r="C425" s="99" t="n">
        <x:v>0.517986</x:v>
      </x:c>
      <x:c r="D425" s="100" t="n">
        <x:v>6.281337</x:v>
      </x:c>
      <x:c r="E425" s="100" t="n">
        <x:v>13.928797</x:v>
      </x:c>
      <x:c r="F425" s="99" t="n">
        <x:v>0.18617544444444445</x:v>
      </x:c>
      <x:c r="G425" s="99" t="n">
        <x:v>0.023757444444444453</x:v>
      </x:c>
      <x:c r="H425" s="101" t="n">
        <x:v>11501746</x:v>
      </x:c>
      <x:c r="I425" s="99" t="n">
        <x:v>-0.13374323115853626</x:v>
      </x:c>
      <x:c r="J425" s="100" t="n">
        <x:v>-14.666666666666666</x:v>
      </x:c>
      <x:c r="K425" s="100"/>
      <x:c r="L425" s="99" t="n">
        <x:v>0.6297777777777777</x:v>
      </x:c>
      <x:c r="M425" s="99" t="n">
        <x:v>0.7177777777777777</x:v>
      </x:c>
      <x:c r="N425" s="99"/>
      <x:c r="O425" s="99" t="n">
        <x:v>0.36902466666666667</x:v>
      </x:c>
      <x:c r="P425" s="99" t="n">
        <x:v>-0.018224333333333342</x:v>
      </x:c>
      <x:c r="Q425" s="99" t="n">
        <x:v>0.1417032222222222</x:v>
      </x:c>
      <x:c r="R425" s="99" t="n">
        <x:v>-0.024682666666666672</x:v>
      </x:c>
      <x:c r="S425" s="45"/>
      <x:c r="T425" s="45"/>
      <x:c r="U425" s="51" t="d">
        <x:v>2026-09-30T00:00:00.000Z</x:v>
      </x:c>
      <x:c r="V425" s="51" t="d">
        <x:v>2026-09-30T00:00:00.000Z</x:v>
      </x:c>
      <x:c r="W425" s="109" t="n">
        <x:v>9</x:v>
      </x:c>
      <x:c r="X425" s="109" t="n">
        <x:v>9</x:v>
      </x:c>
      <x:c r="Y425" s="45" t="str">
        <x:v>sbx-mex/Perfil_Tienda_DM</x:v>
      </x:c>
      <x:c r="Z425" s="45" t="str">
        <x:v>2a6b0d21379739482f0b4c7be9b0f9a022e15f5b</x:v>
      </x:c>
      <x:c r="AA425" s="45" t="str">
        <x:v>8456a41c5e02d454e70a2531577ffb2e29f73e57e44a7762de681d568aa4227a</x:v>
      </x:c>
    </x:row>
    <x:row r="426" ht="23" customHeight="1">
      <x:c r="A426" s="50" t="str">
        <x:v>38601</x:v>
      </x:c>
      <x:c r="B426" s="51" t="d">
        <x:v>2026-09-30T00:00:00.000Z</x:v>
      </x:c>
      <x:c r="C426" s="99" t="n">
        <x:v>0.288</x:v>
      </x:c>
      <x:c r="D426" s="100" t="n">
        <x:v>5.654059888888889</x:v>
      </x:c>
      <x:c r="E426" s="100" t="n">
        <x:v>12.670735333333333</x:v>
      </x:c>
      <x:c r="F426" s="99" t="n">
        <x:v>0.1910227777777778</x:v>
      </x:c>
      <x:c r="G426" s="99" t="n">
        <x:v>-0.014659999999999994</x:v>
      </x:c>
      <x:c r="H426" s="101" t="n">
        <x:v>9582397</x:v>
      </x:c>
      <x:c r="I426" s="99" t="n">
        <x:v>-0.04067824645859763</x:v>
      </x:c>
      <x:c r="J426" s="100" t="n">
        <x:v>-20.22222222222222</x:v>
      </x:c>
      <x:c r="K426" s="100"/>
      <x:c r="L426" s="99" t="n">
        <x:v>0.6576666666666667</x:v>
      </x:c>
      <x:c r="M426" s="99" t="n">
        <x:v>0.7533333333333334</x:v>
      </x:c>
      <x:c r="N426" s="99"/>
      <x:c r="O426" s="99" t="n">
        <x:v>0.39327844444444443</x:v>
      </x:c>
      <x:c r="P426" s="99" t="n">
        <x:v>-0.00673233333333334</x:v>
      </x:c>
      <x:c r="Q426" s="99" t="n">
        <x:v>0.11459</x:v>
      </x:c>
      <x:c r="R426" s="99" t="n">
        <x:v>0.03345000000000001</x:v>
      </x:c>
      <x:c r="S426" s="45"/>
      <x:c r="T426" s="45"/>
      <x:c r="U426" s="51" t="d">
        <x:v>2026-09-30T00:00:00.000Z</x:v>
      </x:c>
      <x:c r="V426" s="51" t="d">
        <x:v>2026-09-30T00:00:00.000Z</x:v>
      </x:c>
      <x:c r="W426" s="109" t="n">
        <x:v>9</x:v>
      </x:c>
      <x:c r="X426" s="109" t="n">
        <x:v>9</x:v>
      </x:c>
      <x:c r="Y426" s="45" t="str">
        <x:v>sbx-mex/Perfil_Tienda_DM</x:v>
      </x:c>
      <x:c r="Z426" s="45" t="str">
        <x:v>2a6b0d21379739482f0b4c7be9b0f9a022e15f5b</x:v>
      </x:c>
      <x:c r="AA426" s="45" t="str">
        <x:v>8456a41c5e02d454e70a2531577ffb2e29f73e57e44a7762de681d568aa4227a</x:v>
      </x:c>
    </x:row>
    <x:row r="427" ht="23" customHeight="1">
      <x:c r="A427" s="50" t="str">
        <x:v>38642</x:v>
      </x:c>
      <x:c r="B427" s="51" t="d">
        <x:v>2026-09-30T00:00:00.000Z</x:v>
      </x:c>
      <x:c r="C427" s="99" t="n">
        <x:v>0.650847</x:v>
      </x:c>
      <x:c r="D427" s="100" t="n">
        <x:v>7.552198888888889</x:v>
      </x:c>
      <x:c r="E427" s="100" t="n">
        <x:v>18.163300555555555</x:v>
      </x:c>
      <x:c r="F427" s="99" t="n">
        <x:v>0.1214038888888889</x:v>
      </x:c>
      <x:c r="G427" s="99" t="n">
        <x:v>-0.013005</x:v>
      </x:c>
      <x:c r="H427" s="101" t="n">
        <x:v>33039908</x:v>
      </x:c>
      <x:c r="I427" s="99" t="n">
        <x:v>0.02018466106431349</x:v>
      </x:c>
      <x:c r="J427" s="100" t="n">
        <x:v>-71.22222222222223</x:v>
      </x:c>
      <x:c r="K427" s="100"/>
      <x:c r="L427" s="99" t="n">
        <x:v>0.42444444444444446</x:v>
      </x:c>
      <x:c r="M427" s="99" t="n">
        <x:v>0.5466666666666666</x:v>
      </x:c>
      <x:c r="N427" s="99"/>
      <x:c r="O427" s="99" t="n">
        <x:v>0.3185947777777778</x:v>
      </x:c>
      <x:c r="P427" s="99" t="n">
        <x:v>-0.01778288888888889</x:v>
      </x:c>
      <x:c r="Q427" s="99" t="n">
        <x:v>0.33778077777777776</x:v>
      </x:c>
      <x:c r="R427" s="99" t="n">
        <x:v>0.05059733333333333</x:v>
      </x:c>
      <x:c r="S427" s="45" t="str">
        <x:v>01:11</x:v>
      </x:c>
      <x:c r="T427" s="45" t="str">
        <x:v>01:09</x:v>
      </x:c>
      <x:c r="U427" s="51" t="d">
        <x:v>2026-09-30T00:00:00.000Z</x:v>
      </x:c>
      <x:c r="V427" s="51" t="d">
        <x:v>2026-09-30T00:00:00.000Z</x:v>
      </x:c>
      <x:c r="W427" s="109" t="n">
        <x:v>9</x:v>
      </x:c>
      <x:c r="X427" s="109" t="n">
        <x:v>9</x:v>
      </x:c>
      <x:c r="Y427" s="45" t="str">
        <x:v>sbx-mex/Perfil_Tienda_DM</x:v>
      </x:c>
      <x:c r="Z427" s="45" t="str">
        <x:v>2a6b0d21379739482f0b4c7be9b0f9a022e15f5b</x:v>
      </x:c>
      <x:c r="AA427" s="45" t="str">
        <x:v>8456a41c5e02d454e70a2531577ffb2e29f73e57e44a7762de681d568aa4227a</x:v>
      </x:c>
    </x:row>
    <x:row r="428" ht="23" customHeight="1">
      <x:c r="A428" s="50" t="str">
        <x:v>38729</x:v>
      </x:c>
      <x:c r="B428" s="51" t="d">
        <x:v>2026-09-30T00:00:00.000Z</x:v>
      </x:c>
      <x:c r="C428" s="99" t="n">
        <x:v>0.244898</x:v>
      </x:c>
      <x:c r="D428" s="100" t="n">
        <x:v>5.600916777777778</x:v>
      </x:c>
      <x:c r="E428" s="100" t="n">
        <x:v>12.60473</x:v>
      </x:c>
      <x:c r="F428" s="99" t="n">
        <x:v>0.169265</x:v>
      </x:c>
      <x:c r="G428" s="99" t="n">
        <x:v>0.00489577777777778</x:v>
      </x:c>
      <x:c r="H428" s="101" t="n">
        <x:v>11888177</x:v>
      </x:c>
      <x:c r="I428" s="99" t="n">
        <x:v>-0.11221018935278515</x:v>
      </x:c>
      <x:c r="J428" s="100" t="n">
        <x:v>-35.55555555555556</x:v>
      </x:c>
      <x:c r="K428" s="100"/>
      <x:c r="L428" s="99" t="n">
        <x:v>0.6156666666666667</x:v>
      </x:c>
      <x:c r="M428" s="99" t="n">
        <x:v>0.6888888888888889</x:v>
      </x:c>
      <x:c r="N428" s="99"/>
      <x:c r="O428" s="99" t="n">
        <x:v>0.36352822222222225</x:v>
      </x:c>
      <x:c r="P428" s="99" t="n">
        <x:v>0.008059333333333326</x:v>
      </x:c>
      <x:c r="Q428" s="99" t="n">
        <x:v>0.1884157777777778</x:v>
      </x:c>
      <x:c r="R428" s="99" t="n">
        <x:v>-0.01955922222222222</x:v>
      </x:c>
      <x:c r="S428" s="45"/>
      <x:c r="T428" s="45"/>
      <x:c r="U428" s="51" t="d">
        <x:v>2026-09-30T00:00:00.000Z</x:v>
      </x:c>
      <x:c r="V428" s="51" t="d">
        <x:v>2026-09-30T00:00:00.000Z</x:v>
      </x:c>
      <x:c r="W428" s="109" t="n">
        <x:v>9</x:v>
      </x:c>
      <x:c r="X428" s="109" t="n">
        <x:v>9</x:v>
      </x:c>
      <x:c r="Y428" s="45" t="str">
        <x:v>sbx-mex/Perfil_Tienda_DM</x:v>
      </x:c>
      <x:c r="Z428" s="45" t="str">
        <x:v>2a6b0d21379739482f0b4c7be9b0f9a022e15f5b</x:v>
      </x:c>
      <x:c r="AA428" s="45" t="str">
        <x:v>8456a41c5e02d454e70a2531577ffb2e29f73e57e44a7762de681d568aa4227a</x:v>
      </x:c>
    </x:row>
    <x:row r="429" ht="23" customHeight="1">
      <x:c r="A429" s="50" t="str">
        <x:v>38809</x:v>
      </x:c>
      <x:c r="B429" s="51" t="d">
        <x:v>2026-09-30T00:00:00.000Z</x:v>
      </x:c>
      <x:c r="C429" s="99" t="n">
        <x:v>0.355556</x:v>
      </x:c>
      <x:c r="D429" s="100" t="n">
        <x:v>6.072744888888889</x:v>
      </x:c>
      <x:c r="E429" s="100" t="n">
        <x:v>16.19077111111111</x:v>
      </x:c>
      <x:c r="F429" s="99" t="n">
        <x:v>0.1371748888888889</x:v>
      </x:c>
      <x:c r="G429" s="99" t="n">
        <x:v>0.023505555555555557</x:v>
      </x:c>
      <x:c r="H429" s="101" t="n">
        <x:v>25623906</x:v>
      </x:c>
      <x:c r="I429" s="99" t="n">
        <x:v>-0.15809145574749195</x:v>
      </x:c>
      <x:c r="J429" s="100" t="n">
        <x:v>-40.666666666666664</x:v>
      </x:c>
      <x:c r="K429" s="100"/>
      <x:c r="L429" s="99" t="n">
        <x:v>0.48800000000000004</x:v>
      </x:c>
      <x:c r="M429" s="99" t="n">
        <x:v>0.5755555555555555</x:v>
      </x:c>
      <x:c r="N429" s="99"/>
      <x:c r="O429" s="99" t="n">
        <x:v>0.3352667777777778</x:v>
      </x:c>
      <x:c r="P429" s="99" t="n">
        <x:v>-0.0007685555555555686</x:v>
      </x:c>
      <x:c r="Q429" s="99" t="n">
        <x:v>0.30846911111111114</x:v>
      </x:c>
      <x:c r="R429" s="99" t="n">
        <x:v>-0.03750111111111111</x:v>
      </x:c>
      <x:c r="S429" s="45" t="str">
        <x:v>01:16</x:v>
      </x:c>
      <x:c r="T429" s="45" t="str">
        <x:v>01:15</x:v>
      </x:c>
      <x:c r="U429" s="51" t="d">
        <x:v>2026-09-30T00:00:00.000Z</x:v>
      </x:c>
      <x:c r="V429" s="51" t="d">
        <x:v>2026-09-30T00:00:00.000Z</x:v>
      </x:c>
      <x:c r="W429" s="109" t="n">
        <x:v>9</x:v>
      </x:c>
      <x:c r="X429" s="109" t="n">
        <x:v>9</x:v>
      </x:c>
      <x:c r="Y429" s="45" t="str">
        <x:v>sbx-mex/Perfil_Tienda_DM</x:v>
      </x:c>
      <x:c r="Z429" s="45" t="str">
        <x:v>2a6b0d21379739482f0b4c7be9b0f9a022e15f5b</x:v>
      </x:c>
      <x:c r="AA429" s="45" t="str">
        <x:v>8456a41c5e02d454e70a2531577ffb2e29f73e57e44a7762de681d568aa4227a</x:v>
      </x:c>
    </x:row>
    <x:row r="430" ht="23" customHeight="1">
      <x:c r="A430" s="50" t="str">
        <x:v>38812</x:v>
      </x:c>
      <x:c r="B430" s="51" t="d">
        <x:v>2026-09-30T00:00:00.000Z</x:v>
      </x:c>
      <x:c r="C430" s="99" t="n">
        <x:v>0.230769</x:v>
      </x:c>
      <x:c r="D430" s="100" t="n">
        <x:v>6.9225868888888895</x:v>
      </x:c>
      <x:c r="E430" s="100" t="n">
        <x:v>15.688140222222223</x:v>
      </x:c>
      <x:c r="F430" s="99" t="n">
        <x:v>0.142521</x:v>
      </x:c>
      <x:c r="G430" s="99" t="n">
        <x:v>0.002831222222222223</x:v>
      </x:c>
      <x:c r="H430" s="101" t="n">
        <x:v>15833895</x:v>
      </x:c>
      <x:c r="I430" s="99" t="n">
        <x:v>-0.08438807228075151</x:v>
      </x:c>
      <x:c r="J430" s="100" t="n">
        <x:v>3.111111111111111</x:v>
      </x:c>
      <x:c r="K430" s="100"/>
      <x:c r="L430" s="99" t="n">
        <x:v>0.7095555555555556</x:v>
      </x:c>
      <x:c r="M430" s="99" t="n">
        <x:v>0.7011111111111111</x:v>
      </x:c>
      <x:c r="N430" s="99"/>
      <x:c r="O430" s="99" t="n">
        <x:v>0.37378255555555556</x:v>
      </x:c>
      <x:c r="P430" s="99" t="n">
        <x:v>0.0024123333333333375</x:v>
      </x:c>
      <x:c r="Q430" s="99" t="n">
        <x:v>0.26188955555555554</x:v>
      </x:c>
      <x:c r="R430" s="99" t="n">
        <x:v>-0.004618555555555555</x:v>
      </x:c>
      <x:c r="S430" s="45"/>
      <x:c r="T430" s="45"/>
      <x:c r="U430" s="51" t="d">
        <x:v>2026-09-30T00:00:00.000Z</x:v>
      </x:c>
      <x:c r="V430" s="51" t="d">
        <x:v>2026-09-30T00:00:00.000Z</x:v>
      </x:c>
      <x:c r="W430" s="109" t="n">
        <x:v>9</x:v>
      </x:c>
      <x:c r="X430" s="109" t="n">
        <x:v>9</x:v>
      </x:c>
      <x:c r="Y430" s="45" t="str">
        <x:v>sbx-mex/Perfil_Tienda_DM</x:v>
      </x:c>
      <x:c r="Z430" s="45" t="str">
        <x:v>2a6b0d21379739482f0b4c7be9b0f9a022e15f5b</x:v>
      </x:c>
      <x:c r="AA430" s="45" t="str">
        <x:v>8456a41c5e02d454e70a2531577ffb2e29f73e57e44a7762de681d568aa4227a</x:v>
      </x:c>
    </x:row>
    <x:row r="431" ht="23" customHeight="1">
      <x:c r="A431" s="50" t="str">
        <x:v>38832</x:v>
      </x:c>
      <x:c r="B431" s="51" t="d">
        <x:v>2026-09-30T00:00:00.000Z</x:v>
      </x:c>
      <x:c r="C431" s="99" t="n">
        <x:v>0.676056</x:v>
      </x:c>
      <x:c r="D431" s="100" t="n">
        <x:v>7.385109777777777</x:v>
      </x:c>
      <x:c r="E431" s="100" t="n">
        <x:v>13.369206222222223</x:v>
      </x:c>
      <x:c r="F431" s="99" t="n">
        <x:v>0.2351757777777778</x:v>
      </x:c>
      <x:c r="G431" s="99" t="n">
        <x:v>-0.017871</x:v>
      </x:c>
      <x:c r="H431" s="101" t="n">
        <x:v>4608831</x:v>
      </x:c>
      <x:c r="I431" s="99" t="n">
        <x:v>-0.25943685738687383</x:v>
      </x:c>
      <x:c r="J431" s="100" t="n">
        <x:v>-23.22222222222222</x:v>
      </x:c>
      <x:c r="K431" s="100"/>
      <x:c r="L431" s="99" t="n">
        <x:v>0.7353333333333334</x:v>
      </x:c>
      <x:c r="M431" s="99" t="n">
        <x:v>0.7133333333333334</x:v>
      </x:c>
      <x:c r="N431" s="99"/>
      <x:c r="O431" s="99" t="n">
        <x:v>0.40423455555555554</x:v>
      </x:c>
      <x:c r="P431" s="99" t="n">
        <x:v>-0.003626222222222222</x:v>
      </x:c>
      <x:c r="Q431" s="99" t="n">
        <x:v>0.043531888888888884</x:v>
      </x:c>
      <x:c r="R431" s="99" t="n">
        <x:v>0.0072776666666666545</x:v>
      </x:c>
      <x:c r="S431" s="45"/>
      <x:c r="T431" s="45"/>
      <x:c r="U431" s="51" t="d">
        <x:v>2026-09-30T00:00:00.000Z</x:v>
      </x:c>
      <x:c r="V431" s="51" t="d">
        <x:v>2026-09-30T00:00:00.000Z</x:v>
      </x:c>
      <x:c r="W431" s="109" t="n">
        <x:v>9</x:v>
      </x:c>
      <x:c r="X431" s="109" t="n">
        <x:v>9</x:v>
      </x:c>
      <x:c r="Y431" s="45" t="str">
        <x:v>sbx-mex/Perfil_Tienda_DM</x:v>
      </x:c>
      <x:c r="Z431" s="45" t="str">
        <x:v>2a6b0d21379739482f0b4c7be9b0f9a022e15f5b</x:v>
      </x:c>
      <x:c r="AA431" s="45" t="str">
        <x:v>8456a41c5e02d454e70a2531577ffb2e29f73e57e44a7762de681d568aa4227a</x:v>
      </x:c>
    </x:row>
    <x:row r="432" ht="23" customHeight="1">
      <x:c r="A432" s="50" t="str">
        <x:v>38899</x:v>
      </x:c>
      <x:c r="B432" s="51" t="d">
        <x:v>2026-09-30T00:00:00.000Z</x:v>
      </x:c>
      <x:c r="C432" s="99" t="n">
        <x:v>0.7</x:v>
      </x:c>
      <x:c r="D432" s="100" t="n">
        <x:v>5.3797867777777775</x:v>
      </x:c>
      <x:c r="E432" s="100" t="n">
        <x:v>15.018459444444444</x:v>
      </x:c>
      <x:c r="F432" s="99" t="n">
        <x:v>0.14575622222222223</x:v>
      </x:c>
      <x:c r="G432" s="99" t="n">
        <x:v>-0.004330111111111106</x:v>
      </x:c>
      <x:c r="H432" s="101" t="n">
        <x:v>21195788</x:v>
      </x:c>
      <x:c r="I432" s="99" t="n">
        <x:v>-0.008468523206892509</x:v>
      </x:c>
      <x:c r="J432" s="100" t="n">
        <x:v>-5.444444444444445</x:v>
      </x:c>
      <x:c r="K432" s="100"/>
      <x:c r="L432" s="99" t="n">
        <x:v>0.4548888888888889</x:v>
      </x:c>
      <x:c r="M432" s="99" t="n">
        <x:v>0.5655555555555556</x:v>
      </x:c>
      <x:c r="N432" s="99"/>
      <x:c r="O432" s="99" t="n">
        <x:v>0.3436735555555555</x:v>
      </x:c>
      <x:c r="P432" s="99" t="n">
        <x:v>0.03151677777777778</x:v>
      </x:c>
      <x:c r="Q432" s="99" t="n">
        <x:v>0.2552247777777778</x:v>
      </x:c>
      <x:c r="R432" s="99" t="n">
        <x:v>-0.05582655555555554</x:v>
      </x:c>
      <x:c r="S432" s="45" t="str">
        <x:v>01:23</x:v>
      </x:c>
      <x:c r="T432" s="45" t="str">
        <x:v>01:33</x:v>
      </x:c>
      <x:c r="U432" s="51" t="d">
        <x:v>2026-09-30T00:00:00.000Z</x:v>
      </x:c>
      <x:c r="V432" s="51" t="d">
        <x:v>2026-09-30T00:00:00.000Z</x:v>
      </x:c>
      <x:c r="W432" s="109" t="n">
        <x:v>9</x:v>
      </x:c>
      <x:c r="X432" s="109" t="n">
        <x:v>9</x:v>
      </x:c>
      <x:c r="Y432" s="45" t="str">
        <x:v>sbx-mex/Perfil_Tienda_DM</x:v>
      </x:c>
      <x:c r="Z432" s="45" t="str">
        <x:v>2a6b0d21379739482f0b4c7be9b0f9a022e15f5b</x:v>
      </x:c>
      <x:c r="AA432" s="45" t="str">
        <x:v>8456a41c5e02d454e70a2531577ffb2e29f73e57e44a7762de681d568aa4227a</x:v>
      </x:c>
    </x:row>
    <x:row r="433" ht="23" customHeight="1">
      <x:c r="A433" s="50" t="str">
        <x:v>38997</x:v>
      </x:c>
      <x:c r="B433" s="51" t="d">
        <x:v>2026-09-30T00:00:00.000Z</x:v>
      </x:c>
      <x:c r="C433" s="99" t="n">
        <x:v>0.380952</x:v>
      </x:c>
      <x:c r="D433" s="100" t="n">
        <x:v>5.915510444444444</x:v>
      </x:c>
      <x:c r="E433" s="100" t="n">
        <x:v>15.138172333333333</x:v>
      </x:c>
      <x:c r="F433" s="99" t="n">
        <x:v>0.13475677777777778</x:v>
      </x:c>
      <x:c r="G433" s="99" t="n">
        <x:v>0.003768666666666667</x:v>
      </x:c>
      <x:c r="H433" s="101" t="n">
        <x:v>24217248</x:v>
      </x:c>
      <x:c r="I433" s="99" t="n">
        <x:v>0.012150678637907086</x:v>
      </x:c>
      <x:c r="J433" s="100" t="n">
        <x:v>14.88888888888889</x:v>
      </x:c>
      <x:c r="K433" s="100"/>
      <x:c r="L433" s="99" t="n">
        <x:v>0.5204444444444445</x:v>
      </x:c>
      <x:c r="M433" s="99" t="n">
        <x:v>0.6322222222222221</x:v>
      </x:c>
      <x:c r="N433" s="99"/>
      <x:c r="O433" s="99" t="n">
        <x:v>0.34210244444444443</x:v>
      </x:c>
      <x:c r="P433" s="99" t="n">
        <x:v>-0.004032777777777786</x:v>
      </x:c>
      <x:c r="Q433" s="99" t="n">
        <x:v>0.3306512222222222</x:v>
      </x:c>
      <x:c r="R433" s="99" t="n">
        <x:v>-0.008141444444444442</x:v>
      </x:c>
      <x:c r="S433" s="45" t="str">
        <x:v>01:13</x:v>
      </x:c>
      <x:c r="T433" s="45" t="str">
        <x:v>01:11</x:v>
      </x:c>
      <x:c r="U433" s="51" t="d">
        <x:v>2026-09-30T00:00:00.000Z</x:v>
      </x:c>
      <x:c r="V433" s="51" t="d">
        <x:v>2026-09-30T00:00:00.000Z</x:v>
      </x:c>
      <x:c r="W433" s="109" t="n">
        <x:v>9</x:v>
      </x:c>
      <x:c r="X433" s="109" t="n">
        <x:v>9</x:v>
      </x:c>
      <x:c r="Y433" s="45" t="str">
        <x:v>sbx-mex/Perfil_Tienda_DM</x:v>
      </x:c>
      <x:c r="Z433" s="45" t="str">
        <x:v>2a6b0d21379739482f0b4c7be9b0f9a022e15f5b</x:v>
      </x:c>
      <x:c r="AA433" s="45" t="str">
        <x:v>8456a41c5e02d454e70a2531577ffb2e29f73e57e44a7762de681d568aa4227a</x:v>
      </x:c>
    </x:row>
    <x:row r="434" ht="23" customHeight="1">
      <x:c r="A434" s="50" t="str">
        <x:v>43209</x:v>
      </x:c>
      <x:c r="B434" s="51" t="d">
        <x:v>2026-09-30T00:00:00.000Z</x:v>
      </x:c>
      <x:c r="C434" s="99" t="n">
        <x:v>0.461538</x:v>
      </x:c>
      <x:c r="D434" s="100" t="n">
        <x:v>6.459938599999999</x:v>
      </x:c>
      <x:c r="E434" s="100" t="n">
        <x:v>16.4194754</x:v>
      </x:c>
      <x:c r="F434" s="99" t="n">
        <x:v>0.1475035</x:v>
      </x:c>
      <x:c r="G434" s="99"/>
      <x:c r="H434" s="101" t="n">
        <x:v>7212484</x:v>
      </x:c>
      <x:c r="I434" s="99"/>
      <x:c r="J434" s="100"/>
      <x:c r="K434" s="100"/>
      <x:c r="L434" s="99" t="n">
        <x:v>0.5271666666666667</x:v>
      </x:c>
      <x:c r="M434" s="99" t="n">
        <x:v>0.6699999999999999</x:v>
      </x:c>
      <x:c r="N434" s="99"/>
      <x:c r="O434" s="99" t="n">
        <x:v>0.3400168333333333</x:v>
      </x:c>
      <x:c r="P434" s="99"/>
      <x:c r="Q434" s="99" t="n">
        <x:v>0.26889833333333335</x:v>
      </x:c>
      <x:c r="R434" s="99"/>
      <x:c r="S434" s="45"/>
      <x:c r="T434" s="45"/>
      <x:c r="U434" s="51" t="d">
        <x:v>2026-09-30T00:00:00.000Z</x:v>
      </x:c>
      <x:c r="V434" s="51" t="d">
        <x:v>2026-09-30T00:00:00.000Z</x:v>
      </x:c>
      <x:c r="W434" s="109" t="n">
        <x:v>9</x:v>
      </x:c>
      <x:c r="X434" s="109" t="n">
        <x:v>5</x:v>
      </x:c>
      <x:c r="Y434" s="45" t="str">
        <x:v>sbx-mex/Perfil_Tienda_DM</x:v>
      </x:c>
      <x:c r="Z434" s="45" t="str">
        <x:v>2a6b0d21379739482f0b4c7be9b0f9a022e15f5b</x:v>
      </x:c>
      <x:c r="AA434" s="45" t="str">
        <x:v>8456a41c5e02d454e70a2531577ffb2e29f73e57e44a7762de681d568aa4227a</x:v>
      </x:c>
    </x:row>
    <x:row r="435" ht="23" customHeight="1">
      <x:c r="A435" s="50" t="str">
        <x:v>38377</x:v>
      </x:c>
      <x:c r="B435" s="51" t="d">
        <x:v>2026-09-30T00:00:00.000Z</x:v>
      </x:c>
      <x:c r="C435" s="99" t="n">
        <x:v>0.476821</x:v>
      </x:c>
      <x:c r="D435" s="100" t="n">
        <x:v>6.4290127777777775</x:v>
      </x:c>
      <x:c r="E435" s="100" t="n">
        <x:v>15.651028333333333</x:v>
      </x:c>
      <x:c r="F435" s="99" t="n">
        <x:v>0.14913388888888887</x:v>
      </x:c>
      <x:c r="G435" s="99" t="n">
        <x:v>0.011280999999999998</x:v>
      </x:c>
      <x:c r="H435" s="101" t="n">
        <x:v>14368737</x:v>
      </x:c>
      <x:c r="I435" s="99" t="n">
        <x:v>-0.20821621427343584</x:v>
      </x:c>
      <x:c r="J435" s="100" t="n">
        <x:v>-30.77777777777778</x:v>
      </x:c>
      <x:c r="K435" s="100"/>
      <x:c r="L435" s="99" t="n">
        <x:v>0.6318888888888889</x:v>
      </x:c>
      <x:c r="M435" s="99" t="n">
        <x:v>0.7566666666666666</x:v>
      </x:c>
      <x:c r="N435" s="99"/>
      <x:c r="O435" s="99" t="n">
        <x:v>0.34844277777777777</x:v>
      </x:c>
      <x:c r="P435" s="99" t="n">
        <x:v>-0.0010871111111111127</x:v>
      </x:c>
      <x:c r="Q435" s="99" t="n">
        <x:v>0.2411356666666667</x:v>
      </x:c>
      <x:c r="R435" s="99" t="n">
        <x:v>-0.038571888888888885</x:v>
      </x:c>
      <x:c r="S435" s="45"/>
      <x:c r="T435" s="45"/>
      <x:c r="U435" s="51" t="d">
        <x:v>2026-09-30T00:00:00.000Z</x:v>
      </x:c>
      <x:c r="V435" s="51" t="d">
        <x:v>2026-09-30T00:00:00.000Z</x:v>
      </x:c>
      <x:c r="W435" s="109" t="n">
        <x:v>9</x:v>
      </x:c>
      <x:c r="X435" s="109" t="n">
        <x:v>9</x:v>
      </x:c>
      <x:c r="Y435" s="45" t="str">
        <x:v>sbx-mex/Perfil_Tienda_DM</x:v>
      </x:c>
      <x:c r="Z435" s="45" t="str">
        <x:v>2a6b0d21379739482f0b4c7be9b0f9a022e15f5b</x:v>
      </x:c>
      <x:c r="AA435" s="45" t="str">
        <x:v>8456a41c5e02d454e70a2531577ffb2e29f73e57e44a7762de681d568aa4227a</x:v>
      </x:c>
    </x:row>
    <x:row r="436" ht="23" customHeight="1">
      <x:c r="A436" s="50" t="str">
        <x:v>38480</x:v>
      </x:c>
      <x:c r="B436" s="51" t="d">
        <x:v>2026-09-30T00:00:00.000Z</x:v>
      </x:c>
      <x:c r="C436" s="99" t="n">
        <x:v>0.6</x:v>
      </x:c>
      <x:c r="D436" s="100" t="n">
        <x:v>8.160469666666666</x:v>
      </x:c>
      <x:c r="E436" s="100" t="n">
        <x:v>18.60122388888889</x:v>
      </x:c>
      <x:c r="F436" s="99" t="n">
        <x:v>0.14248755555555556</x:v>
      </x:c>
      <x:c r="G436" s="99" t="n">
        <x:v>0.007439555555555559</x:v>
      </x:c>
      <x:c r="H436" s="101" t="n">
        <x:v>15432185</x:v>
      </x:c>
      <x:c r="I436" s="99" t="n">
        <x:v>-0.14617254710701344</x:v>
      </x:c>
      <x:c r="J436" s="100" t="n">
        <x:v>-9.555555555555555</x:v>
      </x:c>
      <x:c r="K436" s="100"/>
      <x:c r="L436" s="99" t="n">
        <x:v>0.6322222222222222</x:v>
      </x:c>
      <x:c r="M436" s="99" t="n">
        <x:v>0.741111111111111</x:v>
      </x:c>
      <x:c r="N436" s="99"/>
      <x:c r="O436" s="99" t="n">
        <x:v>0.3437527777777778</x:v>
      </x:c>
      <x:c r="P436" s="99" t="n">
        <x:v>-0.014551444444444443</x:v>
      </x:c>
      <x:c r="Q436" s="99" t="n">
        <x:v>0.24720166666666665</x:v>
      </x:c>
      <x:c r="R436" s="99" t="n">
        <x:v>-0.01075588888888889</x:v>
      </x:c>
      <x:c r="S436" s="45"/>
      <x:c r="T436" s="45"/>
      <x:c r="U436" s="51" t="d">
        <x:v>2026-09-30T00:00:00.000Z</x:v>
      </x:c>
      <x:c r="V436" s="51" t="d">
        <x:v>2026-09-30T00:00:00.000Z</x:v>
      </x:c>
      <x:c r="W436" s="109" t="n">
        <x:v>9</x:v>
      </x:c>
      <x:c r="X436" s="109" t="n">
        <x:v>9</x:v>
      </x:c>
      <x:c r="Y436" s="45" t="str">
        <x:v>sbx-mex/Perfil_Tienda_DM</x:v>
      </x:c>
      <x:c r="Z436" s="45" t="str">
        <x:v>2a6b0d21379739482f0b4c7be9b0f9a022e15f5b</x:v>
      </x:c>
      <x:c r="AA436" s="45" t="str">
        <x:v>8456a41c5e02d454e70a2531577ffb2e29f73e57e44a7762de681d568aa4227a</x:v>
      </x:c>
    </x:row>
    <x:row r="437" ht="23" customHeight="1">
      <x:c r="A437" s="50" t="str">
        <x:v>38559</x:v>
      </x:c>
      <x:c r="B437" s="51" t="d">
        <x:v>2026-09-30T00:00:00.000Z</x:v>
      </x:c>
      <x:c r="C437" s="99" t="n">
        <x:v>0.497041</x:v>
      </x:c>
      <x:c r="D437" s="100" t="n">
        <x:v>7.628244888888888</x:v>
      </x:c>
      <x:c r="E437" s="100" t="n">
        <x:v>17.744534</x:v>
      </x:c>
      <x:c r="F437" s="99" t="n">
        <x:v>0.13030922222222222</x:v>
      </x:c>
      <x:c r="G437" s="99" t="n">
        <x:v>-0.001619444444444448</x:v>
      </x:c>
      <x:c r="H437" s="101" t="n">
        <x:v>20404690</x:v>
      </x:c>
      <x:c r="I437" s="99" t="n">
        <x:v>0.07504078498269307</x:v>
      </x:c>
      <x:c r="J437" s="100" t="n">
        <x:v>22.666666666666668</x:v>
      </x:c>
      <x:c r="K437" s="100"/>
      <x:c r="L437" s="99" t="n">
        <x:v>0.548</x:v>
      </x:c>
      <x:c r="M437" s="99" t="n">
        <x:v>0.7044444444444444</x:v>
      </x:c>
      <x:c r="N437" s="99"/>
      <x:c r="O437" s="99" t="n">
        <x:v>0.3333705555555555</x:v>
      </x:c>
      <x:c r="P437" s="99" t="n">
        <x:v>-0.015705333333333342</x:v>
      </x:c>
      <x:c r="Q437" s="99" t="n">
        <x:v>0.2980581111111111</x:v>
      </x:c>
      <x:c r="R437" s="99" t="n">
        <x:v>0.089863</x:v>
      </x:c>
      <x:c r="S437" s="45"/>
      <x:c r="T437" s="45"/>
      <x:c r="U437" s="51" t="d">
        <x:v>2026-09-30T00:00:00.000Z</x:v>
      </x:c>
      <x:c r="V437" s="51" t="d">
        <x:v>2026-09-30T00:00:00.000Z</x:v>
      </x:c>
      <x:c r="W437" s="109" t="n">
        <x:v>9</x:v>
      </x:c>
      <x:c r="X437" s="109" t="n">
        <x:v>9</x:v>
      </x:c>
      <x:c r="Y437" s="45" t="str">
        <x:v>sbx-mex/Perfil_Tienda_DM</x:v>
      </x:c>
      <x:c r="Z437" s="45" t="str">
        <x:v>2a6b0d21379739482f0b4c7be9b0f9a022e15f5b</x:v>
      </x:c>
      <x:c r="AA437" s="45" t="str">
        <x:v>8456a41c5e02d454e70a2531577ffb2e29f73e57e44a7762de681d568aa4227a</x:v>
      </x:c>
    </x:row>
    <x:row r="438" ht="23" customHeight="1">
      <x:c r="A438" s="50" t="str">
        <x:v>38629</x:v>
      </x:c>
      <x:c r="B438" s="51" t="d">
        <x:v>2026-09-30T00:00:00.000Z</x:v>
      </x:c>
      <x:c r="C438" s="99" t="n">
        <x:v>0.495868</x:v>
      </x:c>
      <x:c r="D438" s="100" t="n">
        <x:v>6.221718555555556</x:v>
      </x:c>
      <x:c r="E438" s="100" t="n">
        <x:v>14.806392</x:v>
      </x:c>
      <x:c r="F438" s="99" t="n">
        <x:v>0.16999077777777777</x:v>
      </x:c>
      <x:c r="G438" s="99" t="n">
        <x:v>0.01616855555555556</x:v>
      </x:c>
      <x:c r="H438" s="101" t="n">
        <x:v>11029025</x:v>
      </x:c>
      <x:c r="I438" s="99" t="n">
        <x:v>-0.10445892681592428</x:v>
      </x:c>
      <x:c r="J438" s="100" t="n">
        <x:v>-3.111111111111111</x:v>
      </x:c>
      <x:c r="K438" s="100"/>
      <x:c r="L438" s="99" t="n">
        <x:v>0.5941111111111111</x:v>
      </x:c>
      <x:c r="M438" s="99" t="n">
        <x:v>0.6822222222222222</x:v>
      </x:c>
      <x:c r="N438" s="99"/>
      <x:c r="O438" s="99" t="n">
        <x:v>0.3728098888888889</x:v>
      </x:c>
      <x:c r="P438" s="99" t="n">
        <x:v>-0.005991000000000006</x:v>
      </x:c>
      <x:c r="Q438" s="99" t="n">
        <x:v>0.1995</x:v>
      </x:c>
      <x:c r="R438" s="99" t="n">
        <x:v>0.001695000000000002</x:v>
      </x:c>
      <x:c r="S438" s="45"/>
      <x:c r="T438" s="45"/>
      <x:c r="U438" s="51" t="d">
        <x:v>2026-09-30T00:00:00.000Z</x:v>
      </x:c>
      <x:c r="V438" s="51" t="d">
        <x:v>2026-09-30T00:00:00.000Z</x:v>
      </x:c>
      <x:c r="W438" s="109" t="n">
        <x:v>9</x:v>
      </x:c>
      <x:c r="X438" s="109" t="n">
        <x:v>9</x:v>
      </x:c>
      <x:c r="Y438" s="45" t="str">
        <x:v>sbx-mex/Perfil_Tienda_DM</x:v>
      </x:c>
      <x:c r="Z438" s="45" t="str">
        <x:v>2a6b0d21379739482f0b4c7be9b0f9a022e15f5b</x:v>
      </x:c>
      <x:c r="AA438" s="45" t="str">
        <x:v>8456a41c5e02d454e70a2531577ffb2e29f73e57e44a7762de681d568aa4227a</x:v>
      </x:c>
    </x:row>
    <x:row r="439" ht="23" customHeight="1">
      <x:c r="A439" s="50" t="str">
        <x:v>38750</x:v>
      </x:c>
      <x:c r="B439" s="51" t="d">
        <x:v>2026-09-30T00:00:00.000Z</x:v>
      </x:c>
      <x:c r="C439" s="99" t="n">
        <x:v>0.335664</x:v>
      </x:c>
      <x:c r="D439" s="100" t="n">
        <x:v>7.492881333333333</x:v>
      </x:c>
      <x:c r="E439" s="100" t="n">
        <x:v>15.581062333333332</x:v>
      </x:c>
      <x:c r="F439" s="99" t="n">
        <x:v>0.1555078888888889</x:v>
      </x:c>
      <x:c r="G439" s="99" t="n">
        <x:v>-0.00014066666666667012</x:v>
      </x:c>
      <x:c r="H439" s="101" t="n">
        <x:v>12825070</x:v>
      </x:c>
      <x:c r="I439" s="99" t="n">
        <x:v>-0.09606084383295044</x:v>
      </x:c>
      <x:c r="J439" s="100" t="n">
        <x:v>-7.777777777777778</x:v>
      </x:c>
      <x:c r="K439" s="100"/>
      <x:c r="L439" s="99" t="n">
        <x:v>0.5498888888888889</x:v>
      </x:c>
      <x:c r="M439" s="99" t="n">
        <x:v>0.6855555555555556</x:v>
      </x:c>
      <x:c r="N439" s="99"/>
      <x:c r="O439" s="99" t="n">
        <x:v>0.3382537777777778</x:v>
      </x:c>
      <x:c r="P439" s="99" t="n">
        <x:v>-0.001502999999999995</x:v>
      </x:c>
      <x:c r="Q439" s="99" t="n">
        <x:v>0.22584133333333334</x:v>
      </x:c>
      <x:c r="R439" s="99" t="n">
        <x:v>0.04708488888888889</x:v>
      </x:c>
      <x:c r="S439" s="45"/>
      <x:c r="T439" s="45"/>
      <x:c r="U439" s="51" t="d">
        <x:v>2026-09-30T00:00:00.000Z</x:v>
      </x:c>
      <x:c r="V439" s="51" t="d">
        <x:v>2026-09-30T00:00:00.000Z</x:v>
      </x:c>
      <x:c r="W439" s="109" t="n">
        <x:v>9</x:v>
      </x:c>
      <x:c r="X439" s="109" t="n">
        <x:v>9</x:v>
      </x:c>
      <x:c r="Y439" s="45" t="str">
        <x:v>sbx-mex/Perfil_Tienda_DM</x:v>
      </x:c>
      <x:c r="Z439" s="45" t="str">
        <x:v>2a6b0d21379739482f0b4c7be9b0f9a022e15f5b</x:v>
      </x:c>
      <x:c r="AA439" s="45" t="str">
        <x:v>8456a41c5e02d454e70a2531577ffb2e29f73e57e44a7762de681d568aa4227a</x:v>
      </x:c>
    </x:row>
    <x:row r="440" ht="23" customHeight="1">
      <x:c r="A440" s="50" t="str">
        <x:v>38846</x:v>
      </x:c>
      <x:c r="B440" s="51" t="d">
        <x:v>2026-09-30T00:00:00.000Z</x:v>
      </x:c>
      <x:c r="C440" s="99" t="n">
        <x:v>0.433735</x:v>
      </x:c>
      <x:c r="D440" s="100" t="n">
        <x:v>9.604173777777778</x:v>
      </x:c>
      <x:c r="E440" s="100" t="n">
        <x:v>21.09384777777778</x:v>
      </x:c>
      <x:c r="F440" s="99" t="n">
        <x:v>0.147415</x:v>
      </x:c>
      <x:c r="G440" s="99" t="n">
        <x:v>-0.0026569999999999975</x:v>
      </x:c>
      <x:c r="H440" s="101" t="n">
        <x:v>15860255</x:v>
      </x:c>
      <x:c r="I440" s="99" t="n">
        <x:v>-0.002664600274603024</x:v>
      </x:c>
      <x:c r="J440" s="100" t="n">
        <x:v>1.5555555555555556</x:v>
      </x:c>
      <x:c r="K440" s="100"/>
      <x:c r="L440" s="99" t="n">
        <x:v>0.5304444444444445</x:v>
      </x:c>
      <x:c r="M440" s="99" t="n">
        <x:v>0.6311111111111111</x:v>
      </x:c>
      <x:c r="N440" s="99"/>
      <x:c r="O440" s="99" t="n">
        <x:v>0.3704705555555556</x:v>
      </x:c>
      <x:c r="P440" s="99" t="n">
        <x:v>0.012414888888888883</x:v>
      </x:c>
      <x:c r="Q440" s="99" t="n">
        <x:v>0.21281655555555556</x:v>
      </x:c>
      <x:c r="R440" s="99" t="n">
        <x:v>-0.010829666666666675</x:v>
      </x:c>
      <x:c r="S440" s="45"/>
      <x:c r="T440" s="45"/>
      <x:c r="U440" s="51" t="d">
        <x:v>2026-09-30T00:00:00.000Z</x:v>
      </x:c>
      <x:c r="V440" s="51" t="d">
        <x:v>2026-09-30T00:00:00.000Z</x:v>
      </x:c>
      <x:c r="W440" s="109" t="n">
        <x:v>9</x:v>
      </x:c>
      <x:c r="X440" s="109" t="n">
        <x:v>9</x:v>
      </x:c>
      <x:c r="Y440" s="45" t="str">
        <x:v>sbx-mex/Perfil_Tienda_DM</x:v>
      </x:c>
      <x:c r="Z440" s="45" t="str">
        <x:v>2a6b0d21379739482f0b4c7be9b0f9a022e15f5b</x:v>
      </x:c>
      <x:c r="AA440" s="45" t="str">
        <x:v>8456a41c5e02d454e70a2531577ffb2e29f73e57e44a7762de681d568aa4227a</x:v>
      </x:c>
    </x:row>
    <x:row r="441" ht="23" customHeight="1">
      <x:c r="A441" s="50" t="str">
        <x:v>38882</x:v>
      </x:c>
      <x:c r="B441" s="51" t="d">
        <x:v>2026-09-30T00:00:00.000Z</x:v>
      </x:c>
      <x:c r="C441" s="99" t="n">
        <x:v>0.90566</x:v>
      </x:c>
      <x:c r="D441" s="100" t="n">
        <x:v>7.904387777777777</x:v>
      </x:c>
      <x:c r="E441" s="100" t="n">
        <x:v>18.49605988888889</x:v>
      </x:c>
      <x:c r="F441" s="99" t="n">
        <x:v>0.14605966666666667</x:v>
      </x:c>
      <x:c r="G441" s="99" t="n">
        <x:v>0.019120000000000005</x:v>
      </x:c>
      <x:c r="H441" s="101" t="n">
        <x:v>15235449</x:v>
      </x:c>
      <x:c r="I441" s="99" t="n">
        <x:v>-0.1840818753515896</x:v>
      </x:c>
      <x:c r="J441" s="100" t="n">
        <x:v>-25.11111111111111</x:v>
      </x:c>
      <x:c r="K441" s="100"/>
      <x:c r="L441" s="99" t="n">
        <x:v>0.6314444444444445</x:v>
      </x:c>
      <x:c r="M441" s="99" t="n">
        <x:v>0.7344444444444445</x:v>
      </x:c>
      <x:c r="N441" s="99"/>
      <x:c r="O441" s="99" t="n">
        <x:v>0.35329455555555556</x:v>
      </x:c>
      <x:c r="P441" s="99" t="n">
        <x:v>-0.009198777777777778</x:v>
      </x:c>
      <x:c r="Q441" s="99" t="n">
        <x:v>0.23355144444444445</x:v>
      </x:c>
      <x:c r="R441" s="99" t="n">
        <x:v>-0.028115111111111105</x:v>
      </x:c>
      <x:c r="S441" s="45"/>
      <x:c r="T441" s="45"/>
      <x:c r="U441" s="51" t="d">
        <x:v>2026-09-30T00:00:00.000Z</x:v>
      </x:c>
      <x:c r="V441" s="51" t="d">
        <x:v>2026-09-30T00:00:00.000Z</x:v>
      </x:c>
      <x:c r="W441" s="109" t="n">
        <x:v>9</x:v>
      </x:c>
      <x:c r="X441" s="109" t="n">
        <x:v>9</x:v>
      </x:c>
      <x:c r="Y441" s="45" t="str">
        <x:v>sbx-mex/Perfil_Tienda_DM</x:v>
      </x:c>
      <x:c r="Z441" s="45" t="str">
        <x:v>2a6b0d21379739482f0b4c7be9b0f9a022e15f5b</x:v>
      </x:c>
      <x:c r="AA441" s="45" t="str">
        <x:v>8456a41c5e02d454e70a2531577ffb2e29f73e57e44a7762de681d568aa4227a</x:v>
      </x:c>
    </x:row>
    <x:row r="442" ht="23" customHeight="1">
      <x:c r="A442" s="50" t="str">
        <x:v>43055</x:v>
      </x:c>
      <x:c r="B442" s="51" t="d">
        <x:v>2026-09-30T00:00:00.000Z</x:v>
      </x:c>
      <x:c r="C442" s="99" t="n">
        <x:v>0.813559</x:v>
      </x:c>
      <x:c r="D442" s="100" t="n">
        <x:v>8.163856888888889</x:v>
      </x:c>
      <x:c r="E442" s="100" t="n">
        <x:v>18.924480777777777</x:v>
      </x:c>
      <x:c r="F442" s="99" t="n">
        <x:v>0.12371744444444444</x:v>
      </x:c>
      <x:c r="G442" s="99" t="n">
        <x:v>0.008620111111111111</x:v>
      </x:c>
      <x:c r="H442" s="101" t="n">
        <x:v>27058457</x:v>
      </x:c>
      <x:c r="I442" s="99" t="n">
        <x:v>0.025495343434024598</x:v>
      </x:c>
      <x:c r="J442" s="100" t="n">
        <x:v>57.888888888888886</x:v>
      </x:c>
      <x:c r="K442" s="100"/>
      <x:c r="L442" s="99" t="n">
        <x:v>0.5623333333333334</x:v>
      </x:c>
      <x:c r="M442" s="99" t="n">
        <x:v>0.7166666666666667</x:v>
      </x:c>
      <x:c r="N442" s="99"/>
      <x:c r="O442" s="99" t="n">
        <x:v>0.34048433333333333</x:v>
      </x:c>
      <x:c r="P442" s="99" t="n">
        <x:v>-0.00373366666666666</x:v>
      </x:c>
      <x:c r="Q442" s="99" t="n">
        <x:v>0.3368348888888889</x:v>
      </x:c>
      <x:c r="R442" s="99" t="n">
        <x:v>-0.003132000000000005</x:v>
      </x:c>
      <x:c r="S442" s="45" t="str">
        <x:v>01:11</x:v>
      </x:c>
      <x:c r="T442" s="45" t="str">
        <x:v>01:22</x:v>
      </x:c>
      <x:c r="U442" s="51" t="d">
        <x:v>2026-09-30T00:00:00.000Z</x:v>
      </x:c>
      <x:c r="V442" s="51" t="d">
        <x:v>2026-09-30T00:00:00.000Z</x:v>
      </x:c>
      <x:c r="W442" s="109" t="n">
        <x:v>9</x:v>
      </x:c>
      <x:c r="X442" s="109" t="n">
        <x:v>9</x:v>
      </x:c>
      <x:c r="Y442" s="45" t="str">
        <x:v>sbx-mex/Perfil_Tienda_DM</x:v>
      </x:c>
      <x:c r="Z442" s="45" t="str">
        <x:v>2a6b0d21379739482f0b4c7be9b0f9a022e15f5b</x:v>
      </x:c>
      <x:c r="AA442" s="45" t="str">
        <x:v>8456a41c5e02d454e70a2531577ffb2e29f73e57e44a7762de681d568aa4227a</x:v>
      </x:c>
    </x:row>
    <x:row r="443" ht="23" customHeight="1">
      <x:c r="A443" s="50" t="str">
        <x:v>43135</x:v>
      </x:c>
      <x:c r="B443" s="51" t="d">
        <x:v>2026-09-30T00:00:00.000Z</x:v>
      </x:c>
      <x:c r="C443" s="99" t="n">
        <x:v>0.431655</x:v>
      </x:c>
      <x:c r="D443" s="100" t="n">
        <x:v>6.192300555555556</x:v>
      </x:c>
      <x:c r="E443" s="100" t="n">
        <x:v>15.505415</x:v>
      </x:c>
      <x:c r="F443" s="99" t="n">
        <x:v>0.15363522222222223</x:v>
      </x:c>
      <x:c r="G443" s="99" t="n">
        <x:v>-0.024668888888888893</x:v>
      </x:c>
      <x:c r="H443" s="101" t="n">
        <x:v>13496295</x:v>
      </x:c>
      <x:c r="I443" s="99" t="n">
        <x:v>0.08635468226318066</x:v>
      </x:c>
      <x:c r="J443" s="100" t="n">
        <x:v>33.44444444444444</x:v>
      </x:c>
      <x:c r="K443" s="100"/>
      <x:c r="L443" s="99" t="n">
        <x:v>0.6055555555555556</x:v>
      </x:c>
      <x:c r="M443" s="99" t="n">
        <x:v>0.7555555555555555</x:v>
      </x:c>
      <x:c r="N443" s="99"/>
      <x:c r="O443" s="99" t="n">
        <x:v>0.3838933333333333</x:v>
      </x:c>
      <x:c r="P443" s="99" t="n">
        <x:v>-0.0014522222222222252</x:v>
      </x:c>
      <x:c r="Q443" s="99" t="n">
        <x:v>0.21383733333333332</x:v>
      </x:c>
      <x:c r="R443" s="99" t="n">
        <x:v>0.006455888888888878</x:v>
      </x:c>
      <x:c r="S443" s="45"/>
      <x:c r="T443" s="45"/>
      <x:c r="U443" s="51" t="d">
        <x:v>2026-09-30T00:00:00.000Z</x:v>
      </x:c>
      <x:c r="V443" s="51" t="d">
        <x:v>2026-09-30T00:00:00.000Z</x:v>
      </x:c>
      <x:c r="W443" s="109" t="n">
        <x:v>9</x:v>
      </x:c>
      <x:c r="X443" s="109" t="n">
        <x:v>9</x:v>
      </x:c>
      <x:c r="Y443" s="45" t="str">
        <x:v>sbx-mex/Perfil_Tienda_DM</x:v>
      </x:c>
      <x:c r="Z443" s="45" t="str">
        <x:v>2a6b0d21379739482f0b4c7be9b0f9a022e15f5b</x:v>
      </x:c>
      <x:c r="AA443" s="45" t="str">
        <x:v>8456a41c5e02d454e70a2531577ffb2e29f73e57e44a7762de681d568aa4227a</x:v>
      </x:c>
    </x:row>
    <x:row r="444" ht="23" customHeight="1">
      <x:c r="A444" s="50" t="str">
        <x:v>38305</x:v>
      </x:c>
      <x:c r="B444" s="51" t="d">
        <x:v>2026-09-30T00:00:00.000Z</x:v>
      </x:c>
      <x:c r="C444" s="99" t="n">
        <x:v>0.272727</x:v>
      </x:c>
      <x:c r="D444" s="100" t="n">
        <x:v>6.497277</x:v>
      </x:c>
      <x:c r="E444" s="100" t="n">
        <x:v>14.135980111111111</x:v>
      </x:c>
      <x:c r="F444" s="99" t="n">
        <x:v>0.12896444444444444</x:v>
      </x:c>
      <x:c r="G444" s="99" t="n">
        <x:v>-0.0016588888888888903</x:v>
      </x:c>
      <x:c r="H444" s="101" t="n">
        <x:v>21353478</x:v>
      </x:c>
      <x:c r="I444" s="99" t="n">
        <x:v>0.015008352921059398</x:v>
      </x:c>
      <x:c r="J444" s="100" t="n">
        <x:v>-6.444444444444445</x:v>
      </x:c>
      <x:c r="K444" s="100"/>
      <x:c r="L444" s="99" t="n">
        <x:v>0.57</x:v>
      </x:c>
      <x:c r="M444" s="99" t="n">
        <x:v>0.6988888888888889</x:v>
      </x:c>
      <x:c r="N444" s="99"/>
      <x:c r="O444" s="99" t="n">
        <x:v>0.3123477777777778</x:v>
      </x:c>
      <x:c r="P444" s="99" t="n">
        <x:v>0.041856777777777784</x:v>
      </x:c>
      <x:c r="Q444" s="99" t="n">
        <x:v>0.30187777777777774</x:v>
      </x:c>
      <x:c r="R444" s="99" t="n">
        <x:v>-0.04098266666666667</x:v>
      </x:c>
      <x:c r="S444" s="45"/>
      <x:c r="T444" s="45"/>
      <x:c r="U444" s="51" t="d">
        <x:v>2026-09-30T00:00:00.000Z</x:v>
      </x:c>
      <x:c r="V444" s="51" t="d">
        <x:v>2026-09-30T00:00:00.000Z</x:v>
      </x:c>
      <x:c r="W444" s="109" t="n">
        <x:v>9</x:v>
      </x:c>
      <x:c r="X444" s="109" t="n">
        <x:v>9</x:v>
      </x:c>
      <x:c r="Y444" s="45" t="str">
        <x:v>sbx-mex/Perfil_Tienda_DM</x:v>
      </x:c>
      <x:c r="Z444" s="45" t="str">
        <x:v>2a6b0d21379739482f0b4c7be9b0f9a022e15f5b</x:v>
      </x:c>
      <x:c r="AA444" s="45" t="str">
        <x:v>8456a41c5e02d454e70a2531577ffb2e29f73e57e44a7762de681d568aa4227a</x:v>
      </x:c>
    </x:row>
    <x:row r="445" ht="23" customHeight="1">
      <x:c r="A445" s="50" t="str">
        <x:v>38860</x:v>
      </x:c>
      <x:c r="B445" s="51" t="d">
        <x:v>2026-09-30T00:00:00.000Z</x:v>
      </x:c>
      <x:c r="C445" s="99" t="n">
        <x:v>0.528302</x:v>
      </x:c>
      <x:c r="D445" s="100" t="n">
        <x:v>8.158249666666666</x:v>
      </x:c>
      <x:c r="E445" s="100" t="n">
        <x:v>17.773946666666667</x:v>
      </x:c>
      <x:c r="F445" s="99" t="n">
        <x:v>0.173871</x:v>
      </x:c>
      <x:c r="G445" s="99" t="n">
        <x:v>0.027989111111111117</x:v>
      </x:c>
      <x:c r="H445" s="101" t="n">
        <x:v>12488081</x:v>
      </x:c>
      <x:c r="I445" s="99" t="n">
        <x:v>-0.1088538266152208</x:v>
      </x:c>
      <x:c r="J445" s="100" t="n">
        <x:v>-4.777777777777778</x:v>
      </x:c>
      <x:c r="K445" s="100"/>
      <x:c r="L445" s="99" t="n">
        <x:v>0.47111111111111115</x:v>
      </x:c>
      <x:c r="M445" s="99" t="n">
        <x:v>0.6755555555555556</x:v>
      </x:c>
      <x:c r="N445" s="99"/>
      <x:c r="O445" s="99" t="n">
        <x:v>0.35210566666666665</x:v>
      </x:c>
      <x:c r="P445" s="99" t="n">
        <x:v>-0.0022091111111111</x:v>
      </x:c>
      <x:c r="Q445" s="99" t="n">
        <x:v>0.19492633333333334</x:v>
      </x:c>
      <x:c r="R445" s="99" t="n">
        <x:v>-0.054459999999999995</x:v>
      </x:c>
      <x:c r="S445" s="45"/>
      <x:c r="T445" s="45"/>
      <x:c r="U445" s="51" t="d">
        <x:v>2026-09-30T00:00:00.000Z</x:v>
      </x:c>
      <x:c r="V445" s="51" t="d">
        <x:v>2026-09-30T00:00:00.000Z</x:v>
      </x:c>
      <x:c r="W445" s="109" t="n">
        <x:v>9</x:v>
      </x:c>
      <x:c r="X445" s="109" t="n">
        <x:v>9</x:v>
      </x:c>
      <x:c r="Y445" s="45" t="str">
        <x:v>sbx-mex/Perfil_Tienda_DM</x:v>
      </x:c>
      <x:c r="Z445" s="45" t="str">
        <x:v>2a6b0d21379739482f0b4c7be9b0f9a022e15f5b</x:v>
      </x:c>
      <x:c r="AA445" s="45" t="str">
        <x:v>8456a41c5e02d454e70a2531577ffb2e29f73e57e44a7762de681d568aa4227a</x:v>
      </x:c>
    </x:row>
    <x:row r="446" ht="23" customHeight="1">
      <x:c r="A446" s="50" t="str">
        <x:v>38885</x:v>
      </x:c>
      <x:c r="B446" s="51" t="d">
        <x:v>2026-09-30T00:00:00.000Z</x:v>
      </x:c>
      <x:c r="C446" s="99" t="n">
        <x:v>0.833333</x:v>
      </x:c>
      <x:c r="D446" s="100" t="n">
        <x:v>7.692621666666666</x:v>
      </x:c>
      <x:c r="E446" s="100" t="n">
        <x:v>17.350872</x:v>
      </x:c>
      <x:c r="F446" s="99" t="n">
        <x:v>0.09099955555555556</x:v>
      </x:c>
      <x:c r="G446" s="99" t="n">
        <x:v>-0.01138611111111111</x:v>
      </x:c>
      <x:c r="H446" s="101" t="n">
        <x:v>33494022</x:v>
      </x:c>
      <x:c r="I446" s="99" t="n">
        <x:v>0.22870822984922867</x:v>
      </x:c>
      <x:c r="J446" s="100" t="n">
        <x:v>40.666666666666664</x:v>
      </x:c>
      <x:c r="K446" s="100"/>
      <x:c r="L446" s="99" t="n">
        <x:v>0.4503333333333333</x:v>
      </x:c>
      <x:c r="M446" s="99" t="n">
        <x:v>0.5633333333333334</x:v>
      </x:c>
      <x:c r="N446" s="99"/>
      <x:c r="O446" s="99" t="n">
        <x:v>0.23390977777777777</x:v>
      </x:c>
      <x:c r="P446" s="99" t="n">
        <x:v>-0.01908377777777779</x:v>
      </x:c>
      <x:c r="Q446" s="99" t="n">
        <x:v>0.4072722222222222</x:v>
      </x:c>
      <x:c r="R446" s="99" t="n">
        <x:v>0.04628655555555555</x:v>
      </x:c>
      <x:c r="S446" s="45"/>
      <x:c r="T446" s="45"/>
      <x:c r="U446" s="51" t="d">
        <x:v>2026-09-30T00:00:00.000Z</x:v>
      </x:c>
      <x:c r="V446" s="51" t="d">
        <x:v>2026-09-30T00:00:00.000Z</x:v>
      </x:c>
      <x:c r="W446" s="109" t="n">
        <x:v>9</x:v>
      </x:c>
      <x:c r="X446" s="109" t="n">
        <x:v>9</x:v>
      </x:c>
      <x:c r="Y446" s="45" t="str">
        <x:v>sbx-mex/Perfil_Tienda_DM</x:v>
      </x:c>
      <x:c r="Z446" s="45" t="str">
        <x:v>2a6b0d21379739482f0b4c7be9b0f9a022e15f5b</x:v>
      </x:c>
      <x:c r="AA446" s="45" t="str">
        <x:v>8456a41c5e02d454e70a2531577ffb2e29f73e57e44a7762de681d568aa4227a</x:v>
      </x:c>
    </x:row>
    <x:row r="447" ht="23" customHeight="1">
      <x:c r="A447" s="50" t="str">
        <x:v>38895</x:v>
      </x:c>
      <x:c r="B447" s="51" t="d">
        <x:v>2026-09-30T00:00:00.000Z</x:v>
      </x:c>
      <x:c r="C447" s="99" t="n">
        <x:v>0.196721</x:v>
      </x:c>
      <x:c r="D447" s="100" t="n">
        <x:v>6.9964988888888895</x:v>
      </x:c>
      <x:c r="E447" s="100" t="n">
        <x:v>15.669237444444443</x:v>
      </x:c>
      <x:c r="F447" s="99" t="n">
        <x:v>0.1329141111111111</x:v>
      </x:c>
      <x:c r="G447" s="99" t="n">
        <x:v>-0.01141622222222222</x:v>
      </x:c>
      <x:c r="H447" s="101" t="n">
        <x:v>23555506</x:v>
      </x:c>
      <x:c r="I447" s="99" t="n">
        <x:v>-0.04954694169183427</x:v>
      </x:c>
      <x:c r="J447" s="100" t="n">
        <x:v>-14.555555555555555</x:v>
      </x:c>
      <x:c r="K447" s="100"/>
      <x:c r="L447" s="99" t="n">
        <x:v>0.42944444444444446</x:v>
      </x:c>
      <x:c r="M447" s="99" t="n">
        <x:v>0.5655555555555556</x:v>
      </x:c>
      <x:c r="N447" s="99"/>
      <x:c r="O447" s="99" t="n">
        <x:v>0.34265255555555557</x:v>
      </x:c>
      <x:c r="P447" s="99" t="n">
        <x:v>-0.002319999999999995</x:v>
      </x:c>
      <x:c r="Q447" s="99" t="n">
        <x:v>0.28633755555555557</x:v>
      </x:c>
      <x:c r="R447" s="99" t="n">
        <x:v>0.016963111111111106</x:v>
      </x:c>
      <x:c r="S447" s="45" t="str">
        <x:v>01:30</x:v>
      </x:c>
      <x:c r="T447" s="45" t="str">
        <x:v>01:22</x:v>
      </x:c>
      <x:c r="U447" s="51" t="d">
        <x:v>2026-09-30T00:00:00.000Z</x:v>
      </x:c>
      <x:c r="V447" s="51" t="d">
        <x:v>2026-09-30T00:00:00.000Z</x:v>
      </x:c>
      <x:c r="W447" s="109" t="n">
        <x:v>9</x:v>
      </x:c>
      <x:c r="X447" s="109" t="n">
        <x:v>9</x:v>
      </x:c>
      <x:c r="Y447" s="45" t="str">
        <x:v>sbx-mex/Perfil_Tienda_DM</x:v>
      </x:c>
      <x:c r="Z447" s="45" t="str">
        <x:v>2a6b0d21379739482f0b4c7be9b0f9a022e15f5b</x:v>
      </x:c>
      <x:c r="AA447" s="45" t="str">
        <x:v>8456a41c5e02d454e70a2531577ffb2e29f73e57e44a7762de681d568aa4227a</x:v>
      </x:c>
    </x:row>
    <x:row r="448" ht="23" customHeight="1">
      <x:c r="A448" s="50" t="str">
        <x:v>38945</x:v>
      </x:c>
      <x:c r="B448" s="51" t="d">
        <x:v>2026-09-30T00:00:00.000Z</x:v>
      </x:c>
      <x:c r="C448" s="99" t="n">
        <x:v>0.782609</x:v>
      </x:c>
      <x:c r="D448" s="100" t="n">
        <x:v>14.64922375</x:v>
      </x:c>
      <x:c r="E448" s="100" t="n">
        <x:v>22.158897500000002</x:v>
      </x:c>
      <x:c r="F448" s="99" t="n">
        <x:v>0.3725011111111111</x:v>
      </x:c>
      <x:c r="G448" s="99" t="n">
        <x:v>-0.262912125</x:v>
      </x:c>
      <x:c r="H448" s="101" t="n">
        <x:v>4093611</x:v>
      </x:c>
      <x:c r="I448" s="99" t="n">
        <x:v>0.4122430276492377</x:v>
      </x:c>
      <x:c r="J448" s="100" t="n">
        <x:v>23.625</x:v>
      </x:c>
      <x:c r="K448" s="100"/>
      <x:c r="L448" s="99" t="n">
        <x:v>0.787</x:v>
      </x:c>
      <x:c r="M448" s="99" t="n">
        <x:v>0.745</x:v>
      </x:c>
      <x:c r="N448" s="99"/>
      <x:c r="O448" s="99" t="n">
        <x:v>0.3774508888888889</x:v>
      </x:c>
      <x:c r="P448" s="99" t="n">
        <x:v>0.05607462499999999</x:v>
      </x:c>
      <x:c r="Q448" s="99" t="n">
        <x:v>-0.5404185555555555</x:v>
      </x:c>
      <x:c r="R448" s="99" t="n">
        <x:v>0.37911649999999997</x:v>
      </x:c>
      <x:c r="S448" s="45"/>
      <x:c r="T448" s="45"/>
      <x:c r="U448" s="51" t="d">
        <x:v>2026-09-30T00:00:00.000Z</x:v>
      </x:c>
      <x:c r="V448" s="51" t="d">
        <x:v>2026-09-30T00:00:00.000Z</x:v>
      </x:c>
      <x:c r="W448" s="109" t="n">
        <x:v>9</x:v>
      </x:c>
      <x:c r="X448" s="109" t="n">
        <x:v>9</x:v>
      </x:c>
      <x:c r="Y448" s="45" t="str">
        <x:v>sbx-mex/Perfil_Tienda_DM</x:v>
      </x:c>
      <x:c r="Z448" s="45" t="str">
        <x:v>2a6b0d21379739482f0b4c7be9b0f9a022e15f5b</x:v>
      </x:c>
      <x:c r="AA448" s="45" t="str">
        <x:v>8456a41c5e02d454e70a2531577ffb2e29f73e57e44a7762de681d568aa4227a</x:v>
      </x:c>
    </x:row>
    <x:row r="449" ht="23" customHeight="1">
      <x:c r="A449" s="50" t="str">
        <x:v>43036</x:v>
      </x:c>
      <x:c r="B449" s="51" t="d">
        <x:v>2026-09-30T00:00:00.000Z</x:v>
      </x:c>
      <x:c r="C449" s="99" t="n">
        <x:v>0.804878</x:v>
      </x:c>
      <x:c r="D449" s="100" t="n">
        <x:v>7.201180666666667</x:v>
      </x:c>
      <x:c r="E449" s="100" t="n">
        <x:v>15.515576444444443</x:v>
      </x:c>
      <x:c r="F449" s="99" t="n">
        <x:v>0.17652122222222222</x:v>
      </x:c>
      <x:c r="G449" s="99" t="n">
        <x:v>0.027022888888888888</x:v>
      </x:c>
      <x:c r="H449" s="101" t="n">
        <x:v>13518697</x:v>
      </x:c>
      <x:c r="I449" s="99" t="n">
        <x:v>-0.04247399508187644</x:v>
      </x:c>
      <x:c r="J449" s="100" t="n">
        <x:v>17</x:v>
      </x:c>
      <x:c r="K449" s="100"/>
      <x:c r="L449" s="99" t="n">
        <x:v>0.45011111111111113</x:v>
      </x:c>
      <x:c r="M449" s="99" t="n">
        <x:v>0.6088888888888889</x:v>
      </x:c>
      <x:c r="N449" s="99"/>
      <x:c r="O449" s="99" t="n">
        <x:v>0.375047</x:v>
      </x:c>
      <x:c r="P449" s="99" t="n">
        <x:v>0.01952177777777778</x:v>
      </x:c>
      <x:c r="Q449" s="99" t="n">
        <x:v>0.19159655555555555</x:v>
      </x:c>
      <x:c r="R449" s="99" t="n">
        <x:v>-0.06982022222222223</x:v>
      </x:c>
      <x:c r="S449" s="45" t="str">
        <x:v>01:35</x:v>
      </x:c>
      <x:c r="T449" s="45" t="str">
        <x:v>01:24</x:v>
      </x:c>
      <x:c r="U449" s="51" t="d">
        <x:v>2026-09-30T00:00:00.000Z</x:v>
      </x:c>
      <x:c r="V449" s="51" t="d">
        <x:v>2026-09-30T00:00:00.000Z</x:v>
      </x:c>
      <x:c r="W449" s="109" t="n">
        <x:v>9</x:v>
      </x:c>
      <x:c r="X449" s="109" t="n">
        <x:v>9</x:v>
      </x:c>
      <x:c r="Y449" s="45" t="str">
        <x:v>sbx-mex/Perfil_Tienda_DM</x:v>
      </x:c>
      <x:c r="Z449" s="45" t="str">
        <x:v>2a6b0d21379739482f0b4c7be9b0f9a022e15f5b</x:v>
      </x:c>
      <x:c r="AA449" s="45" t="str">
        <x:v>8456a41c5e02d454e70a2531577ffb2e29f73e57e44a7762de681d568aa4227a</x:v>
      </x:c>
    </x:row>
    <x:row r="450" ht="23" customHeight="1">
      <x:c r="A450" s="50" t="str">
        <x:v>43040</x:v>
      </x:c>
      <x:c r="B450" s="51" t="d">
        <x:v>2026-09-30T00:00:00.000Z</x:v>
      </x:c>
      <x:c r="C450" s="99" t="n">
        <x:v>0.683544</x:v>
      </x:c>
      <x:c r="D450" s="100" t="n">
        <x:v>5.974300222222222</x:v>
      </x:c>
      <x:c r="E450" s="100" t="n">
        <x:v>14.301986</x:v>
      </x:c>
      <x:c r="F450" s="99" t="n">
        <x:v>0.16483944444444443</x:v>
      </x:c>
      <x:c r="G450" s="99" t="n">
        <x:v>-0.007289888888888886</x:v>
      </x:c>
      <x:c r="H450" s="101" t="n">
        <x:v>13729365</x:v>
      </x:c>
      <x:c r="I450" s="99" t="n">
        <x:v>0.043056858564301415</x:v>
      </x:c>
      <x:c r="J450" s="100" t="n">
        <x:v>16.11111111111111</x:v>
      </x:c>
      <x:c r="K450" s="100"/>
      <x:c r="L450" s="99" t="n">
        <x:v>0.5944444444444444</x:v>
      </x:c>
      <x:c r="M450" s="99" t="n">
        <x:v>0.6522222222222223</x:v>
      </x:c>
      <x:c r="N450" s="99"/>
      <x:c r="O450" s="99" t="n">
        <x:v>0.36105044444444445</x:v>
      </x:c>
      <x:c r="P450" s="99" t="n">
        <x:v>-0.014078222222222226</x:v>
      </x:c>
      <x:c r="Q450" s="99" t="n">
        <x:v>0.22302355555555556</x:v>
      </x:c>
      <x:c r="R450" s="99" t="n">
        <x:v>0.023491444444444443</x:v>
      </x:c>
      <x:c r="S450" s="45"/>
      <x:c r="T450" s="45"/>
      <x:c r="U450" s="51" t="d">
        <x:v>2026-09-30T00:00:00.000Z</x:v>
      </x:c>
      <x:c r="V450" s="51" t="d">
        <x:v>2026-09-30T00:00:00.000Z</x:v>
      </x:c>
      <x:c r="W450" s="109" t="n">
        <x:v>9</x:v>
      </x:c>
      <x:c r="X450" s="109" t="n">
        <x:v>9</x:v>
      </x:c>
      <x:c r="Y450" s="45" t="str">
        <x:v>sbx-mex/Perfil_Tienda_DM</x:v>
      </x:c>
      <x:c r="Z450" s="45" t="str">
        <x:v>2a6b0d21379739482f0b4c7be9b0f9a022e15f5b</x:v>
      </x:c>
      <x:c r="AA450" s="45" t="str">
        <x:v>8456a41c5e02d454e70a2531577ffb2e29f73e57e44a7762de681d568aa4227a</x:v>
      </x:c>
    </x:row>
    <x:row r="451" ht="23" customHeight="1">
      <x:c r="A451" s="50" t="str">
        <x:v>43125</x:v>
      </x:c>
      <x:c r="B451" s="51" t="d">
        <x:v>2026-09-30T00:00:00.000Z</x:v>
      </x:c>
      <x:c r="C451" s="99" t="n">
        <x:v>0.161074</x:v>
      </x:c>
      <x:c r="D451" s="100" t="n">
        <x:v>6.397136222222222</x:v>
      </x:c>
      <x:c r="E451" s="100" t="n">
        <x:v>14.927788111111113</x:v>
      </x:c>
      <x:c r="F451" s="99" t="n">
        <x:v>0.15951533333333334</x:v>
      </x:c>
      <x:c r="G451" s="99" t="n">
        <x:v>-0.004279333333333323</x:v>
      </x:c>
      <x:c r="H451" s="101" t="n">
        <x:v>12770507</x:v>
      </x:c>
      <x:c r="I451" s="99" t="n">
        <x:v>-0.007310473993632716</x:v>
      </x:c>
      <x:c r="J451" s="100" t="n">
        <x:v>20.875</x:v>
      </x:c>
      <x:c r="K451" s="100"/>
      <x:c r="L451" s="99" t="n">
        <x:v>0.5765555555555556</x:v>
      </x:c>
      <x:c r="M451" s="99" t="n">
        <x:v>0.7066666666666667</x:v>
      </x:c>
      <x:c r="N451" s="99"/>
      <x:c r="O451" s="99" t="n">
        <x:v>0.3574865555555556</x:v>
      </x:c>
      <x:c r="P451" s="99" t="n">
        <x:v>0.011866222222222216</x:v>
      </x:c>
      <x:c r="Q451" s="99" t="n">
        <x:v>0.1751772222222222</x:v>
      </x:c>
      <x:c r="R451" s="99" t="n">
        <x:v>-0.05238</x:v>
      </x:c>
      <x:c r="S451" s="45"/>
      <x:c r="T451" s="45"/>
      <x:c r="U451" s="51" t="d">
        <x:v>2026-09-30T00:00:00.000Z</x:v>
      </x:c>
      <x:c r="V451" s="51" t="d">
        <x:v>2026-09-30T00:00:00.000Z</x:v>
      </x:c>
      <x:c r="W451" s="109" t="n">
        <x:v>9</x:v>
      </x:c>
      <x:c r="X451" s="109" t="n">
        <x:v>9</x:v>
      </x:c>
      <x:c r="Y451" s="45" t="str">
        <x:v>sbx-mex/Perfil_Tienda_DM</x:v>
      </x:c>
      <x:c r="Z451" s="45" t="str">
        <x:v>2a6b0d21379739482f0b4c7be9b0f9a022e15f5b</x:v>
      </x:c>
      <x:c r="AA451" s="45" t="str">
        <x:v>8456a41c5e02d454e70a2531577ffb2e29f73e57e44a7762de681d568aa4227a</x:v>
      </x:c>
    </x:row>
    <x:row r="452" ht="23" customHeight="1">
      <x:c r="A452" s="50" t="str">
        <x:v>43149</x:v>
      </x:c>
      <x:c r="B452" s="51" t="d">
        <x:v>2026-09-30T00:00:00.000Z</x:v>
      </x:c>
      <x:c r="C452" s="99" t="n">
        <x:v>0.313725</x:v>
      </x:c>
      <x:c r="D452" s="100" t="n">
        <x:v>4.922597111111111</x:v>
      </x:c>
      <x:c r="E452" s="100" t="n">
        <x:v>12.018561333333333</x:v>
      </x:c>
      <x:c r="F452" s="99" t="n">
        <x:v>0.16122444444444445</x:v>
      </x:c>
      <x:c r="G452" s="99" t="n">
        <x:v>-0.03709555555555556</x:v>
      </x:c>
      <x:c r="H452" s="101" t="n">
        <x:v>12678108</x:v>
      </x:c>
      <x:c r="I452" s="99" t="n">
        <x:v>0.1692949685923435</x:v>
      </x:c>
      <x:c r="J452" s="100" t="n">
        <x:v>113.75</x:v>
      </x:c>
      <x:c r="K452" s="100"/>
      <x:c r="L452" s="99" t="n">
        <x:v>0.5598888888888889</x:v>
      </x:c>
      <x:c r="M452" s="99" t="n">
        <x:v>0.6811111111111111</x:v>
      </x:c>
      <x:c r="N452" s="99"/>
      <x:c r="O452" s="99" t="n">
        <x:v>0.32996000000000003</x:v>
      </x:c>
      <x:c r="P452" s="99" t="n">
        <x:v>-0.006884222222222224</x:v>
      </x:c>
      <x:c r="Q452" s="99" t="n">
        <x:v>0.20817944444444444</x:v>
      </x:c>
      <x:c r="R452" s="99" t="n">
        <x:v>0.09065788888888889</x:v>
      </x:c>
      <x:c r="S452" s="45" t="str">
        <x:v>01:25</x:v>
      </x:c>
      <x:c r="T452" s="45" t="str">
        <x:v>01:52</x:v>
      </x:c>
      <x:c r="U452" s="51" t="d">
        <x:v>2026-09-30T00:00:00.000Z</x:v>
      </x:c>
      <x:c r="V452" s="51" t="d">
        <x:v>2026-09-30T00:00:00.000Z</x:v>
      </x:c>
      <x:c r="W452" s="109" t="n">
        <x:v>9</x:v>
      </x:c>
      <x:c r="X452" s="109" t="n">
        <x:v>9</x:v>
      </x:c>
      <x:c r="Y452" s="45" t="str">
        <x:v>sbx-mex/Perfil_Tienda_DM</x:v>
      </x:c>
      <x:c r="Z452" s="45" t="str">
        <x:v>2a6b0d21379739482f0b4c7be9b0f9a022e15f5b</x:v>
      </x:c>
      <x:c r="AA452" s="45" t="str">
        <x:v>8456a41c5e02d454e70a2531577ffb2e29f73e57e44a7762de681d568aa4227a</x:v>
      </x:c>
    </x:row>
    <x:row r="453" ht="23" customHeight="1">
      <x:c r="A453" s="50" t="str">
        <x:v>43155</x:v>
      </x:c>
      <x:c r="B453" s="51" t="d">
        <x:v>2026-09-30T00:00:00.000Z</x:v>
      </x:c>
      <x:c r="C453" s="99" t="n">
        <x:v>0.529412</x:v>
      </x:c>
      <x:c r="D453" s="100" t="n">
        <x:v>5.106954444444444</x:v>
      </x:c>
      <x:c r="E453" s="100" t="n">
        <x:v>12.25142511111111</x:v>
      </x:c>
      <x:c r="F453" s="99" t="n">
        <x:v>0.18856933333333334</x:v>
      </x:c>
      <x:c r="G453" s="99" t="n">
        <x:v>-0.02323744444444444</x:v>
      </x:c>
      <x:c r="H453" s="101" t="n">
        <x:v>10400003</x:v>
      </x:c>
      <x:c r="I453" s="99" t="n">
        <x:v>0.06687884774425856</x:v>
      </x:c>
      <x:c r="J453" s="100" t="n">
        <x:v>51</x:v>
      </x:c>
      <x:c r="K453" s="100"/>
      <x:c r="L453" s="99" t="n">
        <x:v>0.5684444444444444</x:v>
      </x:c>
      <x:c r="M453" s="99" t="n">
        <x:v>0.6955555555555555</x:v>
      </x:c>
      <x:c r="N453" s="99"/>
      <x:c r="O453" s="99" t="n">
        <x:v>0.336602</x:v>
      </x:c>
      <x:c r="P453" s="99" t="n">
        <x:v>-0.005500333333333329</x:v>
      </x:c>
      <x:c r="Q453" s="99" t="n">
        <x:v>0.10311688888888888</x:v>
      </x:c>
      <x:c r="R453" s="99" t="n">
        <x:v>0.03714755555555555</x:v>
      </x:c>
      <x:c r="S453" s="45" t="str">
        <x:v>01:14</x:v>
      </x:c>
      <x:c r="T453" s="45" t="str">
        <x:v>01:27</x:v>
      </x:c>
      <x:c r="U453" s="51" t="d">
        <x:v>2026-09-30T00:00:00.000Z</x:v>
      </x:c>
      <x:c r="V453" s="51" t="d">
        <x:v>2026-09-30T00:00:00.000Z</x:v>
      </x:c>
      <x:c r="W453" s="109" t="n">
        <x:v>9</x:v>
      </x:c>
      <x:c r="X453" s="109" t="n">
        <x:v>9</x:v>
      </x:c>
      <x:c r="Y453" s="45" t="str">
        <x:v>sbx-mex/Perfil_Tienda_DM</x:v>
      </x:c>
      <x:c r="Z453" s="45" t="str">
        <x:v>2a6b0d21379739482f0b4c7be9b0f9a022e15f5b</x:v>
      </x:c>
      <x:c r="AA453" s="45" t="str">
        <x:v>8456a41c5e02d454e70a2531577ffb2e29f73e57e44a7762de681d568aa4227a</x:v>
      </x:c>
    </x:row>
    <x:row r="454" ht="23" customHeight="1">
      <x:c r="A454" s="50" t="str">
        <x:v>43200</x:v>
      </x:c>
      <x:c r="B454" s="51"/>
      <x:c r="C454" s="99"/>
      <x:c r="D454" s="100"/>
      <x:c r="E454" s="100"/>
      <x:c r="F454" s="99"/>
      <x:c r="G454" s="99"/>
      <x:c r="H454" s="101"/>
      <x:c r="I454" s="99"/>
      <x:c r="J454" s="100"/>
      <x:c r="K454" s="100"/>
      <x:c r="L454" s="99"/>
      <x:c r="M454" s="99"/>
      <x:c r="N454" s="99"/>
      <x:c r="O454" s="99"/>
      <x:c r="P454" s="99"/>
      <x:c r="Q454" s="99"/>
      <x:c r="R454" s="99"/>
      <x:c r="S454" s="45"/>
      <x:c r="T454" s="45"/>
      <x:c r="U454" s="51"/>
      <x:c r="V454" s="51"/>
      <x:c r="W454" s="109" t="n">
        <x:v>0</x:v>
      </x:c>
      <x:c r="X454" s="109" t="n">
        <x:v>0</x:v>
      </x:c>
      <x:c r="Y454" s="45"/>
      <x:c r="Z454" s="45"/>
      <x:c r="AA454" s="45"/>
    </x:row>
    <x:row r="455" ht="23" customHeight="1">
      <x:c r="A455" s="50" t="str">
        <x:v>43213</x:v>
      </x:c>
      <x:c r="B455" s="51"/>
      <x:c r="C455" s="99"/>
      <x:c r="D455" s="100"/>
      <x:c r="E455" s="100"/>
      <x:c r="F455" s="99"/>
      <x:c r="G455" s="99"/>
      <x:c r="H455" s="101"/>
      <x:c r="I455" s="99"/>
      <x:c r="J455" s="100"/>
      <x:c r="K455" s="100"/>
      <x:c r="L455" s="99"/>
      <x:c r="M455" s="99"/>
      <x:c r="N455" s="99"/>
      <x:c r="O455" s="99"/>
      <x:c r="P455" s="99"/>
      <x:c r="Q455" s="99"/>
      <x:c r="R455" s="99"/>
      <x:c r="S455" s="45"/>
      <x:c r="T455" s="45"/>
      <x:c r="U455" s="51"/>
      <x:c r="V455" s="51"/>
      <x:c r="W455" s="109" t="n">
        <x:v>0</x:v>
      </x:c>
      <x:c r="X455" s="109" t="n">
        <x:v>0</x:v>
      </x:c>
      <x:c r="Y455" s="45"/>
      <x:c r="Z455" s="45"/>
      <x:c r="AA455" s="45"/>
    </x:row>
    <x:row r="456" ht="23" customHeight="1">
      <x:c r="A456" s="50" t="str">
        <x:v>43220</x:v>
      </x:c>
      <x:c r="B456" s="51" t="d">
        <x:v>2026-09-30T00:00:00.000Z</x:v>
      </x:c>
      <x:c r="C456" s="99" t="n">
        <x:v>0</x:v>
      </x:c>
      <x:c r="D456" s="100"/>
      <x:c r="E456" s="100"/>
      <x:c r="F456" s="99" t="n">
        <x:v>0.1</x:v>
      </x:c>
      <x:c r="G456" s="99"/>
      <x:c r="H456" s="101" t="n">
        <x:v>39128</x:v>
      </x:c>
      <x:c r="I456" s="99"/>
      <x:c r="J456" s="100"/>
      <x:c r="K456" s="100"/>
      <x:c r="L456" s="99" t="n">
        <x:v>1</x:v>
      </x:c>
      <x:c r="M456" s="99" t="n">
        <x:v>1</x:v>
      </x:c>
      <x:c r="N456" s="99"/>
      <x:c r="O456" s="99" t="n">
        <x:v>0.336</x:v>
      </x:c>
      <x:c r="P456" s="99"/>
      <x:c r="Q456" s="99" t="n">
        <x:v>-0.176479</x:v>
      </x:c>
      <x:c r="R456" s="99"/>
      <x:c r="S456" s="45" t="str">
        <x:v>02:16</x:v>
      </x:c>
      <x:c r="T456" s="45"/>
      <x:c r="U456" s="51" t="d">
        <x:v>2026-09-30T00:00:00.000Z</x:v>
      </x:c>
      <x:c r="V456" s="51" t="d">
        <x:v>2026-09-30T00:00:00.000Z</x:v>
      </x:c>
      <x:c r="W456" s="109" t="n">
        <x:v>1</x:v>
      </x:c>
      <x:c r="X456" s="109" t="n">
        <x:v>1</x:v>
      </x:c>
      <x:c r="Y456" s="45" t="str">
        <x:v>sbx-mex/Perfil_Tienda_DM</x:v>
      </x:c>
      <x:c r="Z456" s="45" t="str">
        <x:v>2a6b0d21379739482f0b4c7be9b0f9a022e15f5b</x:v>
      </x:c>
      <x:c r="AA456" s="45" t="str">
        <x:v>8456a41c5e02d454e70a2531577ffb2e29f73e57e44a7762de681d568aa4227a</x:v>
      </x:c>
    </x:row>
    <x:row r="457" ht="23" customHeight="1">
      <x:c r="A457" s="50" t="str">
        <x:v>38245</x:v>
      </x:c>
      <x:c r="B457" s="51" t="d">
        <x:v>2026-09-30T00:00:00.000Z</x:v>
      </x:c>
      <x:c r="C457" s="99" t="n">
        <x:v>0.466019</x:v>
      </x:c>
      <x:c r="D457" s="100" t="n">
        <x:v>7.831790777777779</x:v>
      </x:c>
      <x:c r="E457" s="100" t="n">
        <x:v>16.80652088888889</x:v>
      </x:c>
      <x:c r="F457" s="99" t="n">
        <x:v>0.21282588888888887</x:v>
      </x:c>
      <x:c r="G457" s="99" t="n">
        <x:v>0.027936888888888893</x:v>
      </x:c>
      <x:c r="H457" s="101" t="n">
        <x:v>7868434</x:v>
      </x:c>
      <x:c r="I457" s="99" t="n">
        <x:v>-0.2233951847020148</x:v>
      </x:c>
      <x:c r="J457" s="100" t="n">
        <x:v>-40.44444444444444</x:v>
      </x:c>
      <x:c r="K457" s="100"/>
      <x:c r="L457" s="99" t="n">
        <x:v>0.6011111111111112</x:v>
      </x:c>
      <x:c r="M457" s="99" t="n">
        <x:v>0.71</x:v>
      </x:c>
      <x:c r="N457" s="99"/>
      <x:c r="O457" s="99" t="n">
        <x:v>0.3803332222222222</x:v>
      </x:c>
      <x:c r="P457" s="99" t="n">
        <x:v>0.01752422222222222</x:v>
      </x:c>
      <x:c r="Q457" s="99" t="n">
        <x:v>0.07910311111111111</x:v>
      </x:c>
      <x:c r="R457" s="99" t="n">
        <x:v>-0.0660138888888889</x:v>
      </x:c>
      <x:c r="S457" s="45"/>
      <x:c r="T457" s="45"/>
      <x:c r="U457" s="51" t="d">
        <x:v>2026-09-30T00:00:00.000Z</x:v>
      </x:c>
      <x:c r="V457" s="51" t="d">
        <x:v>2026-09-30T00:00:00.000Z</x:v>
      </x:c>
      <x:c r="W457" s="109" t="n">
        <x:v>9</x:v>
      </x:c>
      <x:c r="X457" s="109" t="n">
        <x:v>9</x:v>
      </x:c>
      <x:c r="Y457" s="45" t="str">
        <x:v>sbx-mex/Perfil_Tienda_DM</x:v>
      </x:c>
      <x:c r="Z457" s="45" t="str">
        <x:v>2a6b0d21379739482f0b4c7be9b0f9a022e15f5b</x:v>
      </x:c>
      <x:c r="AA457" s="45" t="str">
        <x:v>8456a41c5e02d454e70a2531577ffb2e29f73e57e44a7762de681d568aa4227a</x:v>
      </x:c>
    </x:row>
    <x:row r="458" ht="23" customHeight="1">
      <x:c r="A458" s="50" t="str">
        <x:v>38247</x:v>
      </x:c>
      <x:c r="B458" s="51" t="d">
        <x:v>2026-09-30T00:00:00.000Z</x:v>
      </x:c>
      <x:c r="C458" s="99" t="n">
        <x:v>0.347826</x:v>
      </x:c>
      <x:c r="D458" s="100" t="n">
        <x:v>7.191774111111111</x:v>
      </x:c>
      <x:c r="E458" s="100" t="n">
        <x:v>15.358839222222223</x:v>
      </x:c>
      <x:c r="F458" s="99" t="n">
        <x:v>0.16020022222222222</x:v>
      </x:c>
      <x:c r="G458" s="99" t="n">
        <x:v>0.012930777777777782</x:v>
      </x:c>
      <x:c r="H458" s="101" t="n">
        <x:v>14640431</x:v>
      </x:c>
      <x:c r="I458" s="99" t="n">
        <x:v>-0.06614558095043377</x:v>
      </x:c>
      <x:c r="J458" s="100" t="n">
        <x:v>-14.222222222222221</x:v>
      </x:c>
      <x:c r="K458" s="100"/>
      <x:c r="L458" s="99" t="n">
        <x:v>0.4393333333333333</x:v>
      </x:c>
      <x:c r="M458" s="99" t="n">
        <x:v>0.6677777777777778</x:v>
      </x:c>
      <x:c r="N458" s="99"/>
      <x:c r="O458" s="99" t="n">
        <x:v>0.318303</x:v>
      </x:c>
      <x:c r="P458" s="99" t="n">
        <x:v>-0.013810777777777776</x:v>
      </x:c>
      <x:c r="Q458" s="99" t="n">
        <x:v>0.28368177777777775</x:v>
      </x:c>
      <x:c r="R458" s="99" t="n">
        <x:v>0.009327444444444447</x:v>
      </x:c>
      <x:c r="S458" s="45"/>
      <x:c r="T458" s="45"/>
      <x:c r="U458" s="51" t="d">
        <x:v>2026-09-30T00:00:00.000Z</x:v>
      </x:c>
      <x:c r="V458" s="51" t="d">
        <x:v>2026-09-30T00:00:00.000Z</x:v>
      </x:c>
      <x:c r="W458" s="109" t="n">
        <x:v>9</x:v>
      </x:c>
      <x:c r="X458" s="109" t="n">
        <x:v>9</x:v>
      </x:c>
      <x:c r="Y458" s="45" t="str">
        <x:v>sbx-mex/Perfil_Tienda_DM</x:v>
      </x:c>
      <x:c r="Z458" s="45" t="str">
        <x:v>2a6b0d21379739482f0b4c7be9b0f9a022e15f5b</x:v>
      </x:c>
      <x:c r="AA458" s="45" t="str">
        <x:v>8456a41c5e02d454e70a2531577ffb2e29f73e57e44a7762de681d568aa4227a</x:v>
      </x:c>
    </x:row>
    <x:row r="459" ht="23" customHeight="1">
      <x:c r="A459" s="50" t="str">
        <x:v>38251</x:v>
      </x:c>
      <x:c r="B459" s="51" t="d">
        <x:v>2026-09-30T00:00:00.000Z</x:v>
      </x:c>
      <x:c r="C459" s="99" t="n">
        <x:v>0.143713</x:v>
      </x:c>
      <x:c r="D459" s="100" t="n">
        <x:v>6.091317888888889</x:v>
      </x:c>
      <x:c r="E459" s="100" t="n">
        <x:v>13.741704444444444</x:v>
      </x:c>
      <x:c r="F459" s="99" t="n">
        <x:v>0.1808501111111111</x:v>
      </x:c>
      <x:c r="G459" s="99" t="n">
        <x:v>-0.06705677777777778</x:v>
      </x:c>
      <x:c r="H459" s="101" t="n">
        <x:v>14133398</x:v>
      </x:c>
      <x:c r="I459" s="99" t="n">
        <x:v>0.0707198467882062</x:v>
      </x:c>
      <x:c r="J459" s="100" t="n">
        <x:v>-13.88888888888889</x:v>
      </x:c>
      <x:c r="K459" s="100"/>
      <x:c r="L459" s="99" t="n">
        <x:v>0.5601111111111111</x:v>
      </x:c>
      <x:c r="M459" s="99" t="n">
        <x:v>0.6577777777777778</x:v>
      </x:c>
      <x:c r="N459" s="99"/>
      <x:c r="O459" s="99" t="n">
        <x:v>0.3711478888888889</x:v>
      </x:c>
      <x:c r="P459" s="99" t="n">
        <x:v>-0.025138777777777774</x:v>
      </x:c>
      <x:c r="Q459" s="99" t="n">
        <x:v>0.05952188888888889</x:v>
      </x:c>
      <x:c r="R459" s="99" t="n">
        <x:v>0.20797066666666666</x:v>
      </x:c>
      <x:c r="S459" s="45"/>
      <x:c r="T459" s="45"/>
      <x:c r="U459" s="51" t="d">
        <x:v>2026-09-30T00:00:00.000Z</x:v>
      </x:c>
      <x:c r="V459" s="51" t="d">
        <x:v>2026-09-30T00:00:00.000Z</x:v>
      </x:c>
      <x:c r="W459" s="109" t="n">
        <x:v>9</x:v>
      </x:c>
      <x:c r="X459" s="109" t="n">
        <x:v>9</x:v>
      </x:c>
      <x:c r="Y459" s="45" t="str">
        <x:v>sbx-mex/Perfil_Tienda_DM</x:v>
      </x:c>
      <x:c r="Z459" s="45" t="str">
        <x:v>2a6b0d21379739482f0b4c7be9b0f9a022e15f5b</x:v>
      </x:c>
      <x:c r="AA459" s="45" t="str">
        <x:v>8456a41c5e02d454e70a2531577ffb2e29f73e57e44a7762de681d568aa4227a</x:v>
      </x:c>
    </x:row>
    <x:row r="460" ht="23" customHeight="1">
      <x:c r="A460" s="50" t="str">
        <x:v>38453</x:v>
      </x:c>
      <x:c r="B460" s="51" t="d">
        <x:v>2026-09-30T00:00:00.000Z</x:v>
      </x:c>
      <x:c r="C460" s="99" t="n">
        <x:v>0.20339</x:v>
      </x:c>
      <x:c r="D460" s="100" t="n">
        <x:v>6.636822888888889</x:v>
      </x:c>
      <x:c r="E460" s="100" t="n">
        <x:v>14.950424111111111</x:v>
      </x:c>
      <x:c r="F460" s="99" t="n">
        <x:v>0.19551933333333332</x:v>
      </x:c>
      <x:c r="G460" s="99" t="n">
        <x:v>0.02088577777777777</x:v>
      </x:c>
      <x:c r="H460" s="101" t="n">
        <x:v>9414075</x:v>
      </x:c>
      <x:c r="I460" s="99" t="n">
        <x:v>-0.09913817377317768</x:v>
      </x:c>
      <x:c r="J460" s="100" t="n">
        <x:v>-8.88888888888889</x:v>
      </x:c>
      <x:c r="K460" s="100"/>
      <x:c r="L460" s="99" t="n">
        <x:v>0.614</x:v>
      </x:c>
      <x:c r="M460" s="99" t="n">
        <x:v>0.75</x:v>
      </x:c>
      <x:c r="N460" s="99"/>
      <x:c r="O460" s="99" t="n">
        <x:v>0.39096444444444445</x:v>
      </x:c>
      <x:c r="P460" s="99" t="n">
        <x:v>0.03550533333333333</x:v>
      </x:c>
      <x:c r="Q460" s="99" t="n">
        <x:v>0.10601322222222223</x:v>
      </x:c>
      <x:c r="R460" s="99" t="n">
        <x:v>-0.08231933333333334</x:v>
      </x:c>
      <x:c r="S460" s="45"/>
      <x:c r="T460" s="45"/>
      <x:c r="U460" s="51" t="d">
        <x:v>2026-09-30T00:00:00.000Z</x:v>
      </x:c>
      <x:c r="V460" s="51" t="d">
        <x:v>2026-09-30T00:00:00.000Z</x:v>
      </x:c>
      <x:c r="W460" s="109" t="n">
        <x:v>9</x:v>
      </x:c>
      <x:c r="X460" s="109" t="n">
        <x:v>9</x:v>
      </x:c>
      <x:c r="Y460" s="45" t="str">
        <x:v>sbx-mex/Perfil_Tienda_DM</x:v>
      </x:c>
      <x:c r="Z460" s="45" t="str">
        <x:v>2a6b0d21379739482f0b4c7be9b0f9a022e15f5b</x:v>
      </x:c>
      <x:c r="AA460" s="45" t="str">
        <x:v>8456a41c5e02d454e70a2531577ffb2e29f73e57e44a7762de681d568aa4227a</x:v>
      </x:c>
    </x:row>
    <x:row r="461" ht="23" customHeight="1">
      <x:c r="A461" s="50" t="str">
        <x:v>38552</x:v>
      </x:c>
      <x:c r="B461" s="51" t="d">
        <x:v>2026-09-30T00:00:00.000Z</x:v>
      </x:c>
      <x:c r="C461" s="99" t="n">
        <x:v>0.870968</x:v>
      </x:c>
      <x:c r="D461" s="100" t="n">
        <x:v>7.592090111111111</x:v>
      </x:c>
      <x:c r="E461" s="100" t="n">
        <x:v>15.915944444444445</x:v>
      </x:c>
      <x:c r="F461" s="99" t="n">
        <x:v>0.17298433333333332</x:v>
      </x:c>
      <x:c r="G461" s="99" t="n">
        <x:v>0.010394555555555558</x:v>
      </x:c>
      <x:c r="H461" s="101" t="n">
        <x:v>11504613</x:v>
      </x:c>
      <x:c r="I461" s="99" t="n">
        <x:v>-0.07780909514116818</x:v>
      </x:c>
      <x:c r="J461" s="100" t="n">
        <x:v>-14.222222222222221</x:v>
      </x:c>
      <x:c r="K461" s="100"/>
      <x:c r="L461" s="99" t="n">
        <x:v>0.48344444444444445</x:v>
      </x:c>
      <x:c r="M461" s="99" t="n">
        <x:v>0.6177777777777779</x:v>
      </x:c>
      <x:c r="N461" s="99"/>
      <x:c r="O461" s="99" t="n">
        <x:v>0.3499021111111111</x:v>
      </x:c>
      <x:c r="P461" s="99" t="n">
        <x:v>-0.017478333333333325</x:v>
      </x:c>
      <x:c r="Q461" s="99" t="n">
        <x:v>0.19399866666666668</x:v>
      </x:c>
      <x:c r="R461" s="99" t="n">
        <x:v>0.004542111111111114</x:v>
      </x:c>
      <x:c r="S461" s="45"/>
      <x:c r="T461" s="45"/>
      <x:c r="U461" s="51" t="d">
        <x:v>2026-09-30T00:00:00.000Z</x:v>
      </x:c>
      <x:c r="V461" s="51" t="d">
        <x:v>2026-09-30T00:00:00.000Z</x:v>
      </x:c>
      <x:c r="W461" s="109" t="n">
        <x:v>9</x:v>
      </x:c>
      <x:c r="X461" s="109" t="n">
        <x:v>9</x:v>
      </x:c>
      <x:c r="Y461" s="45" t="str">
        <x:v>sbx-mex/Perfil_Tienda_DM</x:v>
      </x:c>
      <x:c r="Z461" s="45" t="str">
        <x:v>2a6b0d21379739482f0b4c7be9b0f9a022e15f5b</x:v>
      </x:c>
      <x:c r="AA461" s="45" t="str">
        <x:v>8456a41c5e02d454e70a2531577ffb2e29f73e57e44a7762de681d568aa4227a</x:v>
      </x:c>
    </x:row>
    <x:row r="462" ht="23" customHeight="1">
      <x:c r="A462" s="50" t="str">
        <x:v>38673</x:v>
      </x:c>
      <x:c r="B462" s="51" t="d">
        <x:v>2026-09-30T00:00:00.000Z</x:v>
      </x:c>
      <x:c r="C462" s="99" t="n">
        <x:v>0.208696</x:v>
      </x:c>
      <x:c r="D462" s="100" t="n">
        <x:v>6.005390444444444</x:v>
      </x:c>
      <x:c r="E462" s="100" t="n">
        <x:v>13.617462777777778</x:v>
      </x:c>
      <x:c r="F462" s="99" t="n">
        <x:v>0.19514133333333333</x:v>
      </x:c>
      <x:c r="G462" s="99" t="n">
        <x:v>0.01608088888888888</x:v>
      </x:c>
      <x:c r="H462" s="101" t="n">
        <x:v>9592121</x:v>
      </x:c>
      <x:c r="I462" s="99" t="n">
        <x:v>-0.14748999281237896</x:v>
      </x:c>
      <x:c r="J462" s="100" t="n">
        <x:v>-14.11111111111111</x:v>
      </x:c>
      <x:c r="K462" s="100"/>
      <x:c r="L462" s="99" t="n">
        <x:v>0.5542222222222223</x:v>
      </x:c>
      <x:c r="M462" s="99" t="n">
        <x:v>0.6244444444444445</x:v>
      </x:c>
      <x:c r="N462" s="99"/>
      <x:c r="O462" s="99" t="n">
        <x:v>0.3709283333333333</x:v>
      </x:c>
      <x:c r="P462" s="99" t="n">
        <x:v>-0.000977222222222222</x:v>
      </x:c>
      <x:c r="Q462" s="99" t="n">
        <x:v>0.14377944444444443</x:v>
      </x:c>
      <x:c r="R462" s="99" t="n">
        <x:v>-0.03859</x:v>
      </x:c>
      <x:c r="S462" s="45"/>
      <x:c r="T462" s="45"/>
      <x:c r="U462" s="51" t="d">
        <x:v>2026-09-30T00:00:00.000Z</x:v>
      </x:c>
      <x:c r="V462" s="51" t="d">
        <x:v>2026-09-30T00:00:00.000Z</x:v>
      </x:c>
      <x:c r="W462" s="109" t="n">
        <x:v>9</x:v>
      </x:c>
      <x:c r="X462" s="109" t="n">
        <x:v>9</x:v>
      </x:c>
      <x:c r="Y462" s="45" t="str">
        <x:v>sbx-mex/Perfil_Tienda_DM</x:v>
      </x:c>
      <x:c r="Z462" s="45" t="str">
        <x:v>2a6b0d21379739482f0b4c7be9b0f9a022e15f5b</x:v>
      </x:c>
      <x:c r="AA462" s="45" t="str">
        <x:v>8456a41c5e02d454e70a2531577ffb2e29f73e57e44a7762de681d568aa4227a</x:v>
      </x:c>
    </x:row>
    <x:row r="463" ht="23" customHeight="1">
      <x:c r="A463" s="50" t="str">
        <x:v>38884</x:v>
      </x:c>
      <x:c r="B463" s="51" t="d">
        <x:v>2026-09-30T00:00:00.000Z</x:v>
      </x:c>
      <x:c r="C463" s="99" t="n">
        <x:v>0.243655</x:v>
      </x:c>
      <x:c r="D463" s="100" t="n">
        <x:v>6.739211</x:v>
      </x:c>
      <x:c r="E463" s="100" t="n">
        <x:v>14.514156000000002</x:v>
      </x:c>
      <x:c r="F463" s="99" t="n">
        <x:v>0.16335788888888889</x:v>
      </x:c>
      <x:c r="G463" s="99" t="n">
        <x:v>0.00912555555555556</x:v>
      </x:c>
      <x:c r="H463" s="101" t="n">
        <x:v>19118001</x:v>
      </x:c>
      <x:c r="I463" s="99" t="n">
        <x:v>-0.023933848405085723</x:v>
      </x:c>
      <x:c r="J463" s="100" t="n">
        <x:v>28.88888888888889</x:v>
      </x:c>
      <x:c r="K463" s="100"/>
      <x:c r="L463" s="99" t="n">
        <x:v>0.5011111111111111</x:v>
      </x:c>
      <x:c r="M463" s="99" t="n">
        <x:v>0.6722222222222222</x:v>
      </x:c>
      <x:c r="N463" s="99"/>
      <x:c r="O463" s="99" t="n">
        <x:v>0.330066</x:v>
      </x:c>
      <x:c r="P463" s="99" t="n">
        <x:v>-0.01845911111111111</x:v>
      </x:c>
      <x:c r="Q463" s="99" t="n">
        <x:v>0.28099966666666665</x:v>
      </x:c>
      <x:c r="R463" s="99" t="n">
        <x:v>0.007975888888888893</x:v>
      </x:c>
      <x:c r="S463" s="45" t="str">
        <x:v>01:17</x:v>
      </x:c>
      <x:c r="T463" s="45" t="str">
        <x:v>01:34</x:v>
      </x:c>
      <x:c r="U463" s="51" t="d">
        <x:v>2026-09-30T00:00:00.000Z</x:v>
      </x:c>
      <x:c r="V463" s="51" t="d">
        <x:v>2026-09-30T00:00:00.000Z</x:v>
      </x:c>
      <x:c r="W463" s="109" t="n">
        <x:v>9</x:v>
      </x:c>
      <x:c r="X463" s="109" t="n">
        <x:v>9</x:v>
      </x:c>
      <x:c r="Y463" s="45" t="str">
        <x:v>sbx-mex/Perfil_Tienda_DM</x:v>
      </x:c>
      <x:c r="Z463" s="45" t="str">
        <x:v>2a6b0d21379739482f0b4c7be9b0f9a022e15f5b</x:v>
      </x:c>
      <x:c r="AA463" s="45" t="str">
        <x:v>8456a41c5e02d454e70a2531577ffb2e29f73e57e44a7762de681d568aa4227a</x:v>
      </x:c>
    </x:row>
    <x:row r="464" ht="23" customHeight="1">
      <x:c r="A464" s="50" t="str">
        <x:v>38904</x:v>
      </x:c>
      <x:c r="B464" s="51" t="d">
        <x:v>2026-09-30T00:00:00.000Z</x:v>
      </x:c>
      <x:c r="C464" s="99" t="n">
        <x:v>0.301887</x:v>
      </x:c>
      <x:c r="D464" s="100" t="n">
        <x:v>5.992616444444445</x:v>
      </x:c>
      <x:c r="E464" s="100" t="n">
        <x:v>12.528165333333334</x:v>
      </x:c>
      <x:c r="F464" s="99" t="n">
        <x:v>0.19711044444444445</x:v>
      </x:c>
      <x:c r="G464" s="99" t="n">
        <x:v>0.015813222222222218</x:v>
      </x:c>
      <x:c r="H464" s="101" t="n">
        <x:v>12174993</x:v>
      </x:c>
      <x:c r="I464" s="99" t="n">
        <x:v>-0.09146134976080811</x:v>
      </x:c>
      <x:c r="J464" s="100" t="n">
        <x:v>-11.444444444444445</x:v>
      </x:c>
      <x:c r="K464" s="100"/>
      <x:c r="L464" s="99" t="n">
        <x:v>0.4896666666666667</x:v>
      </x:c>
      <x:c r="M464" s="99" t="n">
        <x:v>0.6811111111111111</x:v>
      </x:c>
      <x:c r="N464" s="99"/>
      <x:c r="O464" s="99" t="n">
        <x:v>0.36313844444444443</x:v>
      </x:c>
      <x:c r="P464" s="99" t="n">
        <x:v>0.046500555555555566</x:v>
      </x:c>
      <x:c r="Q464" s="99" t="n">
        <x:v>0.1844633333333333</x:v>
      </x:c>
      <x:c r="R464" s="99" t="n">
        <x:v>-0.07411666666666666</x:v>
      </x:c>
      <x:c r="S464" s="45"/>
      <x:c r="T464" s="45"/>
      <x:c r="U464" s="51" t="d">
        <x:v>2026-09-30T00:00:00.000Z</x:v>
      </x:c>
      <x:c r="V464" s="51" t="d">
        <x:v>2026-09-30T00:00:00.000Z</x:v>
      </x:c>
      <x:c r="W464" s="109" t="n">
        <x:v>9</x:v>
      </x:c>
      <x:c r="X464" s="109" t="n">
        <x:v>9</x:v>
      </x:c>
      <x:c r="Y464" s="45" t="str">
        <x:v>sbx-mex/Perfil_Tienda_DM</x:v>
      </x:c>
      <x:c r="Z464" s="45" t="str">
        <x:v>2a6b0d21379739482f0b4c7be9b0f9a022e15f5b</x:v>
      </x:c>
      <x:c r="AA464" s="45" t="str">
        <x:v>8456a41c5e02d454e70a2531577ffb2e29f73e57e44a7762de681d568aa4227a</x:v>
      </x:c>
    </x:row>
    <x:row r="465" ht="23" customHeight="1">
      <x:c r="A465" s="50" t="str">
        <x:v>38940</x:v>
      </x:c>
      <x:c r="B465" s="51"/>
      <x:c r="C465" s="99"/>
      <x:c r="D465" s="100"/>
      <x:c r="E465" s="100"/>
      <x:c r="F465" s="99"/>
      <x:c r="G465" s="99"/>
      <x:c r="H465" s="101"/>
      <x:c r="I465" s="99"/>
      <x:c r="J465" s="100"/>
      <x:c r="K465" s="100"/>
      <x:c r="L465" s="99"/>
      <x:c r="M465" s="99"/>
      <x:c r="N465" s="99"/>
      <x:c r="O465" s="99"/>
      <x:c r="P465" s="99"/>
      <x:c r="Q465" s="99"/>
      <x:c r="R465" s="99"/>
      <x:c r="S465" s="45"/>
      <x:c r="T465" s="45"/>
      <x:c r="U465" s="51"/>
      <x:c r="V465" s="51"/>
      <x:c r="W465" s="109" t="n">
        <x:v>0</x:v>
      </x:c>
      <x:c r="X465" s="109" t="n">
        <x:v>0</x:v>
      </x:c>
      <x:c r="Y465" s="45"/>
      <x:c r="Z465" s="45"/>
      <x:c r="AA465" s="45"/>
    </x:row>
    <x:row r="466" ht="23" customHeight="1">
      <x:c r="A466" s="50" t="str">
        <x:v>43027</x:v>
      </x:c>
      <x:c r="B466" s="51" t="d">
        <x:v>2026-09-30T00:00:00.000Z</x:v>
      </x:c>
      <x:c r="C466" s="99" t="n">
        <x:v>0.346821</x:v>
      </x:c>
      <x:c r="D466" s="100" t="n">
        <x:v>6.217459555555555</x:v>
      </x:c>
      <x:c r="E466" s="100" t="n">
        <x:v>13.507263111111111</x:v>
      </x:c>
      <x:c r="F466" s="99" t="n">
        <x:v>0.1771437777777778</x:v>
      </x:c>
      <x:c r="G466" s="99" t="n">
        <x:v>0.000020666666666665748</x:v>
      </x:c>
      <x:c r="H466" s="101" t="n">
        <x:v>15861801</x:v>
      </x:c>
      <x:c r="I466" s="99" t="n">
        <x:v>0.11694682502522724</x:v>
      </x:c>
      <x:c r="J466" s="100" t="n">
        <x:v>55.666666666666664</x:v>
      </x:c>
      <x:c r="K466" s="100"/>
      <x:c r="L466" s="99" t="n">
        <x:v>0.5740000000000001</x:v>
      </x:c>
      <x:c r="M466" s="99" t="n">
        <x:v>0.6633333333333333</x:v>
      </x:c>
      <x:c r="N466" s="99"/>
      <x:c r="O466" s="99" t="n">
        <x:v>0.33131577777777776</x:v>
      </x:c>
      <x:c r="P466" s="99" t="n">
        <x:v>-0.017288333333333326</x:v>
      </x:c>
      <x:c r="Q466" s="99" t="n">
        <x:v>0.2524178888888889</x:v>
      </x:c>
      <x:c r="R466" s="99" t="n">
        <x:v>0.025936666666666674</x:v>
      </x:c>
      <x:c r="S466" s="45" t="str">
        <x:v>01:16</x:v>
      </x:c>
      <x:c r="T466" s="45" t="str">
        <x:v>01:20</x:v>
      </x:c>
      <x:c r="U466" s="51" t="d">
        <x:v>2026-09-30T00:00:00.000Z</x:v>
      </x:c>
      <x:c r="V466" s="51" t="d">
        <x:v>2026-09-30T00:00:00.000Z</x:v>
      </x:c>
      <x:c r="W466" s="109" t="n">
        <x:v>9</x:v>
      </x:c>
      <x:c r="X466" s="109" t="n">
        <x:v>9</x:v>
      </x:c>
      <x:c r="Y466" s="45" t="str">
        <x:v>sbx-mex/Perfil_Tienda_DM</x:v>
      </x:c>
      <x:c r="Z466" s="45" t="str">
        <x:v>2a6b0d21379739482f0b4c7be9b0f9a022e15f5b</x:v>
      </x:c>
      <x:c r="AA466" s="45" t="str">
        <x:v>8456a41c5e02d454e70a2531577ffb2e29f73e57e44a7762de681d568aa4227a</x:v>
      </x:c>
    </x:row>
    <x:row r="467" ht="23" customHeight="1">
      <x:c r="A467" s="50" t="str">
        <x:v>43032</x:v>
      </x:c>
      <x:c r="B467" s="51" t="d">
        <x:v>2026-09-30T00:00:00.000Z</x:v>
      </x:c>
      <x:c r="C467" s="99" t="n">
        <x:v>0.428571</x:v>
      </x:c>
      <x:c r="D467" s="100" t="n">
        <x:v>7.434673777777778</x:v>
      </x:c>
      <x:c r="E467" s="100" t="n">
        <x:v>17.311659888888887</x:v>
      </x:c>
      <x:c r="F467" s="99" t="n">
        <x:v>0.1541851111111111</x:v>
      </x:c>
      <x:c r="G467" s="99" t="n">
        <x:v>-0.03268111111111111</x:v>
      </x:c>
      <x:c r="H467" s="101" t="n">
        <x:v>11890881</x:v>
      </x:c>
      <x:c r="I467" s="99" t="n">
        <x:v>0.1863399281340583</x:v>
      </x:c>
      <x:c r="J467" s="100" t="n">
        <x:v>66.66666666666667</x:v>
      </x:c>
      <x:c r="K467" s="100"/>
      <x:c r="L467" s="99" t="n">
        <x:v>0.5336666666666666</x:v>
      </x:c>
      <x:c r="M467" s="99" t="n">
        <x:v>0.73</x:v>
      </x:c>
      <x:c r="N467" s="99"/>
      <x:c r="O467" s="99" t="n">
        <x:v>0.350953</x:v>
      </x:c>
      <x:c r="P467" s="99" t="n">
        <x:v>-0.009608333333333318</x:v>
      </x:c>
      <x:c r="Q467" s="99" t="n">
        <x:v>0.18818855555555555</x:v>
      </x:c>
      <x:c r="R467" s="99" t="n">
        <x:v>0.034445555555555556</x:v>
      </x:c>
      <x:c r="S467" s="45"/>
      <x:c r="T467" s="45"/>
      <x:c r="U467" s="51" t="d">
        <x:v>2026-09-30T00:00:00.000Z</x:v>
      </x:c>
      <x:c r="V467" s="51" t="d">
        <x:v>2026-09-30T00:00:00.000Z</x:v>
      </x:c>
      <x:c r="W467" s="109" t="n">
        <x:v>9</x:v>
      </x:c>
      <x:c r="X467" s="109" t="n">
        <x:v>9</x:v>
      </x:c>
      <x:c r="Y467" s="45" t="str">
        <x:v>sbx-mex/Perfil_Tienda_DM</x:v>
      </x:c>
      <x:c r="Z467" s="45" t="str">
        <x:v>2a6b0d21379739482f0b4c7be9b0f9a022e15f5b</x:v>
      </x:c>
      <x:c r="AA467" s="45" t="str">
        <x:v>8456a41c5e02d454e70a2531577ffb2e29f73e57e44a7762de681d568aa4227a</x:v>
      </x:c>
    </x:row>
    <x:row r="468" ht="23" customHeight="1">
      <x:c r="A468" s="50" t="str">
        <x:v>43089</x:v>
      </x:c>
      <x:c r="B468" s="51" t="d">
        <x:v>2026-09-30T00:00:00.000Z</x:v>
      </x:c>
      <x:c r="C468" s="99" t="n">
        <x:v>0.154839</x:v>
      </x:c>
      <x:c r="D468" s="100" t="n">
        <x:v>6.173615888888889</x:v>
      </x:c>
      <x:c r="E468" s="100" t="n">
        <x:v>13.838378666666665</x:v>
      </x:c>
      <x:c r="F468" s="99" t="n">
        <x:v>0.16728266666666666</x:v>
      </x:c>
      <x:c r="G468" s="99" t="n">
        <x:v>-0.00980955555555556</x:v>
      </x:c>
      <x:c r="H468" s="101" t="n">
        <x:v>14668901</x:v>
      </x:c>
      <x:c r="I468" s="99" t="n">
        <x:v>0.1271508185775414</x:v>
      </x:c>
      <x:c r="J468" s="100" t="n">
        <x:v>53.77777777777778</x:v>
      </x:c>
      <x:c r="K468" s="100"/>
      <x:c r="L468" s="99" t="n">
        <x:v>0.6208888888888889</x:v>
      </x:c>
      <x:c r="M468" s="99" t="n">
        <x:v>0.73</x:v>
      </x:c>
      <x:c r="N468" s="99"/>
      <x:c r="O468" s="99" t="n">
        <x:v>0.3557838888888889</x:v>
      </x:c>
      <x:c r="P468" s="99" t="n">
        <x:v>0.01386733333333333</x:v>
      </x:c>
      <x:c r="Q468" s="99" t="n">
        <x:v>0.1886841111111111</x:v>
      </x:c>
      <x:c r="R468" s="99" t="n">
        <x:v>-0.011117888888888892</x:v>
      </x:c>
      <x:c r="S468" s="45" t="str">
        <x:v>01:16</x:v>
      </x:c>
      <x:c r="T468" s="45" t="str">
        <x:v>01:33</x:v>
      </x:c>
      <x:c r="U468" s="51" t="d">
        <x:v>2026-09-30T00:00:00.000Z</x:v>
      </x:c>
      <x:c r="V468" s="51" t="d">
        <x:v>2026-09-30T00:00:00.000Z</x:v>
      </x:c>
      <x:c r="W468" s="109" t="n">
        <x:v>9</x:v>
      </x:c>
      <x:c r="X468" s="109" t="n">
        <x:v>9</x:v>
      </x:c>
      <x:c r="Y468" s="45" t="str">
        <x:v>sbx-mex/Perfil_Tienda_DM</x:v>
      </x:c>
      <x:c r="Z468" s="45" t="str">
        <x:v>2a6b0d21379739482f0b4c7be9b0f9a022e15f5b</x:v>
      </x:c>
      <x:c r="AA468" s="45" t="str">
        <x:v>8456a41c5e02d454e70a2531577ffb2e29f73e57e44a7762de681d568aa4227a</x:v>
      </x:c>
    </x:row>
    <x:row r="469" ht="23" customHeight="1">
      <x:c r="A469" s="50" t="str">
        <x:v>43215</x:v>
      </x:c>
      <x:c r="B469" s="51" t="d">
        <x:v>2026-09-30T00:00:00.000Z</x:v>
      </x:c>
      <x:c r="C469" s="99" t="n">
        <x:v>0.6</x:v>
      </x:c>
      <x:c r="D469" s="100"/>
      <x:c r="E469" s="100"/>
      <x:c r="F469" s="99" t="n">
        <x:v>0.1</x:v>
      </x:c>
      <x:c r="G469" s="99"/>
      <x:c r="H469" s="101" t="n">
        <x:v>1038</x:v>
      </x:c>
      <x:c r="I469" s="99"/>
      <x:c r="J469" s="100"/>
      <x:c r="K469" s="100"/>
      <x:c r="L469" s="99"/>
      <x:c r="M469" s="99"/>
      <x:c r="N469" s="99"/>
      <x:c r="O469" s="99" t="n">
        <x:v>0.336</x:v>
      </x:c>
      <x:c r="P469" s="99"/>
      <x:c r="Q469" s="99" t="n">
        <x:v>-0.506645</x:v>
      </x:c>
      <x:c r="R469" s="99"/>
      <x:c r="S469" s="45" t="str">
        <x:v>01:43</x:v>
      </x:c>
      <x:c r="T469" s="45"/>
      <x:c r="U469" s="51" t="d">
        <x:v>2026-09-30T00:00:00.000Z</x:v>
      </x:c>
      <x:c r="V469" s="51" t="d">
        <x:v>2026-09-30T00:00:00.000Z</x:v>
      </x:c>
      <x:c r="W469" s="109" t="n">
        <x:v>1</x:v>
      </x:c>
      <x:c r="X469" s="109" t="n">
        <x:v>1</x:v>
      </x:c>
      <x:c r="Y469" s="45" t="str">
        <x:v>sbx-mex/Perfil_Tienda_DM</x:v>
      </x:c>
      <x:c r="Z469" s="45" t="str">
        <x:v>2a6b0d21379739482f0b4c7be9b0f9a022e15f5b</x:v>
      </x:c>
      <x:c r="AA469" s="45" t="str">
        <x:v>8456a41c5e02d454e70a2531577ffb2e29f73e57e44a7762de681d568aa4227a</x:v>
      </x:c>
    </x:row>
    <x:row r="470" ht="23" customHeight="1">
      <x:c r="A470" s="50" t="str">
        <x:v>38250</x:v>
      </x:c>
      <x:c r="B470" s="51" t="d">
        <x:v>2026-09-30T00:00:00.000Z</x:v>
      </x:c>
      <x:c r="C470" s="99" t="n">
        <x:v>0.526316</x:v>
      </x:c>
      <x:c r="D470" s="100" t="n">
        <x:v>6.411627888888889</x:v>
      </x:c>
      <x:c r="E470" s="100" t="n">
        <x:v>14.506825222222224</x:v>
      </x:c>
      <x:c r="F470" s="99" t="n">
        <x:v>0.15542466666666666</x:v>
      </x:c>
      <x:c r="G470" s="99" t="n">
        <x:v>-0.001379777777777776</x:v>
      </x:c>
      <x:c r="H470" s="101" t="n">
        <x:v>11736693</x:v>
      </x:c>
      <x:c r="I470" s="99" t="n">
        <x:v>-0.0909693098618728</x:v>
      </x:c>
      <x:c r="J470" s="100" t="n">
        <x:v>-31.555555555555557</x:v>
      </x:c>
      <x:c r="K470" s="100"/>
      <x:c r="L470" s="99" t="n">
        <x:v>0.6104444444444445</x:v>
      </x:c>
      <x:c r="M470" s="99" t="n">
        <x:v>0.7222222222222222</x:v>
      </x:c>
      <x:c r="N470" s="99"/>
      <x:c r="O470" s="99" t="n">
        <x:v>0.3158497777777778</x:v>
      </x:c>
      <x:c r="P470" s="99" t="n">
        <x:v>-0.04320288888888889</x:v>
      </x:c>
      <x:c r="Q470" s="99" t="n">
        <x:v>0.26883955555555555</x:v>
      </x:c>
      <x:c r="R470" s="99" t="n">
        <x:v>0.04331311111111112</x:v>
      </x:c>
      <x:c r="S470" s="45"/>
      <x:c r="T470" s="45"/>
      <x:c r="U470" s="51" t="d">
        <x:v>2026-09-30T00:00:00.000Z</x:v>
      </x:c>
      <x:c r="V470" s="51" t="d">
        <x:v>2026-09-30T00:00:00.000Z</x:v>
      </x:c>
      <x:c r="W470" s="109" t="n">
        <x:v>9</x:v>
      </x:c>
      <x:c r="X470" s="109" t="n">
        <x:v>9</x:v>
      </x:c>
      <x:c r="Y470" s="45" t="str">
        <x:v>sbx-mex/Perfil_Tienda_DM</x:v>
      </x:c>
      <x:c r="Z470" s="45" t="str">
        <x:v>2a6b0d21379739482f0b4c7be9b0f9a022e15f5b</x:v>
      </x:c>
      <x:c r="AA470" s="45" t="str">
        <x:v>8456a41c5e02d454e70a2531577ffb2e29f73e57e44a7762de681d568aa4227a</x:v>
      </x:c>
    </x:row>
    <x:row r="471" ht="23" customHeight="1">
      <x:c r="A471" s="50" t="str">
        <x:v>38295</x:v>
      </x:c>
      <x:c r="B471" s="51" t="d">
        <x:v>2026-09-30T00:00:00.000Z</x:v>
      </x:c>
      <x:c r="C471" s="99" t="n">
        <x:v>0.469274</x:v>
      </x:c>
      <x:c r="D471" s="100" t="n">
        <x:v>6.467579777777778</x:v>
      </x:c>
      <x:c r="E471" s="100" t="n">
        <x:v>14.114658333333333</x:v>
      </x:c>
      <x:c r="F471" s="99" t="n">
        <x:v>0.16458322222222221</x:v>
      </x:c>
      <x:c r="G471" s="99" t="n">
        <x:v>0.003888777777777775</x:v>
      </x:c>
      <x:c r="H471" s="101" t="n">
        <x:v>15590614</x:v>
      </x:c>
      <x:c r="I471" s="99" t="n">
        <x:v>-0.11050080341321467</x:v>
      </x:c>
      <x:c r="J471" s="100" t="n">
        <x:v>-49.55555555555556</x:v>
      </x:c>
      <x:c r="K471" s="100"/>
      <x:c r="L471" s="99" t="n">
        <x:v>0.6284444444444444</x:v>
      </x:c>
      <x:c r="M471" s="99" t="n">
        <x:v>0.68</x:v>
      </x:c>
      <x:c r="N471" s="99"/>
      <x:c r="O471" s="99" t="n">
        <x:v>0.3575591111111111</x:v>
      </x:c>
      <x:c r="P471" s="99" t="n">
        <x:v>-0.017656222222222222</x:v>
      </x:c>
      <x:c r="Q471" s="99" t="n">
        <x:v>0.2212093333333333</x:v>
      </x:c>
      <x:c r="R471" s="99" t="n">
        <x:v>-0.009852555555555555</x:v>
      </x:c>
      <x:c r="S471" s="45"/>
      <x:c r="T471" s="45"/>
      <x:c r="U471" s="51" t="d">
        <x:v>2026-09-30T00:00:00.000Z</x:v>
      </x:c>
      <x:c r="V471" s="51" t="d">
        <x:v>2026-09-30T00:00:00.000Z</x:v>
      </x:c>
      <x:c r="W471" s="109" t="n">
        <x:v>9</x:v>
      </x:c>
      <x:c r="X471" s="109" t="n">
        <x:v>9</x:v>
      </x:c>
      <x:c r="Y471" s="45" t="str">
        <x:v>sbx-mex/Perfil_Tienda_DM</x:v>
      </x:c>
      <x:c r="Z471" s="45" t="str">
        <x:v>2a6b0d21379739482f0b4c7be9b0f9a022e15f5b</x:v>
      </x:c>
      <x:c r="AA471" s="45" t="str">
        <x:v>8456a41c5e02d454e70a2531577ffb2e29f73e57e44a7762de681d568aa4227a</x:v>
      </x:c>
    </x:row>
    <x:row r="472" ht="23" customHeight="1">
      <x:c r="A472" s="50" t="str">
        <x:v>38467</x:v>
      </x:c>
      <x:c r="B472" s="51" t="d">
        <x:v>2026-09-30T00:00:00.000Z</x:v>
      </x:c>
      <x:c r="C472" s="99" t="n">
        <x:v>0.327273</x:v>
      </x:c>
      <x:c r="D472" s="100" t="n">
        <x:v>6.094237111111111</x:v>
      </x:c>
      <x:c r="E472" s="100" t="n">
        <x:v>12.869892111111112</x:v>
      </x:c>
      <x:c r="F472" s="99" t="n">
        <x:v>0.17418877777777778</x:v>
      </x:c>
      <x:c r="G472" s="99" t="n">
        <x:v>-0.07764766666666667</x:v>
      </x:c>
      <x:c r="H472" s="101" t="n">
        <x:v>9622094</x:v>
      </x:c>
      <x:c r="I472" s="99" t="n">
        <x:v>0.04860904409926281</x:v>
      </x:c>
      <x:c r="J472" s="100" t="n">
        <x:v>-12</x:v>
      </x:c>
      <x:c r="K472" s="100"/>
      <x:c r="L472" s="99" t="n">
        <x:v>0.5678888888888889</x:v>
      </x:c>
      <x:c r="M472" s="99" t="n">
        <x:v>0.7422222222222222</x:v>
      </x:c>
      <x:c r="N472" s="99"/>
      <x:c r="O472" s="99" t="n">
        <x:v>0.37961</x:v>
      </x:c>
      <x:c r="P472" s="99" t="n">
        <x:v>-0.002394666666666662</x:v>
      </x:c>
      <x:c r="Q472" s="99" t="n">
        <x:v>0.138156</x:v>
      </x:c>
      <x:c r="R472" s="99" t="n">
        <x:v>0.15342833333333333</x:v>
      </x:c>
      <x:c r="S472" s="45"/>
      <x:c r="T472" s="45"/>
      <x:c r="U472" s="51" t="d">
        <x:v>2026-09-30T00:00:00.000Z</x:v>
      </x:c>
      <x:c r="V472" s="51" t="d">
        <x:v>2026-09-30T00:00:00.000Z</x:v>
      </x:c>
      <x:c r="W472" s="109" t="n">
        <x:v>9</x:v>
      </x:c>
      <x:c r="X472" s="109" t="n">
        <x:v>9</x:v>
      </x:c>
      <x:c r="Y472" s="45" t="str">
        <x:v>sbx-mex/Perfil_Tienda_DM</x:v>
      </x:c>
      <x:c r="Z472" s="45" t="str">
        <x:v>2a6b0d21379739482f0b4c7be9b0f9a022e15f5b</x:v>
      </x:c>
      <x:c r="AA472" s="45" t="str">
        <x:v>8456a41c5e02d454e70a2531577ffb2e29f73e57e44a7762de681d568aa4227a</x:v>
      </x:c>
    </x:row>
    <x:row r="473" ht="23" customHeight="1">
      <x:c r="A473" s="50" t="str">
        <x:v>38728</x:v>
      </x:c>
      <x:c r="B473" s="51" t="d">
        <x:v>2026-09-30T00:00:00.000Z</x:v>
      </x:c>
      <x:c r="C473" s="99" t="n">
        <x:v>0.458599</x:v>
      </x:c>
      <x:c r="D473" s="100" t="n">
        <x:v>7.446807777777778</x:v>
      </x:c>
      <x:c r="E473" s="100" t="n">
        <x:v>15.686958222222223</x:v>
      </x:c>
      <x:c r="F473" s="99" t="n">
        <x:v>0.12842033333333333</x:v>
      </x:c>
      <x:c r="G473" s="99" t="n">
        <x:v>-0.016336111111111114</x:v>
      </x:c>
      <x:c r="H473" s="101" t="n">
        <x:v>16106947</x:v>
      </x:c>
      <x:c r="I473" s="99" t="n">
        <x:v>0.10782449240122194</x:v>
      </x:c>
      <x:c r="J473" s="100" t="n">
        <x:v>31.77777777777778</x:v>
      </x:c>
      <x:c r="K473" s="100"/>
      <x:c r="L473" s="99" t="n">
        <x:v>0.5322222222222223</x:v>
      </x:c>
      <x:c r="M473" s="99" t="n">
        <x:v>0.6633333333333333</x:v>
      </x:c>
      <x:c r="N473" s="99"/>
      <x:c r="O473" s="99" t="n">
        <x:v>0.36313833333333334</x:v>
      </x:c>
      <x:c r="P473" s="99" t="n">
        <x:v>-0.01111522222222222</x:v>
      </x:c>
      <x:c r="Q473" s="99" t="n">
        <x:v>0.2661663333333333</x:v>
      </x:c>
      <x:c r="R473" s="99" t="n">
        <x:v>0.05181311111111111</x:v>
      </x:c>
      <x:c r="S473" s="45"/>
      <x:c r="T473" s="45"/>
      <x:c r="U473" s="51" t="d">
        <x:v>2026-09-30T00:00:00.000Z</x:v>
      </x:c>
      <x:c r="V473" s="51" t="d">
        <x:v>2026-09-30T00:00:00.000Z</x:v>
      </x:c>
      <x:c r="W473" s="109" t="n">
        <x:v>9</x:v>
      </x:c>
      <x:c r="X473" s="109" t="n">
        <x:v>9</x:v>
      </x:c>
      <x:c r="Y473" s="45" t="str">
        <x:v>sbx-mex/Perfil_Tienda_DM</x:v>
      </x:c>
      <x:c r="Z473" s="45" t="str">
        <x:v>2a6b0d21379739482f0b4c7be9b0f9a022e15f5b</x:v>
      </x:c>
      <x:c r="AA473" s="45" t="str">
        <x:v>8456a41c5e02d454e70a2531577ffb2e29f73e57e44a7762de681d568aa4227a</x:v>
      </x:c>
    </x:row>
    <x:row r="474" ht="23" customHeight="1">
      <x:c r="A474" s="50" t="str">
        <x:v>38757</x:v>
      </x:c>
      <x:c r="B474" s="51" t="d">
        <x:v>2026-09-30T00:00:00.000Z</x:v>
      </x:c>
      <x:c r="C474" s="99" t="n">
        <x:v>0.627178</x:v>
      </x:c>
      <x:c r="D474" s="100" t="n">
        <x:v>6.847777777777778</x:v>
      </x:c>
      <x:c r="E474" s="100" t="n">
        <x:v>15.235264222222222</x:v>
      </x:c>
      <x:c r="F474" s="99" t="n">
        <x:v>0.1363457777777778</x:v>
      </x:c>
      <x:c r="G474" s="99" t="n">
        <x:v>0.00039422222222222175</x:v>
      </x:c>
      <x:c r="H474" s="101" t="n">
        <x:v>28451523</x:v>
      </x:c>
      <x:c r="I474" s="99" t="n">
        <x:v>-0.042215976447646186</x:v>
      </x:c>
      <x:c r="J474" s="100" t="n">
        <x:v>-36.888888888888886</x:v>
      </x:c>
      <x:c r="K474" s="100"/>
      <x:c r="L474" s="99" t="n">
        <x:v>0.45944444444444443</x:v>
      </x:c>
      <x:c r="M474" s="99" t="n">
        <x:v>0.5922222222222222</x:v>
      </x:c>
      <x:c r="N474" s="99"/>
      <x:c r="O474" s="99" t="n">
        <x:v>0.32736366666666666</x:v>
      </x:c>
      <x:c r="P474" s="99" t="n">
        <x:v>-0.033519999999999994</x:v>
      </x:c>
      <x:c r="Q474" s="99" t="n">
        <x:v>0.31478566666666663</x:v>
      </x:c>
      <x:c r="R474" s="99" t="n">
        <x:v>0.03332766666666666</x:v>
      </x:c>
      <x:c r="S474" s="45" t="str">
        <x:v>01:26</x:v>
      </x:c>
      <x:c r="T474" s="45" t="str">
        <x:v>01:07</x:v>
      </x:c>
      <x:c r="U474" s="51" t="d">
        <x:v>2026-09-30T00:00:00.000Z</x:v>
      </x:c>
      <x:c r="V474" s="51" t="d">
        <x:v>2026-09-30T00:00:00.000Z</x:v>
      </x:c>
      <x:c r="W474" s="109" t="n">
        <x:v>9</x:v>
      </x:c>
      <x:c r="X474" s="109" t="n">
        <x:v>9</x:v>
      </x:c>
      <x:c r="Y474" s="45" t="str">
        <x:v>sbx-mex/Perfil_Tienda_DM</x:v>
      </x:c>
      <x:c r="Z474" s="45" t="str">
        <x:v>2a6b0d21379739482f0b4c7be9b0f9a022e15f5b</x:v>
      </x:c>
      <x:c r="AA474" s="45" t="str">
        <x:v>8456a41c5e02d454e70a2531577ffb2e29f73e57e44a7762de681d568aa4227a</x:v>
      </x:c>
    </x:row>
    <x:row r="475" ht="23" customHeight="1">
      <x:c r="A475" s="50" t="str">
        <x:v>38864</x:v>
      </x:c>
      <x:c r="B475" s="51" t="d">
        <x:v>2026-09-30T00:00:00.000Z</x:v>
      </x:c>
      <x:c r="C475" s="99" t="n">
        <x:v>0.40678</x:v>
      </x:c>
      <x:c r="D475" s="100" t="n">
        <x:v>5.472280333333334</x:v>
      </x:c>
      <x:c r="E475" s="100" t="n">
        <x:v>13.872118666666667</x:v>
      </x:c>
      <x:c r="F475" s="99" t="n">
        <x:v>0.13921666666666666</x:v>
      </x:c>
      <x:c r="G475" s="99" t="n">
        <x:v>0.0017397777777777737</x:v>
      </x:c>
      <x:c r="H475" s="101" t="n">
        <x:v>17670166</x:v>
      </x:c>
      <x:c r="I475" s="99" t="n">
        <x:v>-0.12459943982509902</x:v>
      </x:c>
      <x:c r="J475" s="100" t="n">
        <x:v>-27.333333333333332</x:v>
      </x:c>
      <x:c r="K475" s="100"/>
      <x:c r="L475" s="99" t="n">
        <x:v>0.5249999999999999</x:v>
      </x:c>
      <x:c r="M475" s="99" t="n">
        <x:v>0.6644444444444445</x:v>
      </x:c>
      <x:c r="N475" s="99"/>
      <x:c r="O475" s="99" t="n">
        <x:v>0.32321955555555554</x:v>
      </x:c>
      <x:c r="P475" s="99" t="n">
        <x:v>-0.013906888888888882</x:v>
      </x:c>
      <x:c r="Q475" s="99" t="n">
        <x:v>0.30897955555555556</x:v>
      </x:c>
      <x:c r="R475" s="99" t="n">
        <x:v>-0.006617888888888874</x:v>
      </x:c>
      <x:c r="S475" s="45" t="str">
        <x:v>01:27</x:v>
      </x:c>
      <x:c r="T475" s="45" t="str">
        <x:v>01:37</x:v>
      </x:c>
      <x:c r="U475" s="51" t="d">
        <x:v>2026-09-30T00:00:00.000Z</x:v>
      </x:c>
      <x:c r="V475" s="51" t="d">
        <x:v>2026-09-30T00:00:00.000Z</x:v>
      </x:c>
      <x:c r="W475" s="109" t="n">
        <x:v>9</x:v>
      </x:c>
      <x:c r="X475" s="109" t="n">
        <x:v>9</x:v>
      </x:c>
      <x:c r="Y475" s="45" t="str">
        <x:v>sbx-mex/Perfil_Tienda_DM</x:v>
      </x:c>
      <x:c r="Z475" s="45" t="str">
        <x:v>2a6b0d21379739482f0b4c7be9b0f9a022e15f5b</x:v>
      </x:c>
      <x:c r="AA475" s="45" t="str">
        <x:v>8456a41c5e02d454e70a2531577ffb2e29f73e57e44a7762de681d568aa4227a</x:v>
      </x:c>
    </x:row>
    <x:row r="476" ht="23" customHeight="1">
      <x:c r="A476" s="50" t="str">
        <x:v>38871</x:v>
      </x:c>
      <x:c r="B476" s="51" t="d">
        <x:v>2026-09-30T00:00:00.000Z</x:v>
      </x:c>
      <x:c r="C476" s="99" t="n">
        <x:v>0.55</x:v>
      </x:c>
      <x:c r="D476" s="100" t="n">
        <x:v>5.075052444444444</x:v>
      </x:c>
      <x:c r="E476" s="100" t="n">
        <x:v>14.502456111111112</x:v>
      </x:c>
      <x:c r="F476" s="99" t="n">
        <x:v>0.1397161111111111</x:v>
      </x:c>
      <x:c r="G476" s="99" t="n">
        <x:v>0.013162222222222223</x:v>
      </x:c>
      <x:c r="H476" s="101" t="n">
        <x:v>23854207</x:v>
      </x:c>
      <x:c r="I476" s="99" t="n">
        <x:v>-0.12564734743368433</x:v>
      </x:c>
      <x:c r="J476" s="100" t="n">
        <x:v>-26.77777777777778</x:v>
      </x:c>
      <x:c r="K476" s="100"/>
      <x:c r="L476" s="99" t="n">
        <x:v>0.5947777777777777</x:v>
      </x:c>
      <x:c r="M476" s="99" t="n">
        <x:v>0.6777777777777777</x:v>
      </x:c>
      <x:c r="N476" s="99"/>
      <x:c r="O476" s="99" t="n">
        <x:v>0.34700466666666663</x:v>
      </x:c>
      <x:c r="P476" s="99" t="n">
        <x:v>0.0014245555555555585</x:v>
      </x:c>
      <x:c r="Q476" s="99" t="n">
        <x:v>0.25868355555555556</x:v>
      </x:c>
      <x:c r="R476" s="99" t="n">
        <x:v>-0.06682944444444444</x:v>
      </x:c>
      <x:c r="S476" s="45" t="str">
        <x:v>01:29</x:v>
      </x:c>
      <x:c r="T476" s="45" t="str">
        <x:v>01:30</x:v>
      </x:c>
      <x:c r="U476" s="51" t="d">
        <x:v>2026-09-30T00:00:00.000Z</x:v>
      </x:c>
      <x:c r="V476" s="51" t="d">
        <x:v>2026-09-30T00:00:00.000Z</x:v>
      </x:c>
      <x:c r="W476" s="109" t="n">
        <x:v>9</x:v>
      </x:c>
      <x:c r="X476" s="109" t="n">
        <x:v>9</x:v>
      </x:c>
      <x:c r="Y476" s="45" t="str">
        <x:v>sbx-mex/Perfil_Tienda_DM</x:v>
      </x:c>
      <x:c r="Z476" s="45" t="str">
        <x:v>2a6b0d21379739482f0b4c7be9b0f9a022e15f5b</x:v>
      </x:c>
      <x:c r="AA476" s="45" t="str">
        <x:v>8456a41c5e02d454e70a2531577ffb2e29f73e57e44a7762de681d568aa4227a</x:v>
      </x:c>
    </x:row>
    <x:row r="477" ht="23" customHeight="1">
      <x:c r="A477" s="50" t="str">
        <x:v>38886</x:v>
      </x:c>
      <x:c r="B477" s="51" t="d">
        <x:v>2026-09-30T00:00:00.000Z</x:v>
      </x:c>
      <x:c r="C477" s="99" t="n">
        <x:v>1.247525</x:v>
      </x:c>
      <x:c r="D477" s="100" t="n">
        <x:v>4.699104111111111</x:v>
      </x:c>
      <x:c r="E477" s="100" t="n">
        <x:v>12.668445</x:v>
      </x:c>
      <x:c r="F477" s="99" t="n">
        <x:v>0.14949522222222222</x:v>
      </x:c>
      <x:c r="G477" s="99" t="n">
        <x:v>-0.008067888888888883</x:v>
      </x:c>
      <x:c r="H477" s="101" t="n">
        <x:v>18909220</x:v>
      </x:c>
      <x:c r="I477" s="99" t="n">
        <x:v>-0.025859958700610863</x:v>
      </x:c>
      <x:c r="J477" s="100" t="n">
        <x:v>-2.111111111111111</x:v>
      </x:c>
      <x:c r="K477" s="100"/>
      <x:c r="L477" s="99" t="n">
        <x:v>0.5594444444444444</x:v>
      </x:c>
      <x:c r="M477" s="99" t="n">
        <x:v>0.6377777777777778</x:v>
      </x:c>
      <x:c r="N477" s="99"/>
      <x:c r="O477" s="99" t="n">
        <x:v>0.35072811111111113</x:v>
      </x:c>
      <x:c r="P477" s="99" t="n">
        <x:v>-0.04135433333333333</x:v>
      </x:c>
      <x:c r="Q477" s="99" t="n">
        <x:v>0.22318444444444444</x:v>
      </x:c>
      <x:c r="R477" s="99" t="n">
        <x:v>0.035471333333333334</x:v>
      </x:c>
      <x:c r="S477" s="45" t="str">
        <x:v>01:26</x:v>
      </x:c>
      <x:c r="T477" s="45" t="str">
        <x:v>01:37</x:v>
      </x:c>
      <x:c r="U477" s="51" t="d">
        <x:v>2026-09-30T00:00:00.000Z</x:v>
      </x:c>
      <x:c r="V477" s="51" t="d">
        <x:v>2026-09-30T00:00:00.000Z</x:v>
      </x:c>
      <x:c r="W477" s="109" t="n">
        <x:v>9</x:v>
      </x:c>
      <x:c r="X477" s="109" t="n">
        <x:v>9</x:v>
      </x:c>
      <x:c r="Y477" s="45" t="str">
        <x:v>sbx-mex/Perfil_Tienda_DM</x:v>
      </x:c>
      <x:c r="Z477" s="45" t="str">
        <x:v>2a6b0d21379739482f0b4c7be9b0f9a022e15f5b</x:v>
      </x:c>
      <x:c r="AA477" s="45" t="str">
        <x:v>8456a41c5e02d454e70a2531577ffb2e29f73e57e44a7762de681d568aa4227a</x:v>
      </x:c>
    </x:row>
    <x:row r="478" ht="23" customHeight="1">
      <x:c r="A478" s="50" t="str">
        <x:v>38916</x:v>
      </x:c>
      <x:c r="B478" s="51" t="d">
        <x:v>2026-09-30T00:00:00.000Z</x:v>
      </x:c>
      <x:c r="C478" s="99" t="n">
        <x:v>0.710526</x:v>
      </x:c>
      <x:c r="D478" s="100" t="n">
        <x:v>8.05058588888889</x:v>
      </x:c>
      <x:c r="E478" s="100" t="n">
        <x:v>17.38557611111111</x:v>
      </x:c>
      <x:c r="F478" s="99" t="n">
        <x:v>0.126589</x:v>
      </x:c>
      <x:c r="G478" s="99" t="n">
        <x:v>0.0011244444444444496</x:v>
      </x:c>
      <x:c r="H478" s="101" t="n">
        <x:v>17344564</x:v>
      </x:c>
      <x:c r="I478" s="99" t="n">
        <x:v>-0.11721956127961608</x:v>
      </x:c>
      <x:c r="J478" s="100" t="n">
        <x:v>-40.22222222222222</x:v>
      </x:c>
      <x:c r="K478" s="100"/>
      <x:c r="L478" s="99" t="n">
        <x:v>0.44999999999999996</x:v>
      </x:c>
      <x:c r="M478" s="99" t="n">
        <x:v>0.5988888888888888</x:v>
      </x:c>
      <x:c r="N478" s="99"/>
      <x:c r="O478" s="99" t="n">
        <x:v>0.3590398888888889</x:v>
      </x:c>
      <x:c r="P478" s="99" t="n">
        <x:v>0.0028362222222222213</x:v>
      </x:c>
      <x:c r="Q478" s="99" t="n">
        <x:v>0.3084986666666667</x:v>
      </x:c>
      <x:c r="R478" s="99" t="n">
        <x:v>-0.01629733333333333</x:v>
      </x:c>
      <x:c r="S478" s="45"/>
      <x:c r="T478" s="45"/>
      <x:c r="U478" s="51" t="d">
        <x:v>2026-09-30T00:00:00.000Z</x:v>
      </x:c>
      <x:c r="V478" s="51" t="d">
        <x:v>2026-09-30T00:00:00.000Z</x:v>
      </x:c>
      <x:c r="W478" s="109" t="n">
        <x:v>9</x:v>
      </x:c>
      <x:c r="X478" s="109" t="n">
        <x:v>9</x:v>
      </x:c>
      <x:c r="Y478" s="45" t="str">
        <x:v>sbx-mex/Perfil_Tienda_DM</x:v>
      </x:c>
      <x:c r="Z478" s="45" t="str">
        <x:v>2a6b0d21379739482f0b4c7be9b0f9a022e15f5b</x:v>
      </x:c>
      <x:c r="AA478" s="45" t="str">
        <x:v>8456a41c5e02d454e70a2531577ffb2e29f73e57e44a7762de681d568aa4227a</x:v>
      </x:c>
    </x:row>
    <x:row r="479" ht="23" customHeight="1">
      <x:c r="A479" s="50" t="str">
        <x:v>38944</x:v>
      </x:c>
      <x:c r="B479" s="51" t="d">
        <x:v>2026-09-30T00:00:00.000Z</x:v>
      </x:c>
      <x:c r="C479" s="99" t="n">
        <x:v>0.419214</x:v>
      </x:c>
      <x:c r="D479" s="100" t="n">
        <x:v>7.022797000000001</x:v>
      </x:c>
      <x:c r="E479" s="100" t="n">
        <x:v>15.505011333333336</x:v>
      </x:c>
      <x:c r="F479" s="99" t="n">
        <x:v>0.12922566666666666</x:v>
      </x:c>
      <x:c r="G479" s="99" t="n">
        <x:v>-0.014391111111111117</x:v>
      </x:c>
      <x:c r="H479" s="101" t="n">
        <x:v>22745505</x:v>
      </x:c>
      <x:c r="I479" s="99" t="n">
        <x:v>0.015992159757440838</x:v>
      </x:c>
      <x:c r="J479" s="100" t="n">
        <x:v>-7.222222222222222</x:v>
      </x:c>
      <x:c r="K479" s="100"/>
      <x:c r="L479" s="99" t="n">
        <x:v>0.5027777777777778</x:v>
      </x:c>
      <x:c r="M479" s="99" t="n">
        <x:v>0.6188888888888889</x:v>
      </x:c>
      <x:c r="N479" s="99"/>
      <x:c r="O479" s="99" t="n">
        <x:v>0.3462612222222222</x:v>
      </x:c>
      <x:c r="P479" s="99" t="n">
        <x:v>0.009376888888888879</x:v>
      </x:c>
      <x:c r="Q479" s="99" t="n">
        <x:v>0.33037277777777774</x:v>
      </x:c>
      <x:c r="R479" s="99" t="n">
        <x:v>0.016014222222222214</x:v>
      </x:c>
      <x:c r="S479" s="45" t="str">
        <x:v>01:25</x:v>
      </x:c>
      <x:c r="T479" s="45" t="str">
        <x:v>01:20</x:v>
      </x:c>
      <x:c r="U479" s="51" t="d">
        <x:v>2026-09-30T00:00:00.000Z</x:v>
      </x:c>
      <x:c r="V479" s="51" t="d">
        <x:v>2026-09-30T00:00:00.000Z</x:v>
      </x:c>
      <x:c r="W479" s="109" t="n">
        <x:v>9</x:v>
      </x:c>
      <x:c r="X479" s="109" t="n">
        <x:v>9</x:v>
      </x:c>
      <x:c r="Y479" s="45" t="str">
        <x:v>sbx-mex/Perfil_Tienda_DM</x:v>
      </x:c>
      <x:c r="Z479" s="45" t="str">
        <x:v>2a6b0d21379739482f0b4c7be9b0f9a022e15f5b</x:v>
      </x:c>
      <x:c r="AA479" s="45" t="str">
        <x:v>8456a41c5e02d454e70a2531577ffb2e29f73e57e44a7762de681d568aa4227a</x:v>
      </x:c>
    </x:row>
    <x:row r="480" ht="23" customHeight="1">
      <x:c r="A480" s="50" t="str">
        <x:v>38976</x:v>
      </x:c>
      <x:c r="B480" s="51" t="d">
        <x:v>2026-09-30T00:00:00.000Z</x:v>
      </x:c>
      <x:c r="C480" s="99" t="n">
        <x:v>0.3</x:v>
      </x:c>
      <x:c r="D480" s="100" t="n">
        <x:v>6.939941444444445</x:v>
      </x:c>
      <x:c r="E480" s="100" t="n">
        <x:v>14.532239111111112</x:v>
      </x:c>
      <x:c r="F480" s="99" t="n">
        <x:v>0.14911255555555558</x:v>
      </x:c>
      <x:c r="G480" s="99" t="n">
        <x:v>-0.012466111111111114</x:v>
      </x:c>
      <x:c r="H480" s="101" t="n">
        <x:v>12239988</x:v>
      </x:c>
      <x:c r="I480" s="99" t="n">
        <x:v>0.07499204557802108</x:v>
      </x:c>
      <x:c r="J480" s="100" t="n">
        <x:v>2.111111111111111</x:v>
      </x:c>
      <x:c r="K480" s="100"/>
      <x:c r="L480" s="99" t="n">
        <x:v>0.636</x:v>
      </x:c>
      <x:c r="M480" s="99" t="n">
        <x:v>0.6777777777777777</x:v>
      </x:c>
      <x:c r="N480" s="99"/>
      <x:c r="O480" s="99" t="n">
        <x:v>0.34149066666666666</x:v>
      </x:c>
      <x:c r="P480" s="99" t="n">
        <x:v>-0.008348111111111112</x:v>
      </x:c>
      <x:c r="Q480" s="99" t="n">
        <x:v>0.21013222222222222</x:v>
      </x:c>
      <x:c r="R480" s="99" t="n">
        <x:v>0.07567633333333333</x:v>
      </x:c>
      <x:c r="S480" s="45"/>
      <x:c r="T480" s="45"/>
      <x:c r="U480" s="51" t="d">
        <x:v>2026-09-30T00:00:00.000Z</x:v>
      </x:c>
      <x:c r="V480" s="51" t="d">
        <x:v>2026-09-30T00:00:00.000Z</x:v>
      </x:c>
      <x:c r="W480" s="109" t="n">
        <x:v>9</x:v>
      </x:c>
      <x:c r="X480" s="109" t="n">
        <x:v>9</x:v>
      </x:c>
      <x:c r="Y480" s="45" t="str">
        <x:v>sbx-mex/Perfil_Tienda_DM</x:v>
      </x:c>
      <x:c r="Z480" s="45" t="str">
        <x:v>2a6b0d21379739482f0b4c7be9b0f9a022e15f5b</x:v>
      </x:c>
      <x:c r="AA480" s="45" t="str">
        <x:v>8456a41c5e02d454e70a2531577ffb2e29f73e57e44a7762de681d568aa4227a</x:v>
      </x:c>
    </x:row>
    <x:row r="481" ht="23" customHeight="1">
      <x:c r="A481" s="50" t="str">
        <x:v>43033</x:v>
      </x:c>
      <x:c r="B481" s="51" t="d">
        <x:v>2026-09-30T00:00:00.000Z</x:v>
      </x:c>
      <x:c r="C481" s="99" t="n">
        <x:v>0.090909</x:v>
      </x:c>
      <x:c r="D481" s="100" t="n">
        <x:v>7.5640279999999995</x:v>
      </x:c>
      <x:c r="E481" s="100" t="n">
        <x:v>16.17672511111111</x:v>
      </x:c>
      <x:c r="F481" s="99" t="n">
        <x:v>0.14147622222222223</x:v>
      </x:c>
      <x:c r="G481" s="99" t="n">
        <x:v>-0.02165433333333333</x:v>
      </x:c>
      <x:c r="H481" s="101" t="n">
        <x:v>14101661</x:v>
      </x:c>
      <x:c r="I481" s="99" t="n">
        <x:v>0.18523162398249315</x:v>
      </x:c>
      <x:c r="J481" s="100" t="n">
        <x:v>35.77777777777778</x:v>
      </x:c>
      <x:c r="K481" s="100"/>
      <x:c r="L481" s="99" t="n">
        <x:v>0.6016666666666667</x:v>
      </x:c>
      <x:c r="M481" s="99" t="n">
        <x:v>0.7611111111111111</x:v>
      </x:c>
      <x:c r="N481" s="99"/>
      <x:c r="O481" s="99" t="n">
        <x:v>0.3794363333333333</x:v>
      </x:c>
      <x:c r="P481" s="99" t="n">
        <x:v>0.03640633333333333</x:v>
      </x:c>
      <x:c r="Q481" s="99" t="n">
        <x:v>0.2256168888888889</x:v>
      </x:c>
      <x:c r="R481" s="99" t="n">
        <x:v>-0.0058984444444444405</x:v>
      </x:c>
      <x:c r="S481" s="45"/>
      <x:c r="T481" s="45"/>
      <x:c r="U481" s="51" t="d">
        <x:v>2026-09-30T00:00:00.000Z</x:v>
      </x:c>
      <x:c r="V481" s="51" t="d">
        <x:v>2026-09-30T00:00:00.000Z</x:v>
      </x:c>
      <x:c r="W481" s="109" t="n">
        <x:v>9</x:v>
      </x:c>
      <x:c r="X481" s="109" t="n">
        <x:v>9</x:v>
      </x:c>
      <x:c r="Y481" s="45" t="str">
        <x:v>sbx-mex/Perfil_Tienda_DM</x:v>
      </x:c>
      <x:c r="Z481" s="45" t="str">
        <x:v>2a6b0d21379739482f0b4c7be9b0f9a022e15f5b</x:v>
      </x:c>
      <x:c r="AA481" s="45" t="str">
        <x:v>8456a41c5e02d454e70a2531577ffb2e29f73e57e44a7762de681d568aa4227a</x:v>
      </x:c>
    </x:row>
    <x:row r="482" ht="23" customHeight="1">
      <x:c r="A482" s="50" t="str">
        <x:v>43180</x:v>
      </x:c>
      <x:c r="B482" s="51" t="d">
        <x:v>2026-09-30T00:00:00.000Z</x:v>
      </x:c>
      <x:c r="C482" s="99" t="n">
        <x:v>0.55814</x:v>
      </x:c>
      <x:c r="D482" s="100" t="n">
        <x:v>5.750261857142857</x:v>
      </x:c>
      <x:c r="E482" s="100" t="n">
        <x:v>13.083095714285715</x:v>
      </x:c>
      <x:c r="F482" s="99" t="n">
        <x:v>0.145394</x:v>
      </x:c>
      <x:c r="G482" s="99" t="n">
        <x:v>-0.01599466666666667</x:v>
      </x:c>
      <x:c r="H482" s="101" t="n">
        <x:v>10566262</x:v>
      </x:c>
      <x:c r="I482" s="99" t="n">
        <x:v>-0.19336412218553467</x:v>
      </x:c>
      <x:c r="J482" s="100"/>
      <x:c r="K482" s="100"/>
      <x:c r="L482" s="99" t="n">
        <x:v>0.5172857142857142</x:v>
      </x:c>
      <x:c r="M482" s="99" t="n">
        <x:v>0.7000000000000001</x:v>
      </x:c>
      <x:c r="N482" s="99"/>
      <x:c r="O482" s="99" t="n">
        <x:v>0.3506844285714286</x:v>
      </x:c>
      <x:c r="P482" s="99" t="n">
        <x:v>-0.004874666666666684</x:v>
      </x:c>
      <x:c r="Q482" s="99" t="n">
        <x:v>0.2581107142857143</x:v>
      </x:c>
      <x:c r="R482" s="99" t="n">
        <x:v>-0.007864666666666667</x:v>
      </x:c>
      <x:c r="S482" s="45" t="str">
        <x:v>01:18</x:v>
      </x:c>
      <x:c r="T482" s="45"/>
      <x:c r="U482" s="51" t="d">
        <x:v>2026-09-30T00:00:00.000Z</x:v>
      </x:c>
      <x:c r="V482" s="51" t="d">
        <x:v>2026-09-30T00:00:00.000Z</x:v>
      </x:c>
      <x:c r="W482" s="109" t="n">
        <x:v>9</x:v>
      </x:c>
      <x:c r="X482" s="109" t="n">
        <x:v>9</x:v>
      </x:c>
      <x:c r="Y482" s="45" t="str">
        <x:v>sbx-mex/Perfil_Tienda_DM</x:v>
      </x:c>
      <x:c r="Z482" s="45" t="str">
        <x:v>2a6b0d21379739482f0b4c7be9b0f9a022e15f5b</x:v>
      </x:c>
      <x:c r="AA482" s="45" t="str">
        <x:v>8456a41c5e02d454e70a2531577ffb2e29f73e57e44a7762de681d568aa4227a</x:v>
      </x:c>
    </x:row>
    <x:row r="483" ht="23" customHeight="1">
      <x:c r="A483" s="50" t="str">
        <x:v>43199</x:v>
      </x:c>
      <x:c r="B483" s="51" t="d">
        <x:v>2026-09-30T00:00:00.000Z</x:v>
      </x:c>
      <x:c r="C483" s="99" t="n">
        <x:v>0.375</x:v>
      </x:c>
      <x:c r="D483" s="100" t="n">
        <x:v>3.168605</x:v>
      </x:c>
      <x:c r="E483" s="100" t="n">
        <x:v>8.09593</x:v>
      </x:c>
      <x:c r="F483" s="99" t="n">
        <x:v>0.111925</x:v>
      </x:c>
      <x:c r="G483" s="99"/>
      <x:c r="H483" s="101" t="n">
        <x:v>689139</x:v>
      </x:c>
      <x:c r="I483" s="99"/>
      <x:c r="J483" s="100"/>
      <x:c r="K483" s="100"/>
      <x:c r="L483" s="99" t="n">
        <x:v>0.591</x:v>
      </x:c>
      <x:c r="M483" s="99" t="n">
        <x:v>0.77</x:v>
      </x:c>
      <x:c r="N483" s="99"/>
      <x:c r="O483" s="99" t="n">
        <x:v>0.221896</x:v>
      </x:c>
      <x:c r="P483" s="99"/>
      <x:c r="Q483" s="99" t="n">
        <x:v>0.489861</x:v>
      </x:c>
      <x:c r="R483" s="99"/>
      <x:c r="S483" s="45" t="str">
        <x:v>01:31</x:v>
      </x:c>
      <x:c r="T483" s="45"/>
      <x:c r="U483" s="51" t="d">
        <x:v>2026-09-30T00:00:00.000Z</x:v>
      </x:c>
      <x:c r="V483" s="51" t="d">
        <x:v>2026-09-30T00:00:00.000Z</x:v>
      </x:c>
      <x:c r="W483" s="109" t="n">
        <x:v>1</x:v>
      </x:c>
      <x:c r="X483" s="109" t="n">
        <x:v>1</x:v>
      </x:c>
      <x:c r="Y483" s="45" t="str">
        <x:v>sbx-mex/Perfil_Tienda_DM</x:v>
      </x:c>
      <x:c r="Z483" s="45" t="str">
        <x:v>2a6b0d21379739482f0b4c7be9b0f9a022e15f5b</x:v>
      </x:c>
      <x:c r="AA483" s="45" t="str">
        <x:v>8456a41c5e02d454e70a2531577ffb2e29f73e57e44a7762de681d568aa4227a</x:v>
      </x:c>
    </x:row>
    <x:row r="484">
      <x:c r="A484" s="15"/>
    </x:row>
    <x:row r="485">
      <x:c r="A485" s="15"/>
    </x:row>
    <x:row r="486">
      <x:c r="A486" s="15"/>
    </x:row>
    <x:row r="487">
      <x:c r="A487" s="15"/>
    </x:row>
    <x:row r="488">
      <x:c r="A488" s="15"/>
    </x:row>
    <x:row r="489">
      <x:c r="A489" s="15"/>
    </x:row>
    <x:row r="490">
      <x:c r="A490" s="15"/>
    </x:row>
    <x:row r="491">
      <x:c r="A491" s="15"/>
    </x:row>
    <x:row r="492">
      <x:c r="A492" s="15"/>
    </x:row>
    <x:row r="493">
      <x:c r="A493" s="15"/>
    </x:row>
    <x:row r="494">
      <x:c r="A494" s="15"/>
    </x:row>
    <x:row r="495">
      <x:c r="A495" s="15"/>
    </x:row>
    <x:row r="496">
      <x:c r="A496" s="15"/>
    </x:row>
    <x:row r="497">
      <x:c r="A497" s="15"/>
    </x:row>
    <x:row r="498">
      <x:c r="A498" s="15"/>
    </x:row>
    <x:row r="499">
      <x:c r="A499" s="15"/>
    </x:row>
    <x:row r="500">
      <x:c r="A500" s="15"/>
    </x:row>
    <x:row r="501">
      <x:c r="A501" s="15"/>
    </x:row>
  </x:sheetData>
  <x:pageMargins left="0.7" right="0.7" top="0.75" bottom="0.75" header="0.3" footer="0.3"/>
  <x:tableParts count="1">
    <x:tablePart xmlns:r="http://schemas.openxmlformats.org/officeDocument/2006/relationships" r:id="Rb3a62caee6a0414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6640625" defaultRowHeight="14"/>
  <x:cols>
    <x:col min="1" max="3" width="23" customWidth="1"/>
    <x:col min="4" max="4" width="38" hidden="0" customWidth="1"/>
    <x:col min="5" max="6" width="23" customWidth="1"/>
    <x:col min="1" max="1" width="21" hidden="0" customWidth="1"/>
    <x:col min="2" max="2" width="38" hidden="0" customWidth="1"/>
    <x:col min="3" max="3" width="43" hidden="0" customWidth="1"/>
    <x:col min="6" max="6" width="24" hidden="0" customWidth="1"/>
    <x:col min="8" max="8" width="22" hidden="0" customWidth="1"/>
    <x:col min="10" max="10" width="35" hidden="0" customWidth="1"/>
    <x:col min="11" max="11" width="88" hidden="0" customWidth="1"/>
  </x:cols>
  <x:sheetData>
    <x:row r="1" ht="34" customHeight="1">
      <x:c r="A1" s="84" t="str">
        <x:v>Región</x:v>
      </x:c>
      <x:c r="B1" s="84" t="str">
        <x:v>DM</x:v>
      </x:c>
      <x:c r="C1" s="84" t="str">
        <x:v>Nombre directorio</x:v>
      </x:c>
      <x:c r="D1" s="84" t="str">
        <x:v>Mostrar como</x:v>
      </x:c>
      <x:c r="E1"/>
      <x:c r="F1" s="84" t="str">
        <x:v>Regiones</x:v>
      </x:c>
      <x:c r="H1" s="84" t="str">
        <x:v>Estatus</x:v>
      </x:c>
      <x:c r="J1" s="84" t="str">
        <x:v>Fuentes</x:v>
      </x:c>
      <x:c r="K1" s="84" t="str">
        <x:v>Uso</x:v>
      </x:c>
    </x:row>
    <x:row r="2" ht="23" customHeight="1">
      <x:c r="A2" s="45" t="str">
        <x:v>Centro Norte</x:v>
      </x:c>
      <x:c r="B2" s="45" t="str">
        <x:v>Enrique César</x:v>
      </x:c>
      <x:c r="C2" s="45" t="str">
        <x:v>Enrique Cesar Flores</x:v>
      </x:c>
      <x:c r="D2" s="45" t="str">
        <x:v>Enrique César</x:v>
      </x:c>
      <x:c r="E2"/>
      <x:c r="F2" t="str">
        <x:v>Centro Norte</x:v>
      </x:c>
      <x:c r="H2" t="str">
        <x:v>Abierta</x:v>
      </x:c>
      <x:c r="J2" s="45" t="str">
        <x:v>Puntos proporcionados</x:v>
      </x:c>
      <x:c r="K2" s="45" t="str">
        <x:v>Región y coordenadas</x:v>
      </x:c>
    </x:row>
    <x:row r="3" ht="23" customHeight="1">
      <x:c r="A3" s="45" t="str">
        <x:v>Centro Norte</x:v>
      </x:c>
      <x:c r="B3" s="45" t="str">
        <x:v>Nancy Rodríguez</x:v>
      </x:c>
      <x:c r="C3" s="45" t="str">
        <x:v>Nancy Carolina Rodriguez Medina</x:v>
      </x:c>
      <x:c r="D3" s="45" t="str">
        <x:v>Nancy Rodríguez</x:v>
      </x:c>
      <x:c r="E3"/>
      <x:c r="F3" t="str">
        <x:v>Centro Sur</x:v>
      </x:c>
      <x:c r="H3" t="str">
        <x:v>Próxima Apertura</x:v>
      </x:c>
      <x:c r="J3" s="45" t="str">
        <x:v>Ops Octubre 2026.xlsx</x:v>
      </x:c>
      <x:c r="K3" s="45" t="str">
        <x:v>Región, DM y estatus operativo</x:v>
      </x:c>
    </x:row>
    <x:row r="4" ht="23" customHeight="1">
      <x:c r="A4" s="45" t="str">
        <x:v>Centro Norte</x:v>
      </x:c>
      <x:c r="B4" s="45" t="str">
        <x:v>Vanessa Carreño</x:v>
      </x:c>
      <x:c r="C4" s="45" t="str">
        <x:v>Vanessa Carreño Rios</x:v>
      </x:c>
      <x:c r="D4" s="45" t="str">
        <x:v>Vanessa Carreño</x:v>
      </x:c>
      <x:c r="E4"/>
      <x:c r="F4" t="str">
        <x:v>Centro Poniente</x:v>
      </x:c>
      <x:c r="H4" t="str">
        <x:v>Cierre Temporal</x:v>
      </x:c>
      <x:c r="J4" s="45" t="str">
        <x:v>Directorio Alsea octubre 2026</x:v>
      </x:c>
      <x:c r="K4" s="45" t="str">
        <x:v>Región, DM y coordenadas de respaldo</x:v>
      </x:c>
    </x:row>
    <x:row r="5" ht="23" customHeight="1">
      <x:c r="A5" s="45" t="str">
        <x:v>Centro Norte</x:v>
      </x:c>
      <x:c r="B5" s="45" t="str">
        <x:v>Veronica García</x:v>
      </x:c>
      <x:c r="C5" s="45" t="str">
        <x:v>Veronica Garcia Ortega</x:v>
      </x:c>
      <x:c r="D5" s="45" t="str">
        <x:v>Veronica García</x:v>
      </x:c>
      <x:c r="E5"/>
      <x:c r="F5" t="str">
        <x:v>Centro Centro</x:v>
      </x:c>
      <x:c r="H5" t="str">
        <x:v>Cierre Definitivo</x:v>
      </x:c>
      <x:c r="J5" s="45" t="str">
        <x:v>CMS anterior 4.3</x:v>
      </x:c>
      <x:c r="K5" s="45" t="str">
        <x:v>Coordenadas existentes y aperturas</x:v>
      </x:c>
    </x:row>
    <x:row r="6" ht="23" customHeight="1">
      <x:c r="A6" s="45" t="str">
        <x:v>Centro Norte</x:v>
      </x:c>
      <x:c r="B6" s="45" t="str">
        <x:v>Yazmin Chabela</x:v>
      </x:c>
      <x:c r="C6" s="45" t="str">
        <x:v>Yazmin Chabela Guadarrama</x:v>
      </x:c>
      <x:c r="D6" s="45" t="str">
        <x:v>Yazmin Chabela</x:v>
      </x:c>
      <x:c r="E6"/>
      <x:c r="F6" t="str">
        <x:v>Bajío</x:v>
      </x:c>
      <x:c r="H6" t="str">
        <x:v>Por validar</x:v>
      </x:c>
      <x:c r="J6" s="45" t="str">
        <x:v>Toreo Walmart 43302</x:v>
      </x:c>
      <x:c r="K6" s="45" t="str">
        <x:v>Coordenada confirmada conservada</x:v>
      </x:c>
    </x:row>
    <x:row r="7" ht="23" customHeight="1">
      <x:c r="A7" s="45" t="str">
        <x:v>Centro Norte</x:v>
      </x:c>
      <x:c r="B7" s="45" t="str">
        <x:v>Yazmin García</x:v>
      </x:c>
      <x:c r="C7" s="45" t="str">
        <x:v>Yazmín Haydee Garcia González</x:v>
      </x:c>
      <x:c r="D7" s="45" t="str">
        <x:v>Yazmin García</x:v>
      </x:c>
      <x:c r="E7"/>
      <x:c r="F7"/>
    </x:row>
    <x:row r="8" ht="28" customHeight="1">
      <x:c r="A8" s="45" t="str">
        <x:v>Centro Sur</x:v>
      </x:c>
      <x:c r="B8" s="45" t="str">
        <x:v>Ariana Janet Gutierrez Martinez</x:v>
      </x:c>
      <x:c r="C8" s="45" t="str">
        <x:v>Ariana Janet Gutierrez Martinez</x:v>
      </x:c>
      <x:c r="D8" s="45" t="str">
        <x:v>Ariana Janet Gutierrez Martinez</x:v>
      </x:c>
      <x:c r="E8"/>
      <x:c r="F8"/>
      <x:c r="J8" s="106" t="str">
        <x:v>Indicadores</x:v>
      </x:c>
      <x:c r="K8" s="106" t="str">
        <x:v>Perfil de Tienda</x:v>
      </x:c>
    </x:row>
    <x:row r="9" ht="23" customHeight="1">
      <x:c r="A9" s="45" t="str">
        <x:v>Centro Sur</x:v>
      </x:c>
      <x:c r="B9" s="45" t="str">
        <x:v>Cesar Alfonso Castillo Romero</x:v>
      </x:c>
      <x:c r="C9" s="45" t="str">
        <x:v>Cesar Alfonso Castillo Romero</x:v>
      </x:c>
      <x:c r="D9" s="45" t="str">
        <x:v>Cesar Alfonso Castillo Romero</x:v>
      </x:c>
      <x:c r="E9"/>
      <x:c r="F9"/>
      <x:c r="J9" s="45" t="str">
        <x:v>Proyecto fuente</x:v>
      </x:c>
      <x:c r="K9" s="45" t="str">
        <x:v>https://github.com/sbx-mex/Perfil_Tienda_DM</x:v>
      </x:c>
    </x:row>
    <x:row r="10" ht="23" customHeight="1">
      <x:c r="A10" s="45" t="str">
        <x:v>Centro Sur</x:v>
      </x:c>
      <x:c r="B10" s="45" t="str">
        <x:v>Fernando Eduardo Verdugo Saldaña</x:v>
      </x:c>
      <x:c r="C10" s="45" t="str">
        <x:v>Fernando Eduardo Verdugo Saldaña</x:v>
      </x:c>
      <x:c r="D10" s="45" t="str">
        <x:v>Fernando Eduardo Verdugo Saldaña</x:v>
      </x:c>
      <x:c r="E10"/>
      <x:c r="F10"/>
      <x:c r="J10" s="45" t="str">
        <x:v>Commit fuente</x:v>
      </x:c>
      <x:c r="K10" s="45" t="str">
        <x:v>2a6b0d21379739482f0b4c7be9b0f9a022e15f5b</x:v>
      </x:c>
    </x:row>
    <x:row r="11" ht="23" customHeight="1">
      <x:c r="A11" s="45" t="str">
        <x:v>Centro Sur</x:v>
      </x:c>
      <x:c r="B11" s="45" t="str">
        <x:v>Hazar Susim Trejo Hernandez</x:v>
      </x:c>
      <x:c r="C11" s="45" t="str">
        <x:v>Hazar Susim Trejo Hernandez</x:v>
      </x:c>
      <x:c r="D11" s="45" t="str">
        <x:v>Hazar Susim Trejo Hernandez</x:v>
      </x:c>
      <x:c r="E11"/>
      <x:c r="F11"/>
      <x:c r="J11" s="45" t="str">
        <x:v>Periodos disponibles</x:v>
      </x:c>
      <x:c r="K11" s="45" t="str">
        <x:v>Operación y ventas: enero–septiembre 2026. Reconstruido desde los motores.</x:v>
      </x:c>
    </x:row>
    <x:row r="12" ht="23" customHeight="1">
      <x:c r="A12" s="45" t="str">
        <x:v>Centro Sur</x:v>
      </x:c>
      <x:c r="B12" s="45" t="str">
        <x:v>Jaqueline Cortes Ayala</x:v>
      </x:c>
      <x:c r="C12" s="45" t="str">
        <x:v>Jaqueline Cortes Ayala</x:v>
      </x:c>
      <x:c r="D12" s="45" t="str">
        <x:v>Jaqueline Cortes Ayala</x:v>
      </x:c>
      <x:c r="J12" s="45" t="str">
        <x:v>Acumulados</x:v>
      </x:c>
      <x:c r="K12" s="45" t="str">
        <x:v>Venta: suma. Rotación: último dato. Otros: promedio disponible.</x:v>
      </x:c>
    </x:row>
    <x:row r="13" ht="23" customHeight="1">
      <x:c r="A13" s="45" t="str">
        <x:v>Centro Sur</x:v>
      </x:c>
      <x:c r="B13" s="45" t="str">
        <x:v>Jesus Antonio Elguera Flores</x:v>
      </x:c>
      <x:c r="C13" s="45" t="str">
        <x:v>Jesus Antonio Elguera Flores</x:v>
      </x:c>
      <x:c r="D13" s="45" t="str">
        <x:v>Jesus Antonio Elguera Flores</x:v>
      </x:c>
      <x:c r="J13" s="45" t="str">
        <x:v>Diferencias</x:v>
      </x:c>
      <x:c r="K13" s="45" t="str">
        <x:v>Labor, costo y EBITDA: real menos PPTO, meses comparables.</x:v>
      </x:c>
    </x:row>
    <x:row r="14" ht="23" customHeight="1">
      <x:c r="A14" s="45" t="str">
        <x:v>Centro Sur</x:v>
      </x:c>
      <x:c r="B14" s="45" t="str">
        <x:v>Luis Alberto Quevedo Rodriguez</x:v>
      </x:c>
      <x:c r="C14" s="45" t="str">
        <x:v>Luis Alberto Quevedo Rodriguez</x:v>
      </x:c>
      <x:c r="D14" s="45" t="str">
        <x:v>Luis Alberto Quevedo Rodriguez</x:v>
      </x:c>
      <x:c r="J14" s="45" t="str">
        <x:v>Venta vs PPTO</x:v>
      </x:c>
      <x:c r="K14" s="45" t="str">
        <x:v>Suma real / suma PPTO − 1, solo meses comparables. OMT: diferencia vs AA.</x:v>
      </x:c>
    </x:row>
    <x:row r="15" ht="23" customHeight="1">
      <x:c r="A15" s="45" t="str">
        <x:v>Centro Sur</x:v>
      </x:c>
      <x:c r="B15" s="45" t="str">
        <x:v>Moni Morales</x:v>
      </x:c>
      <x:c r="C15" s="45" t="str">
        <x:v>Monica Selene Morales Ibarra</x:v>
      </x:c>
      <x:c r="D15" s="45" t="str">
        <x:v>Mónica Morales</x:v>
      </x:c>
      <x:c r="J15" s="45" t="str">
        <x:v>Sin equivalencia</x:v>
      </x:c>
      <x:c r="K15" s="45" t="str">
        <x:v>NPS y CTC vacíos. No se sustituyen por Desempeño ni Food Attach.</x:v>
      </x:c>
    </x:row>
    <x:row r="16" ht="23" customHeight="1">
      <x:c r="A16" s="45" t="str">
        <x:v>Centro Sur</x:v>
      </x:c>
      <x:c r="B16" s="45" t="str">
        <x:v>Sin asignación</x:v>
      </x:c>
      <x:c r="C16" s="45" t="str">
        <x:v>Sin asignación</x:v>
      </x:c>
      <x:c r="D16" s="45" t="str">
        <x:v>Sin asignación</x:v>
      </x:c>
    </x:row>
    <x:row r="17" ht="23" customHeight="1">
      <x:c r="A17" s="45" t="str">
        <x:v>Centro Poniente</x:v>
      </x:c>
      <x:c r="B17" s="45" t="str">
        <x:v>Adriana Alejandra Tanus Buhler</x:v>
      </x:c>
      <x:c r="C17" s="45" t="str">
        <x:v>Adriana Alejandra Tanus Buhler</x:v>
      </x:c>
      <x:c r="D17" s="45" t="str">
        <x:v>Adriana Alejandra Tanus Buhler</x:v>
      </x:c>
    </x:row>
    <x:row r="18" ht="23" customHeight="1">
      <x:c r="A18" s="45" t="str">
        <x:v>Centro Poniente</x:v>
      </x:c>
      <x:c r="B18" s="45" t="str">
        <x:v>Andrea Nava Guzman</x:v>
      </x:c>
      <x:c r="C18" s="45" t="str">
        <x:v>Andrea Nava Guzman</x:v>
      </x:c>
      <x:c r="D18" s="45" t="str">
        <x:v>Andrea Nava Guzman</x:v>
      </x:c>
    </x:row>
    <x:row r="19" ht="23" customHeight="1">
      <x:c r="A19" s="45" t="str">
        <x:v>Centro Poniente</x:v>
      </x:c>
      <x:c r="B19" s="45" t="str">
        <x:v>Areli Anahi Lazcano Lezama</x:v>
      </x:c>
      <x:c r="C19" s="45" t="str">
        <x:v>Areli Anahi Lazcano Lezama</x:v>
      </x:c>
      <x:c r="D19" s="45" t="str">
        <x:v>Areli Anahi Lazcano Lezama</x:v>
      </x:c>
    </x:row>
    <x:row r="20" ht="23" customHeight="1">
      <x:c r="A20" s="45" t="str">
        <x:v>Centro Poniente</x:v>
      </x:c>
      <x:c r="B20" s="45" t="str">
        <x:v>Daniel Flores Maldonado</x:v>
      </x:c>
      <x:c r="C20" s="45" t="str">
        <x:v>Daniel Flores Maldonado</x:v>
      </x:c>
      <x:c r="D20" s="45" t="str">
        <x:v>Daniel Flores Maldonado</x:v>
      </x:c>
    </x:row>
    <x:row r="21" ht="23" customHeight="1">
      <x:c r="A21" s="45" t="str">
        <x:v>Centro Poniente</x:v>
      </x:c>
      <x:c r="B21" s="45" t="str">
        <x:v>Erika Julieta Contreras Aguilar</x:v>
      </x:c>
      <x:c r="C21" s="45" t="str">
        <x:v>Erika Julieta Contreras Aguilar</x:v>
      </x:c>
      <x:c r="D21" s="45" t="str">
        <x:v>Erika Julieta Contreras Aguilar</x:v>
      </x:c>
    </x:row>
    <x:row r="22" ht="23" customHeight="1">
      <x:c r="A22" s="45" t="str">
        <x:v>Centro Poniente</x:v>
      </x:c>
      <x:c r="B22" s="45" t="str">
        <x:v>José de Jesús Magos Arzaluz</x:v>
      </x:c>
      <x:c r="C22" s="45" t="str">
        <x:v>José de Jesús Magos Arzaluz</x:v>
      </x:c>
      <x:c r="D22" s="45" t="str">
        <x:v>José de Jesús Magos Arzaluz</x:v>
      </x:c>
    </x:row>
    <x:row r="23" ht="23" customHeight="1">
      <x:c r="A23" s="45" t="str">
        <x:v>Centro Poniente</x:v>
      </x:c>
      <x:c r="B23" s="45" t="str">
        <x:v>Juan Jesus Zuñiga Flores</x:v>
      </x:c>
      <x:c r="C23" s="45" t="str">
        <x:v>Juan Jesus Zuñiga Flores</x:v>
      </x:c>
      <x:c r="D23" s="45" t="str">
        <x:v>Juan Jesus Zuñiga Flores</x:v>
      </x:c>
    </x:row>
    <x:row r="24" ht="23" customHeight="1">
      <x:c r="A24" s="45" t="str">
        <x:v>Centro Poniente</x:v>
      </x:c>
      <x:c r="B24" s="45" t="str">
        <x:v>Manuel Alejandro Avila Molina</x:v>
      </x:c>
      <x:c r="C24" s="45" t="str">
        <x:v>Manuel Alejandro Avila Molina</x:v>
      </x:c>
      <x:c r="D24" s="45" t="str">
        <x:v>Manuel Alejandro Avila Molina</x:v>
      </x:c>
    </x:row>
    <x:row r="25" ht="23" customHeight="1">
      <x:c r="A25" s="45" t="str">
        <x:v>Centro Poniente</x:v>
      </x:c>
      <x:c r="B25" s="45" t="str">
        <x:v>Sin asignación</x:v>
      </x:c>
      <x:c r="C25" s="45" t="str">
        <x:v>Sin asignación</x:v>
      </x:c>
      <x:c r="D25" s="45" t="str">
        <x:v>Sin asignación</x:v>
      </x:c>
    </x:row>
    <x:row r="26" ht="23" customHeight="1">
      <x:c r="A26" s="45" t="str">
        <x:v>Centro Centro</x:v>
      </x:c>
      <x:c r="B26" s="45" t="str">
        <x:v>Alberto T. Aguilar Cauz</x:v>
      </x:c>
      <x:c r="C26" s="45" t="str">
        <x:v>Alberto T. Aguilar Cauz</x:v>
      </x:c>
      <x:c r="D26" s="45" t="str">
        <x:v>Alberto T. Aguilar Cauz</x:v>
      </x:c>
    </x:row>
    <x:row r="27" ht="23" customHeight="1">
      <x:c r="A27" s="45" t="str">
        <x:v>Centro Centro</x:v>
      </x:c>
      <x:c r="B27" s="45" t="str">
        <x:v>Carlos Saldaña Avila</x:v>
      </x:c>
      <x:c r="C27" s="45" t="str">
        <x:v>Carlos Saldaña Avila</x:v>
      </x:c>
      <x:c r="D27" s="45" t="str">
        <x:v>Carlos Saldaña Avila</x:v>
      </x:c>
    </x:row>
    <x:row r="28" ht="23" customHeight="1">
      <x:c r="A28" s="45" t="str">
        <x:v>Centro Centro</x:v>
      </x:c>
      <x:c r="B28" s="45" t="str">
        <x:v>Guadalupe Ibarra Martinez</x:v>
      </x:c>
      <x:c r="C28" s="45" t="str">
        <x:v>Guadalupe Ibarra Martinez</x:v>
      </x:c>
      <x:c r="D28" s="45" t="str">
        <x:v>Guadalupe Ibarra Martinez</x:v>
      </x:c>
    </x:row>
    <x:row r="29" ht="23" customHeight="1">
      <x:c r="A29" s="45" t="str">
        <x:v>Centro Centro</x:v>
      </x:c>
      <x:c r="B29" s="45" t="str">
        <x:v>Luis Manuel Neri Saldana</x:v>
      </x:c>
      <x:c r="C29" s="45" t="str">
        <x:v>Luis Manuel Neri Saldana</x:v>
      </x:c>
      <x:c r="D29" s="45" t="str">
        <x:v>Luis Manuel Neri Saldana</x:v>
      </x:c>
    </x:row>
    <x:row r="30" ht="23" customHeight="1">
      <x:c r="A30" s="45" t="str">
        <x:v>Centro Centro</x:v>
      </x:c>
      <x:c r="B30" s="45" t="str">
        <x:v>Maria Anallely Sanchez Garcia</x:v>
      </x:c>
      <x:c r="C30" s="45" t="str">
        <x:v>Maria Anallely Sanchez Garcia</x:v>
      </x:c>
      <x:c r="D30" s="45" t="str">
        <x:v>Maria Anallely Sanchez Garcia</x:v>
      </x:c>
    </x:row>
    <x:row r="31" ht="23" customHeight="1">
      <x:c r="A31" s="45" t="str">
        <x:v>Centro Centro</x:v>
      </x:c>
      <x:c r="B31" s="45" t="str">
        <x:v>Nora Caracas Saldaña</x:v>
      </x:c>
      <x:c r="C31" s="45" t="str">
        <x:v>Nora Caracas Saldaña</x:v>
      </x:c>
      <x:c r="D31" s="45" t="str">
        <x:v>Nora Caracas Saldaña</x:v>
      </x:c>
    </x:row>
    <x:row r="32" ht="23" customHeight="1">
      <x:c r="A32" s="45" t="str">
        <x:v>Centro Centro</x:v>
      </x:c>
      <x:c r="B32" s="45" t="str">
        <x:v>Sin asignación</x:v>
      </x:c>
      <x:c r="C32" s="45" t="str">
        <x:v>Sin asignación</x:v>
      </x:c>
      <x:c r="D32" s="45" t="str">
        <x:v>Sin asignación</x:v>
      </x:c>
    </x:row>
    <x:row r="33" ht="23" customHeight="1">
      <x:c r="A33" s="45" t="str">
        <x:v>Centro Centro</x:v>
      </x:c>
      <x:c r="B33" s="45" t="str">
        <x:v>Vacante</x:v>
      </x:c>
      <x:c r="C33" s="45" t="str">
        <x:v>Vacante</x:v>
      </x:c>
      <x:c r="D33" s="45" t="str">
        <x:v>Vacante</x:v>
      </x:c>
    </x:row>
    <x:row r="34" ht="23" customHeight="1">
      <x:c r="A34" s="45" t="str">
        <x:v>Bajío</x:v>
      </x:c>
      <x:c r="B34" s="45" t="str">
        <x:v>Christian Medina Capetillo</x:v>
      </x:c>
      <x:c r="C34" s="45" t="str">
        <x:v>Christian Medina Capetillo</x:v>
      </x:c>
      <x:c r="D34" s="45" t="str">
        <x:v>Christian Medina Capetillo</x:v>
      </x:c>
    </x:row>
    <x:row r="35" ht="23" customHeight="1">
      <x:c r="A35" s="45" t="str">
        <x:v>Bajío</x:v>
      </x:c>
      <x:c r="B35" s="45" t="str">
        <x:v>David Carrasco</x:v>
      </x:c>
      <x:c r="C35" s="45" t="str">
        <x:v>David Carrasco Hernandez</x:v>
      </x:c>
      <x:c r="D35" s="45" t="str">
        <x:v>David Carrasco</x:v>
      </x:c>
    </x:row>
    <x:row r="36" ht="23" customHeight="1">
      <x:c r="A36" s="45" t="str">
        <x:v>Bajío</x:v>
      </x:c>
      <x:c r="B36" s="45" t="str">
        <x:v>Elizabeth Berenice Chaires Espinoza</x:v>
      </x:c>
      <x:c r="C36" s="45" t="str">
        <x:v>Elizabeth Berenice Chaires Espinoza</x:v>
      </x:c>
      <x:c r="D36" s="45" t="str">
        <x:v>Elizabeth Berenice Chaires Espinoza</x:v>
      </x:c>
    </x:row>
    <x:row r="37" ht="23" customHeight="1">
      <x:c r="A37" s="45" t="str">
        <x:v>Bajío</x:v>
      </x:c>
      <x:c r="B37" s="45" t="str">
        <x:v>Gloria Montiel Piñon</x:v>
      </x:c>
      <x:c r="C37" s="45" t="str">
        <x:v>Gloria Montiel Piñon</x:v>
      </x:c>
      <x:c r="D37" s="45" t="str">
        <x:v>Gloria Montiel Piñon</x:v>
      </x:c>
    </x:row>
    <x:row r="38" ht="23" customHeight="1">
      <x:c r="A38" s="45" t="str">
        <x:v>Bajío</x:v>
      </x:c>
      <x:c r="B38" s="45" t="str">
        <x:v>Joel Pereda Rojas</x:v>
      </x:c>
      <x:c r="C38" s="45" t="str">
        <x:v>Joel Pereda Rojas</x:v>
      </x:c>
      <x:c r="D38" s="45" t="str">
        <x:v>Joel Pereda Rojas</x:v>
      </x:c>
    </x:row>
    <x:row r="39" ht="23" customHeight="1">
      <x:c r="A39" s="45" t="str">
        <x:v>Bajío</x:v>
      </x:c>
      <x:c r="B39" s="45" t="str">
        <x:v>Jose Antonio Gutierrez Lopez</x:v>
      </x:c>
      <x:c r="C39" s="45" t="str">
        <x:v>Jose Antonio Gutierrez Lopez</x:v>
      </x:c>
      <x:c r="D39" s="45" t="str">
        <x:v>Jose Antonio Gutierrez Lopez</x:v>
      </x:c>
    </x:row>
    <x:row r="40" ht="23" customHeight="1">
      <x:c r="A40" s="45" t="str">
        <x:v>Bajío</x:v>
      </x:c>
      <x:c r="B40" s="45" t="str">
        <x:v>Josue Joatan Gonzalez Anaya</x:v>
      </x:c>
      <x:c r="C40" s="45" t="str">
        <x:v>Josue Joatan Gonzalez Anaya</x:v>
      </x:c>
      <x:c r="D40" s="45" t="str">
        <x:v>Josue Joatan Gonzalez Anaya</x:v>
      </x:c>
    </x:row>
    <x:row r="41" ht="23" customHeight="1">
      <x:c r="A41" s="45" t="str">
        <x:v>Bajío</x:v>
      </x:c>
      <x:c r="B41" s="45" t="str">
        <x:v>Mauricio Sour Romero</x:v>
      </x:c>
      <x:c r="C41" s="45" t="str">
        <x:v>Mauricio Sour Romero</x:v>
      </x:c>
      <x:c r="D41" s="45" t="str">
        <x:v>Mauricio Sour Romero</x:v>
      </x:c>
    </x:row>
  </x:sheetData>
  <x:pageMargins left="0.7" right="0.7" top="0.75" bottom="0.75" header="0.3" footer="0.3"/>
  <x:tableParts count="1">
    <x:tablePart xmlns:r="http://schemas.openxmlformats.org/officeDocument/2006/relationships" r:id="Rc2614afde9d1466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baseColWidth="10" defaultColWidth="8.6640625" defaultRowHeight="14"/>
  <x:cols>
    <x:col min="1" max="1" width="11" hidden="0" customWidth="1"/>
    <x:col min="2" max="2" width="22" hidden="0" customWidth="1"/>
    <x:col min="3" max="6" width="14" customWidth="1"/>
    <x:col min="3" max="3" width="34" hidden="0" customWidth="1"/>
    <x:col min="4" max="4" width="25" hidden="0" customWidth="1"/>
    <x:col min="5" max="5" width="18" hidden="0" customWidth="1"/>
    <x:col min="6" max="6" width="30" hidden="0" customWidth="1"/>
  </x:cols>
  <x:sheetData>
    <x:row r="1" ht="34" customHeight="1">
      <x:c r="A1" s="84" t="str">
        <x:v>CC</x:v>
      </x:c>
      <x:c r="B1" s="84" t="str">
        <x:v>Región</x:v>
      </x:c>
      <x:c r="C1" s="84" t="str">
        <x:v>DM</x:v>
      </x:c>
      <x:c r="D1" s="84" t="str">
        <x:v>Relación Región DM</x:v>
      </x:c>
      <x:c r="E1" s="84" t="str">
        <x:v>CeCo único</x:v>
      </x:c>
      <x:c r="F1" s="84" t="str">
        <x:v>Ubicación</x:v>
      </x:c>
    </x:row>
    <x:row r="2" ht="23" customHeight="1">
      <x:c r="A2" s="45" t="str">
        <x:f>'Ubicaciones'!C2</x:f>
        <x:v>38333</x:v>
      </x:c>
      <x:c r="B2" s="45" t="str">
        <x:f>'Ubicaciones'!A2</x:f>
        <x:v>Centro Norte</x:v>
      </x:c>
      <x:c r="C2" s="45" t="str">
        <x:f>'Ubicaciones'!B2</x:f>
        <x:v>Enrique César</x:v>
      </x:c>
      <x:c r="D2" s="45" t="str">
        <x:f>IF(COUNTIFS('Catalogos'!$A$2:$A$41,B2,'Catalogos'!$B$2:$B$41,C2)&gt;0,"Correcta","Revisar Región DM")</x:f>
        <x:v>Correcta</x:v>
      </x:c>
      <x:c r="E2" s="45" t="str">
        <x:f>IF(COUNTIFS('Ubicaciones'!$C$2:$C$10001,A2)=1,"Único","Duplicado")</x:f>
        <x:v>Único</x:v>
      </x:c>
      <x:c r="F2" s="45" t="str">
        <x:f>IF('Ubicaciones'!T2=1,"Ubicable",IF(OR('Ubicaciones'!E2="Abierta",'Ubicaciones'!E2="Próxima Apertura"),"Coordenadas o activa pendientes","Fuera por estatus"))</x:f>
        <x:v>Ubicable</x:v>
      </x:c>
    </x:row>
    <x:row r="3" ht="23" customHeight="1">
      <x:c r="A3" s="45" t="str">
        <x:f>'Ubicaciones'!C3</x:f>
        <x:v>38339</x:v>
      </x:c>
      <x:c r="B3" s="45" t="str">
        <x:f>'Ubicaciones'!A3</x:f>
        <x:v>Centro Norte</x:v>
      </x:c>
      <x:c r="C3" s="45" t="str">
        <x:f>'Ubicaciones'!B3</x:f>
        <x:v>Enrique César</x:v>
      </x:c>
      <x:c r="D3" s="45" t="str">
        <x:f>IF(COUNTIFS('Catalogos'!$A$2:$A$41,B3,'Catalogos'!$B$2:$B$41,C3)&gt;0,"Correcta","Revisar Región DM")</x:f>
        <x:v>Correcta</x:v>
      </x:c>
      <x:c r="E3" s="45" t="str">
        <x:f>IF(COUNTIFS('Ubicaciones'!$C$2:$C$10001,A3)=1,"Único","Duplicado")</x:f>
        <x:v>Único</x:v>
      </x:c>
      <x:c r="F3" s="45" t="str">
        <x:f>IF('Ubicaciones'!T3=1,"Ubicable",IF(OR('Ubicaciones'!E3="Abierta",'Ubicaciones'!E3="Próxima Apertura"),"Coordenadas o activa pendientes","Fuera por estatus"))</x:f>
        <x:v>Ubicable</x:v>
      </x:c>
    </x:row>
    <x:row r="4" ht="23" customHeight="1">
      <x:c r="A4" s="45" t="str">
        <x:f>'Ubicaciones'!C4</x:f>
        <x:v>38368</x:v>
      </x:c>
      <x:c r="B4" s="45" t="str">
        <x:f>'Ubicaciones'!A4</x:f>
        <x:v>Centro Norte</x:v>
      </x:c>
      <x:c r="C4" s="45" t="str">
        <x:f>'Ubicaciones'!B4</x:f>
        <x:v>Enrique César</x:v>
      </x:c>
      <x:c r="D4" s="45" t="str">
        <x:f>IF(COUNTIFS('Catalogos'!$A$2:$A$41,B4,'Catalogos'!$B$2:$B$41,C4)&gt;0,"Correcta","Revisar Región DM")</x:f>
        <x:v>Correcta</x:v>
      </x:c>
      <x:c r="E4" s="45" t="str">
        <x:f>IF(COUNTIFS('Ubicaciones'!$C$2:$C$10001,A4)=1,"Único","Duplicado")</x:f>
        <x:v>Único</x:v>
      </x:c>
      <x:c r="F4" s="45" t="str">
        <x:f>IF('Ubicaciones'!T4=1,"Ubicable",IF(OR('Ubicaciones'!E4="Abierta",'Ubicaciones'!E4="Próxima Apertura"),"Coordenadas o activa pendientes","Fuera por estatus"))</x:f>
        <x:v>Ubicable</x:v>
      </x:c>
    </x:row>
    <x:row r="5" ht="23" customHeight="1">
      <x:c r="A5" s="45" t="str">
        <x:f>'Ubicaciones'!C5</x:f>
        <x:v>38401</x:v>
      </x:c>
      <x:c r="B5" s="45" t="str">
        <x:f>'Ubicaciones'!A5</x:f>
        <x:v>Centro Norte</x:v>
      </x:c>
      <x:c r="C5" s="45" t="str">
        <x:f>'Ubicaciones'!B5</x:f>
        <x:v>Enrique César</x:v>
      </x:c>
      <x:c r="D5" s="45" t="str">
        <x:f>IF(COUNTIFS('Catalogos'!$A$2:$A$41,B5,'Catalogos'!$B$2:$B$41,C5)&gt;0,"Correcta","Revisar Región DM")</x:f>
        <x:v>Correcta</x:v>
      </x:c>
      <x:c r="E5" s="45" t="str">
        <x:f>IF(COUNTIFS('Ubicaciones'!$C$2:$C$10001,A5)=1,"Único","Duplicado")</x:f>
        <x:v>Único</x:v>
      </x:c>
      <x:c r="F5" s="45" t="str">
        <x:f>IF('Ubicaciones'!T5=1,"Ubicable",IF(OR('Ubicaciones'!E5="Abierta",'Ubicaciones'!E5="Próxima Apertura"),"Coordenadas o activa pendientes","Fuera por estatus"))</x:f>
        <x:v>Ubicable</x:v>
      </x:c>
    </x:row>
    <x:row r="6" ht="23" customHeight="1">
      <x:c r="A6" s="45" t="str">
        <x:f>'Ubicaciones'!C6</x:f>
        <x:v>38456</x:v>
      </x:c>
      <x:c r="B6" s="45" t="str">
        <x:f>'Ubicaciones'!A6</x:f>
        <x:v>Centro Norte</x:v>
      </x:c>
      <x:c r="C6" s="45" t="str">
        <x:f>'Ubicaciones'!B6</x:f>
        <x:v>Enrique César</x:v>
      </x:c>
      <x:c r="D6" s="45" t="str">
        <x:f>IF(COUNTIFS('Catalogos'!$A$2:$A$41,B6,'Catalogos'!$B$2:$B$41,C6)&gt;0,"Correcta","Revisar Región DM")</x:f>
        <x:v>Correcta</x:v>
      </x:c>
      <x:c r="E6" s="45" t="str">
        <x:f>IF(COUNTIFS('Ubicaciones'!$C$2:$C$10001,A6)=1,"Único","Duplicado")</x:f>
        <x:v>Único</x:v>
      </x:c>
      <x:c r="F6" s="45" t="str">
        <x:f>IF('Ubicaciones'!T6=1,"Ubicable",IF(OR('Ubicaciones'!E6="Abierta",'Ubicaciones'!E6="Próxima Apertura"),"Coordenadas o activa pendientes","Fuera por estatus"))</x:f>
        <x:v>Ubicable</x:v>
      </x:c>
    </x:row>
    <x:row r="7" ht="23" customHeight="1">
      <x:c r="A7" s="45" t="str">
        <x:f>'Ubicaciones'!C7</x:f>
        <x:v>38515</x:v>
      </x:c>
      <x:c r="B7" s="45" t="str">
        <x:f>'Ubicaciones'!A7</x:f>
        <x:v>Centro Norte</x:v>
      </x:c>
      <x:c r="C7" s="45" t="str">
        <x:f>'Ubicaciones'!B7</x:f>
        <x:v>Enrique César</x:v>
      </x:c>
      <x:c r="D7" s="45" t="str">
        <x:f>IF(COUNTIFS('Catalogos'!$A$2:$A$41,B7,'Catalogos'!$B$2:$B$41,C7)&gt;0,"Correcta","Revisar Región DM")</x:f>
        <x:v>Correcta</x:v>
      </x:c>
      <x:c r="E7" s="45" t="str">
        <x:f>IF(COUNTIFS('Ubicaciones'!$C$2:$C$10001,A7)=1,"Único","Duplicado")</x:f>
        <x:v>Único</x:v>
      </x:c>
      <x:c r="F7" s="45" t="str">
        <x:f>IF('Ubicaciones'!T7=1,"Ubicable",IF(OR('Ubicaciones'!E7="Abierta",'Ubicaciones'!E7="Próxima Apertura"),"Coordenadas o activa pendientes","Fuera por estatus"))</x:f>
        <x:v>Ubicable</x:v>
      </x:c>
    </x:row>
    <x:row r="8" ht="23" customHeight="1">
      <x:c r="A8" s="45" t="str">
        <x:f>'Ubicaciones'!C8</x:f>
        <x:v>38604</x:v>
      </x:c>
      <x:c r="B8" s="45" t="str">
        <x:f>'Ubicaciones'!A8</x:f>
        <x:v>Centro Norte</x:v>
      </x:c>
      <x:c r="C8" s="45" t="str">
        <x:f>'Ubicaciones'!B8</x:f>
        <x:v>Enrique César</x:v>
      </x:c>
      <x:c r="D8" s="45" t="str">
        <x:f>IF(COUNTIFS('Catalogos'!$A$2:$A$41,B8,'Catalogos'!$B$2:$B$41,C8)&gt;0,"Correcta","Revisar Región DM")</x:f>
        <x:v>Correcta</x:v>
      </x:c>
      <x:c r="E8" s="45" t="str">
        <x:f>IF(COUNTIFS('Ubicaciones'!$C$2:$C$10001,A8)=1,"Único","Duplicado")</x:f>
        <x:v>Único</x:v>
      </x:c>
      <x:c r="F8" s="45" t="str">
        <x:f>IF('Ubicaciones'!T8=1,"Ubicable",IF(OR('Ubicaciones'!E8="Abierta",'Ubicaciones'!E8="Próxima Apertura"),"Coordenadas o activa pendientes","Fuera por estatus"))</x:f>
        <x:v>Ubicable</x:v>
      </x:c>
    </x:row>
    <x:row r="9" ht="23" customHeight="1">
      <x:c r="A9" s="45" t="str">
        <x:f>'Ubicaciones'!C9</x:f>
        <x:v>38862</x:v>
      </x:c>
      <x:c r="B9" s="45" t="str">
        <x:f>'Ubicaciones'!A9</x:f>
        <x:v>Centro Norte</x:v>
      </x:c>
      <x:c r="C9" s="45" t="str">
        <x:f>'Ubicaciones'!B9</x:f>
        <x:v>Enrique César</x:v>
      </x:c>
      <x:c r="D9" s="45" t="str">
        <x:f>IF(COUNTIFS('Catalogos'!$A$2:$A$41,B9,'Catalogos'!$B$2:$B$41,C9)&gt;0,"Correcta","Revisar Región DM")</x:f>
        <x:v>Correcta</x:v>
      </x:c>
      <x:c r="E9" s="45" t="str">
        <x:f>IF(COUNTIFS('Ubicaciones'!$C$2:$C$10001,A9)=1,"Único","Duplicado")</x:f>
        <x:v>Único</x:v>
      </x:c>
      <x:c r="F9" s="45" t="str">
        <x:f>IF('Ubicaciones'!T9=1,"Ubicable",IF(OR('Ubicaciones'!E9="Abierta",'Ubicaciones'!E9="Próxima Apertura"),"Coordenadas o activa pendientes","Fuera por estatus"))</x:f>
        <x:v>Ubicable</x:v>
      </x:c>
    </x:row>
    <x:row r="10" ht="23" customHeight="1">
      <x:c r="A10" s="45" t="str">
        <x:f>'Ubicaciones'!C10</x:f>
        <x:v>38894</x:v>
      </x:c>
      <x:c r="B10" s="45" t="str">
        <x:f>'Ubicaciones'!A10</x:f>
        <x:v>Centro Norte</x:v>
      </x:c>
      <x:c r="C10" s="45" t="str">
        <x:f>'Ubicaciones'!B10</x:f>
        <x:v>Enrique César</x:v>
      </x:c>
      <x:c r="D10" s="45" t="str">
        <x:f>IF(COUNTIFS('Catalogos'!$A$2:$A$41,B10,'Catalogos'!$B$2:$B$41,C10)&gt;0,"Correcta","Revisar Región DM")</x:f>
        <x:v>Correcta</x:v>
      </x:c>
      <x:c r="E10" s="45" t="str">
        <x:f>IF(COUNTIFS('Ubicaciones'!$C$2:$C$10001,A10)=1,"Único","Duplicado")</x:f>
        <x:v>Único</x:v>
      </x:c>
      <x:c r="F10" s="45" t="str">
        <x:f>IF('Ubicaciones'!T10=1,"Ubicable",IF(OR('Ubicaciones'!E10="Abierta",'Ubicaciones'!E10="Próxima Apertura"),"Coordenadas o activa pendientes","Fuera por estatus"))</x:f>
        <x:v>Ubicable</x:v>
      </x:c>
    </x:row>
    <x:row r="11" ht="23" customHeight="1">
      <x:c r="A11" s="45" t="str">
        <x:f>'Ubicaciones'!C11</x:f>
        <x:v>43193</x:v>
      </x:c>
      <x:c r="B11" s="45" t="str">
        <x:f>'Ubicaciones'!A11</x:f>
        <x:v>Centro Norte</x:v>
      </x:c>
      <x:c r="C11" s="45" t="str">
        <x:f>'Ubicaciones'!B11</x:f>
        <x:v>Enrique César</x:v>
      </x:c>
      <x:c r="D11" s="45" t="str">
        <x:f>IF(COUNTIFS('Catalogos'!$A$2:$A$41,B11,'Catalogos'!$B$2:$B$41,C11)&gt;0,"Correcta","Revisar Región DM")</x:f>
        <x:v>Correcta</x:v>
      </x:c>
      <x:c r="E11" s="45" t="str">
        <x:f>IF(COUNTIFS('Ubicaciones'!$C$2:$C$10001,A11)=1,"Único","Duplicado")</x:f>
        <x:v>Único</x:v>
      </x:c>
      <x:c r="F11" s="45" t="str">
        <x:f>IF('Ubicaciones'!T11=1,"Ubicable",IF(OR('Ubicaciones'!E11="Abierta",'Ubicaciones'!E11="Próxima Apertura"),"Coordenadas o activa pendientes","Fuera por estatus"))</x:f>
        <x:v>Ubicable</x:v>
      </x:c>
    </x:row>
    <x:row r="12" ht="23" customHeight="1">
      <x:c r="A12" s="45" t="str">
        <x:f>'Ubicaciones'!C12</x:f>
        <x:v>43300</x:v>
      </x:c>
      <x:c r="B12" s="45" t="str">
        <x:f>'Ubicaciones'!A12</x:f>
        <x:v>Centro Norte</x:v>
      </x:c>
      <x:c r="C12" s="45" t="str">
        <x:f>'Ubicaciones'!B12</x:f>
        <x:v>Enrique César</x:v>
      </x:c>
      <x:c r="D12" s="45" t="str">
        <x:f>IF(COUNTIFS('Catalogos'!$A$2:$A$41,B12,'Catalogos'!$B$2:$B$41,C12)&gt;0,"Correcta","Revisar Región DM")</x:f>
        <x:v>Correcta</x:v>
      </x:c>
      <x:c r="E12" s="45" t="str">
        <x:f>IF(COUNTIFS('Ubicaciones'!$C$2:$C$10001,A12)=1,"Único","Duplicado")</x:f>
        <x:v>Único</x:v>
      </x:c>
      <x:c r="F12" s="45" t="str">
        <x:f>IF('Ubicaciones'!T12=1,"Ubicable",IF(OR('Ubicaciones'!E12="Abierta",'Ubicaciones'!E12="Próxima Apertura"),"Coordenadas o activa pendientes","Fuera por estatus"))</x:f>
        <x:v>Ubicable</x:v>
      </x:c>
    </x:row>
    <x:row r="13" ht="23" customHeight="1">
      <x:c r="A13" s="45" t="str">
        <x:f>'Ubicaciones'!C13</x:f>
        <x:v>43301</x:v>
      </x:c>
      <x:c r="B13" s="45" t="str">
        <x:f>'Ubicaciones'!A13</x:f>
        <x:v>Centro Norte</x:v>
      </x:c>
      <x:c r="C13" s="45" t="str">
        <x:f>'Ubicaciones'!B13</x:f>
        <x:v>Enrique César</x:v>
      </x:c>
      <x:c r="D13" s="45" t="str">
        <x:f>IF(COUNTIFS('Catalogos'!$A$2:$A$41,B13,'Catalogos'!$B$2:$B$41,C13)&gt;0,"Correcta","Revisar Región DM")</x:f>
        <x:v>Correcta</x:v>
      </x:c>
      <x:c r="E13" s="45" t="str">
        <x:f>IF(COUNTIFS('Ubicaciones'!$C$2:$C$10001,A13)=1,"Único","Duplicado")</x:f>
        <x:v>Único</x:v>
      </x:c>
      <x:c r="F13" s="45" t="str">
        <x:f>IF('Ubicaciones'!T13=1,"Ubicable",IF(OR('Ubicaciones'!E13="Abierta",'Ubicaciones'!E13="Próxima Apertura"),"Coordenadas o activa pendientes","Fuera por estatus"))</x:f>
        <x:v>Ubicable</x:v>
      </x:c>
    </x:row>
    <x:row r="14" ht="23" customHeight="1">
      <x:c r="A14" s="45" t="str">
        <x:f>'Ubicaciones'!C14</x:f>
        <x:v>38136</x:v>
      </x:c>
      <x:c r="B14" s="45" t="str">
        <x:f>'Ubicaciones'!A14</x:f>
        <x:v>Centro Norte</x:v>
      </x:c>
      <x:c r="C14" s="45" t="str">
        <x:f>'Ubicaciones'!B14</x:f>
        <x:v>Nancy Rodríguez</x:v>
      </x:c>
      <x:c r="D14" s="45" t="str">
        <x:f>IF(COUNTIFS('Catalogos'!$A$2:$A$41,B14,'Catalogos'!$B$2:$B$41,C14)&gt;0,"Correcta","Revisar Región DM")</x:f>
        <x:v>Correcta</x:v>
      </x:c>
      <x:c r="E14" s="45" t="str">
        <x:f>IF(COUNTIFS('Ubicaciones'!$C$2:$C$10001,A14)=1,"Único","Duplicado")</x:f>
        <x:v>Único</x:v>
      </x:c>
      <x:c r="F14" s="45" t="str">
        <x:f>IF('Ubicaciones'!T14=1,"Ubicable",IF(OR('Ubicaciones'!E14="Abierta",'Ubicaciones'!E14="Próxima Apertura"),"Coordenadas o activa pendientes","Fuera por estatus"))</x:f>
        <x:v>Ubicable</x:v>
      </x:c>
    </x:row>
    <x:row r="15" ht="23" customHeight="1">
      <x:c r="A15" s="45" t="str">
        <x:f>'Ubicaciones'!C15</x:f>
        <x:v>38186</x:v>
      </x:c>
      <x:c r="B15" s="45" t="str">
        <x:f>'Ubicaciones'!A15</x:f>
        <x:v>Centro Norte</x:v>
      </x:c>
      <x:c r="C15" s="45" t="str">
        <x:f>'Ubicaciones'!B15</x:f>
        <x:v>Nancy Rodríguez</x:v>
      </x:c>
      <x:c r="D15" s="45" t="str">
        <x:f>IF(COUNTIFS('Catalogos'!$A$2:$A$41,B15,'Catalogos'!$B$2:$B$41,C15)&gt;0,"Correcta","Revisar Región DM")</x:f>
        <x:v>Correcta</x:v>
      </x:c>
      <x:c r="E15" s="45" t="str">
        <x:f>IF(COUNTIFS('Ubicaciones'!$C$2:$C$10001,A15)=1,"Único","Duplicado")</x:f>
        <x:v>Único</x:v>
      </x:c>
      <x:c r="F15" s="45" t="str">
        <x:f>IF('Ubicaciones'!T15=1,"Ubicable",IF(OR('Ubicaciones'!E15="Abierta",'Ubicaciones'!E15="Próxima Apertura"),"Coordenadas o activa pendientes","Fuera por estatus"))</x:f>
        <x:v>Ubicable</x:v>
      </x:c>
    </x:row>
    <x:row r="16" ht="23" customHeight="1">
      <x:c r="A16" s="45" t="str">
        <x:f>'Ubicaciones'!C16</x:f>
        <x:v>38230</x:v>
      </x:c>
      <x:c r="B16" s="45" t="str">
        <x:f>'Ubicaciones'!A16</x:f>
        <x:v>Centro Norte</x:v>
      </x:c>
      <x:c r="C16" s="45" t="str">
        <x:f>'Ubicaciones'!B16</x:f>
        <x:v>Nancy Rodríguez</x:v>
      </x:c>
      <x:c r="D16" s="45" t="str">
        <x:f>IF(COUNTIFS('Catalogos'!$A$2:$A$41,B16,'Catalogos'!$B$2:$B$41,C16)&gt;0,"Correcta","Revisar Región DM")</x:f>
        <x:v>Correcta</x:v>
      </x:c>
      <x:c r="E16" s="45" t="str">
        <x:f>IF(COUNTIFS('Ubicaciones'!$C$2:$C$10001,A16)=1,"Único","Duplicado")</x:f>
        <x:v>Único</x:v>
      </x:c>
      <x:c r="F16" s="45" t="str">
        <x:f>IF('Ubicaciones'!T16=1,"Ubicable",IF(OR('Ubicaciones'!E16="Abierta",'Ubicaciones'!E16="Próxima Apertura"),"Coordenadas o activa pendientes","Fuera por estatus"))</x:f>
        <x:v>Ubicable</x:v>
      </x:c>
    </x:row>
    <x:row r="17" ht="23" customHeight="1">
      <x:c r="A17" s="45" t="str">
        <x:f>'Ubicaciones'!C17</x:f>
        <x:v>38374</x:v>
      </x:c>
      <x:c r="B17" s="45" t="str">
        <x:f>'Ubicaciones'!A17</x:f>
        <x:v>Centro Norte</x:v>
      </x:c>
      <x:c r="C17" s="45" t="str">
        <x:f>'Ubicaciones'!B17</x:f>
        <x:v>Nancy Rodríguez</x:v>
      </x:c>
      <x:c r="D17" s="45" t="str">
        <x:f>IF(COUNTIFS('Catalogos'!$A$2:$A$41,B17,'Catalogos'!$B$2:$B$41,C17)&gt;0,"Correcta","Revisar Región DM")</x:f>
        <x:v>Correcta</x:v>
      </x:c>
      <x:c r="E17" s="45" t="str">
        <x:f>IF(COUNTIFS('Ubicaciones'!$C$2:$C$10001,A17)=1,"Único","Duplicado")</x:f>
        <x:v>Único</x:v>
      </x:c>
      <x:c r="F17" s="45" t="str">
        <x:f>IF('Ubicaciones'!T17=1,"Ubicable",IF(OR('Ubicaciones'!E17="Abierta",'Ubicaciones'!E17="Próxima Apertura"),"Coordenadas o activa pendientes","Fuera por estatus"))</x:f>
        <x:v>Ubicable</x:v>
      </x:c>
    </x:row>
    <x:row r="18" ht="23" customHeight="1">
      <x:c r="A18" s="45" t="str">
        <x:f>'Ubicaciones'!C18</x:f>
        <x:v>38442</x:v>
      </x:c>
      <x:c r="B18" s="45" t="str">
        <x:f>'Ubicaciones'!A18</x:f>
        <x:v>Centro Norte</x:v>
      </x:c>
      <x:c r="C18" s="45" t="str">
        <x:f>'Ubicaciones'!B18</x:f>
        <x:v>Nancy Rodríguez</x:v>
      </x:c>
      <x:c r="D18" s="45" t="str">
        <x:f>IF(COUNTIFS('Catalogos'!$A$2:$A$41,B18,'Catalogos'!$B$2:$B$41,C18)&gt;0,"Correcta","Revisar Región DM")</x:f>
        <x:v>Correcta</x:v>
      </x:c>
      <x:c r="E18" s="45" t="str">
        <x:f>IF(COUNTIFS('Ubicaciones'!$C$2:$C$10001,A18)=1,"Único","Duplicado")</x:f>
        <x:v>Único</x:v>
      </x:c>
      <x:c r="F18" s="45" t="str">
        <x:f>IF('Ubicaciones'!T18=1,"Ubicable",IF(OR('Ubicaciones'!E18="Abierta",'Ubicaciones'!E18="Próxima Apertura"),"Coordenadas o activa pendientes","Fuera por estatus"))</x:f>
        <x:v>Ubicable</x:v>
      </x:c>
    </x:row>
    <x:row r="19" ht="23" customHeight="1">
      <x:c r="A19" s="45" t="str">
        <x:f>'Ubicaciones'!C19</x:f>
        <x:v>38460</x:v>
      </x:c>
      <x:c r="B19" s="45" t="str">
        <x:f>'Ubicaciones'!A19</x:f>
        <x:v>Centro Norte</x:v>
      </x:c>
      <x:c r="C19" s="45" t="str">
        <x:f>'Ubicaciones'!B19</x:f>
        <x:v>Nancy Rodríguez</x:v>
      </x:c>
      <x:c r="D19" s="45" t="str">
        <x:f>IF(COUNTIFS('Catalogos'!$A$2:$A$41,B19,'Catalogos'!$B$2:$B$41,C19)&gt;0,"Correcta","Revisar Región DM")</x:f>
        <x:v>Correcta</x:v>
      </x:c>
      <x:c r="E19" s="45" t="str">
        <x:f>IF(COUNTIFS('Ubicaciones'!$C$2:$C$10001,A19)=1,"Único","Duplicado")</x:f>
        <x:v>Único</x:v>
      </x:c>
      <x:c r="F19" s="45" t="str">
        <x:f>IF('Ubicaciones'!T19=1,"Ubicable",IF(OR('Ubicaciones'!E19="Abierta",'Ubicaciones'!E19="Próxima Apertura"),"Coordenadas o activa pendientes","Fuera por estatus"))</x:f>
        <x:v>Ubicable</x:v>
      </x:c>
    </x:row>
    <x:row r="20" ht="23" customHeight="1">
      <x:c r="A20" s="45" t="str">
        <x:f>'Ubicaciones'!C20</x:f>
        <x:v>38606</x:v>
      </x:c>
      <x:c r="B20" s="45" t="str">
        <x:f>'Ubicaciones'!A20</x:f>
        <x:v>Centro Norte</x:v>
      </x:c>
      <x:c r="C20" s="45" t="str">
        <x:f>'Ubicaciones'!B20</x:f>
        <x:v>Nancy Rodríguez</x:v>
      </x:c>
      <x:c r="D20" s="45" t="str">
        <x:f>IF(COUNTIFS('Catalogos'!$A$2:$A$41,B20,'Catalogos'!$B$2:$B$41,C20)&gt;0,"Correcta","Revisar Región DM")</x:f>
        <x:v>Correcta</x:v>
      </x:c>
      <x:c r="E20" s="45" t="str">
        <x:f>IF(COUNTIFS('Ubicaciones'!$C$2:$C$10001,A20)=1,"Único","Duplicado")</x:f>
        <x:v>Único</x:v>
      </x:c>
      <x:c r="F20" s="45" t="str">
        <x:f>IF('Ubicaciones'!T20=1,"Ubicable",IF(OR('Ubicaciones'!E20="Abierta",'Ubicaciones'!E20="Próxima Apertura"),"Coordenadas o activa pendientes","Fuera por estatus"))</x:f>
        <x:v>Ubicable</x:v>
      </x:c>
    </x:row>
    <x:row r="21" ht="23" customHeight="1">
      <x:c r="A21" s="45" t="str">
        <x:f>'Ubicaciones'!C21</x:f>
        <x:v>38661</x:v>
      </x:c>
      <x:c r="B21" s="45" t="str">
        <x:f>'Ubicaciones'!A21</x:f>
        <x:v>Centro Norte</x:v>
      </x:c>
      <x:c r="C21" s="45" t="str">
        <x:f>'Ubicaciones'!B21</x:f>
        <x:v>Nancy Rodríguez</x:v>
      </x:c>
      <x:c r="D21" s="45" t="str">
        <x:f>IF(COUNTIFS('Catalogos'!$A$2:$A$41,B21,'Catalogos'!$B$2:$B$41,C21)&gt;0,"Correcta","Revisar Región DM")</x:f>
        <x:v>Correcta</x:v>
      </x:c>
      <x:c r="E21" s="45" t="str">
        <x:f>IF(COUNTIFS('Ubicaciones'!$C$2:$C$10001,A21)=1,"Único","Duplicado")</x:f>
        <x:v>Único</x:v>
      </x:c>
      <x:c r="F21" s="45" t="str">
        <x:f>IF('Ubicaciones'!T21=1,"Ubicable",IF(OR('Ubicaciones'!E21="Abierta",'Ubicaciones'!E21="Próxima Apertura"),"Coordenadas o activa pendientes","Fuera por estatus"))</x:f>
        <x:v>Ubicable</x:v>
      </x:c>
    </x:row>
    <x:row r="22" ht="23" customHeight="1">
      <x:c r="A22" s="45" t="str">
        <x:f>'Ubicaciones'!C22</x:f>
        <x:v>38674</x:v>
      </x:c>
      <x:c r="B22" s="45" t="str">
        <x:f>'Ubicaciones'!A22</x:f>
        <x:v>Centro Norte</x:v>
      </x:c>
      <x:c r="C22" s="45" t="str">
        <x:f>'Ubicaciones'!B22</x:f>
        <x:v>Nancy Rodríguez</x:v>
      </x:c>
      <x:c r="D22" s="45" t="str">
        <x:f>IF(COUNTIFS('Catalogos'!$A$2:$A$41,B22,'Catalogos'!$B$2:$B$41,C22)&gt;0,"Correcta","Revisar Región DM")</x:f>
        <x:v>Correcta</x:v>
      </x:c>
      <x:c r="E22" s="45" t="str">
        <x:f>IF(COUNTIFS('Ubicaciones'!$C$2:$C$10001,A22)=1,"Único","Duplicado")</x:f>
        <x:v>Único</x:v>
      </x:c>
      <x:c r="F22" s="45" t="str">
        <x:f>IF('Ubicaciones'!T22=1,"Ubicable",IF(OR('Ubicaciones'!E22="Abierta",'Ubicaciones'!E22="Próxima Apertura"),"Coordenadas o activa pendientes","Fuera por estatus"))</x:f>
        <x:v>Ubicable</x:v>
      </x:c>
    </x:row>
    <x:row r="23" ht="23" customHeight="1">
      <x:c r="A23" s="45" t="str">
        <x:f>'Ubicaciones'!C23</x:f>
        <x:v>38694</x:v>
      </x:c>
      <x:c r="B23" s="45" t="str">
        <x:f>'Ubicaciones'!A23</x:f>
        <x:v>Centro Norte</x:v>
      </x:c>
      <x:c r="C23" s="45" t="str">
        <x:f>'Ubicaciones'!B23</x:f>
        <x:v>Nancy Rodríguez</x:v>
      </x:c>
      <x:c r="D23" s="45" t="str">
        <x:f>IF(COUNTIFS('Catalogos'!$A$2:$A$41,B23,'Catalogos'!$B$2:$B$41,C23)&gt;0,"Correcta","Revisar Región DM")</x:f>
        <x:v>Correcta</x:v>
      </x:c>
      <x:c r="E23" s="45" t="str">
        <x:f>IF(COUNTIFS('Ubicaciones'!$C$2:$C$10001,A23)=1,"Único","Duplicado")</x:f>
        <x:v>Único</x:v>
      </x:c>
      <x:c r="F23" s="45" t="str">
        <x:f>IF('Ubicaciones'!T23=1,"Ubicable",IF(OR('Ubicaciones'!E23="Abierta",'Ubicaciones'!E23="Próxima Apertura"),"Coordenadas o activa pendientes","Fuera por estatus"))</x:f>
        <x:v>Ubicable</x:v>
      </x:c>
    </x:row>
    <x:row r="24" ht="23" customHeight="1">
      <x:c r="A24" s="45" t="str">
        <x:f>'Ubicaciones'!C24</x:f>
        <x:v>38792</x:v>
      </x:c>
      <x:c r="B24" s="45" t="str">
        <x:f>'Ubicaciones'!A24</x:f>
        <x:v>Centro Norte</x:v>
      </x:c>
      <x:c r="C24" s="45" t="str">
        <x:f>'Ubicaciones'!B24</x:f>
        <x:v>Nancy Rodríguez</x:v>
      </x:c>
      <x:c r="D24" s="45" t="str">
        <x:f>IF(COUNTIFS('Catalogos'!$A$2:$A$41,B24,'Catalogos'!$B$2:$B$41,C24)&gt;0,"Correcta","Revisar Región DM")</x:f>
        <x:v>Correcta</x:v>
      </x:c>
      <x:c r="E24" s="45" t="str">
        <x:f>IF(COUNTIFS('Ubicaciones'!$C$2:$C$10001,A24)=1,"Único","Duplicado")</x:f>
        <x:v>Único</x:v>
      </x:c>
      <x:c r="F24" s="45" t="str">
        <x:f>IF('Ubicaciones'!T24=1,"Ubicable",IF(OR('Ubicaciones'!E24="Abierta",'Ubicaciones'!E24="Próxima Apertura"),"Coordenadas o activa pendientes","Fuera por estatus"))</x:f>
        <x:v>Ubicable</x:v>
      </x:c>
    </x:row>
    <x:row r="25" ht="23" customHeight="1">
      <x:c r="A25" s="45" t="str">
        <x:f>'Ubicaciones'!C25</x:f>
        <x:v>38845</x:v>
      </x:c>
      <x:c r="B25" s="45" t="str">
        <x:f>'Ubicaciones'!A25</x:f>
        <x:v>Centro Norte</x:v>
      </x:c>
      <x:c r="C25" s="45" t="str">
        <x:f>'Ubicaciones'!B25</x:f>
        <x:v>Nancy Rodríguez</x:v>
      </x:c>
      <x:c r="D25" s="45" t="str">
        <x:f>IF(COUNTIFS('Catalogos'!$A$2:$A$41,B25,'Catalogos'!$B$2:$B$41,C25)&gt;0,"Correcta","Revisar Región DM")</x:f>
        <x:v>Correcta</x:v>
      </x:c>
      <x:c r="E25" s="45" t="str">
        <x:f>IF(COUNTIFS('Ubicaciones'!$C$2:$C$10001,A25)=1,"Único","Duplicado")</x:f>
        <x:v>Único</x:v>
      </x:c>
      <x:c r="F25" s="45" t="str">
        <x:f>IF('Ubicaciones'!T25=1,"Ubicable",IF(OR('Ubicaciones'!E25="Abierta",'Ubicaciones'!E25="Próxima Apertura"),"Coordenadas o activa pendientes","Fuera por estatus"))</x:f>
        <x:v>Ubicable</x:v>
      </x:c>
    </x:row>
    <x:row r="26" ht="23" customHeight="1">
      <x:c r="A26" s="45" t="str">
        <x:f>'Ubicaciones'!C26</x:f>
        <x:v>43261</x:v>
      </x:c>
      <x:c r="B26" s="45" t="str">
        <x:f>'Ubicaciones'!A26</x:f>
        <x:v>Centro Norte</x:v>
      </x:c>
      <x:c r="C26" s="45" t="str">
        <x:f>'Ubicaciones'!B26</x:f>
        <x:v>Nancy Rodríguez</x:v>
      </x:c>
      <x:c r="D26" s="45" t="str">
        <x:f>IF(COUNTIFS('Catalogos'!$A$2:$A$41,B26,'Catalogos'!$B$2:$B$41,C26)&gt;0,"Correcta","Revisar Región DM")</x:f>
        <x:v>Correcta</x:v>
      </x:c>
      <x:c r="E26" s="45" t="str">
        <x:f>IF(COUNTIFS('Ubicaciones'!$C$2:$C$10001,A26)=1,"Único","Duplicado")</x:f>
        <x:v>Único</x:v>
      </x:c>
      <x:c r="F26" s="45" t="str">
        <x:f>IF('Ubicaciones'!T26=1,"Ubicable",IF(OR('Ubicaciones'!E26="Abierta",'Ubicaciones'!E26="Próxima Apertura"),"Coordenadas o activa pendientes","Fuera por estatus"))</x:f>
        <x:v>Ubicable</x:v>
      </x:c>
    </x:row>
    <x:row r="27" ht="23" customHeight="1">
      <x:c r="A27" s="45" t="str">
        <x:f>'Ubicaciones'!C27</x:f>
        <x:v>38205</x:v>
      </x:c>
      <x:c r="B27" s="45" t="str">
        <x:f>'Ubicaciones'!A27</x:f>
        <x:v>Centro Norte</x:v>
      </x:c>
      <x:c r="C27" s="45" t="str">
        <x:f>'Ubicaciones'!B27</x:f>
        <x:v>Vanessa Carreño</x:v>
      </x:c>
      <x:c r="D27" s="45" t="str">
        <x:f>IF(COUNTIFS('Catalogos'!$A$2:$A$41,B27,'Catalogos'!$B$2:$B$41,C27)&gt;0,"Correcta","Revisar Región DM")</x:f>
        <x:v>Correcta</x:v>
      </x:c>
      <x:c r="E27" s="45" t="str">
        <x:f>IF(COUNTIFS('Ubicaciones'!$C$2:$C$10001,A27)=1,"Único","Duplicado")</x:f>
        <x:v>Único</x:v>
      </x:c>
      <x:c r="F27" s="45" t="str">
        <x:f>IF('Ubicaciones'!T27=1,"Ubicable",IF(OR('Ubicaciones'!E27="Abierta",'Ubicaciones'!E27="Próxima Apertura"),"Coordenadas o activa pendientes","Fuera por estatus"))</x:f>
        <x:v>Ubicable</x:v>
      </x:c>
    </x:row>
    <x:row r="28" ht="23" customHeight="1">
      <x:c r="A28" s="45" t="str">
        <x:f>'Ubicaciones'!C28</x:f>
        <x:v>38207</x:v>
      </x:c>
      <x:c r="B28" s="45" t="str">
        <x:f>'Ubicaciones'!A28</x:f>
        <x:v>Centro Norte</x:v>
      </x:c>
      <x:c r="C28" s="45" t="str">
        <x:f>'Ubicaciones'!B28</x:f>
        <x:v>Vanessa Carreño</x:v>
      </x:c>
      <x:c r="D28" s="45" t="str">
        <x:f>IF(COUNTIFS('Catalogos'!$A$2:$A$41,B28,'Catalogos'!$B$2:$B$41,C28)&gt;0,"Correcta","Revisar Región DM")</x:f>
        <x:v>Correcta</x:v>
      </x:c>
      <x:c r="E28" s="45" t="str">
        <x:f>IF(COUNTIFS('Ubicaciones'!$C$2:$C$10001,A28)=1,"Único","Duplicado")</x:f>
        <x:v>Único</x:v>
      </x:c>
      <x:c r="F28" s="45" t="str">
        <x:f>IF('Ubicaciones'!T28=1,"Ubicable",IF(OR('Ubicaciones'!E28="Abierta",'Ubicaciones'!E28="Próxima Apertura"),"Coordenadas o activa pendientes","Fuera por estatus"))</x:f>
        <x:v>Ubicable</x:v>
      </x:c>
    </x:row>
    <x:row r="29" ht="23" customHeight="1">
      <x:c r="A29" s="45" t="str">
        <x:f>'Ubicaciones'!C29</x:f>
        <x:v>38371</x:v>
      </x:c>
      <x:c r="B29" s="45" t="str">
        <x:f>'Ubicaciones'!A29</x:f>
        <x:v>Centro Norte</x:v>
      </x:c>
      <x:c r="C29" s="45" t="str">
        <x:f>'Ubicaciones'!B29</x:f>
        <x:v>Vanessa Carreño</x:v>
      </x:c>
      <x:c r="D29" s="45" t="str">
        <x:f>IF(COUNTIFS('Catalogos'!$A$2:$A$41,B29,'Catalogos'!$B$2:$B$41,C29)&gt;0,"Correcta","Revisar Región DM")</x:f>
        <x:v>Correcta</x:v>
      </x:c>
      <x:c r="E29" s="45" t="str">
        <x:f>IF(COUNTIFS('Ubicaciones'!$C$2:$C$10001,A29)=1,"Único","Duplicado")</x:f>
        <x:v>Único</x:v>
      </x:c>
      <x:c r="F29" s="45" t="str">
        <x:f>IF('Ubicaciones'!T29=1,"Ubicable",IF(OR('Ubicaciones'!E29="Abierta",'Ubicaciones'!E29="Próxima Apertura"),"Coordenadas o activa pendientes","Fuera por estatus"))</x:f>
        <x:v>Ubicable</x:v>
      </x:c>
    </x:row>
    <x:row r="30" ht="23" customHeight="1">
      <x:c r="A30" s="45" t="str">
        <x:f>'Ubicaciones'!C30</x:f>
        <x:v>38411</x:v>
      </x:c>
      <x:c r="B30" s="45" t="str">
        <x:f>'Ubicaciones'!A30</x:f>
        <x:v>Centro Norte</x:v>
      </x:c>
      <x:c r="C30" s="45" t="str">
        <x:f>'Ubicaciones'!B30</x:f>
        <x:v>Vanessa Carreño</x:v>
      </x:c>
      <x:c r="D30" s="45" t="str">
        <x:f>IF(COUNTIFS('Catalogos'!$A$2:$A$41,B30,'Catalogos'!$B$2:$B$41,C30)&gt;0,"Correcta","Revisar Región DM")</x:f>
        <x:v>Correcta</x:v>
      </x:c>
      <x:c r="E30" s="45" t="str">
        <x:f>IF(COUNTIFS('Ubicaciones'!$C$2:$C$10001,A30)=1,"Único","Duplicado")</x:f>
        <x:v>Único</x:v>
      </x:c>
      <x:c r="F30" s="45" t="str">
        <x:f>IF('Ubicaciones'!T30=1,"Ubicable",IF(OR('Ubicaciones'!E30="Abierta",'Ubicaciones'!E30="Próxima Apertura"),"Coordenadas o activa pendientes","Fuera por estatus"))</x:f>
        <x:v>Ubicable</x:v>
      </x:c>
    </x:row>
    <x:row r="31" ht="23" customHeight="1">
      <x:c r="A31" s="45" t="str">
        <x:f>'Ubicaciones'!C31</x:f>
        <x:v>38527</x:v>
      </x:c>
      <x:c r="B31" s="45" t="str">
        <x:f>'Ubicaciones'!A31</x:f>
        <x:v>Centro Norte</x:v>
      </x:c>
      <x:c r="C31" s="45" t="str">
        <x:f>'Ubicaciones'!B31</x:f>
        <x:v>Vanessa Carreño</x:v>
      </x:c>
      <x:c r="D31" s="45" t="str">
        <x:f>IF(COUNTIFS('Catalogos'!$A$2:$A$41,B31,'Catalogos'!$B$2:$B$41,C31)&gt;0,"Correcta","Revisar Región DM")</x:f>
        <x:v>Correcta</x:v>
      </x:c>
      <x:c r="E31" s="45" t="str">
        <x:f>IF(COUNTIFS('Ubicaciones'!$C$2:$C$10001,A31)=1,"Único","Duplicado")</x:f>
        <x:v>Único</x:v>
      </x:c>
      <x:c r="F31" s="45" t="str">
        <x:f>IF('Ubicaciones'!T31=1,"Ubicable",IF(OR('Ubicaciones'!E31="Abierta",'Ubicaciones'!E31="Próxima Apertura"),"Coordenadas o activa pendientes","Fuera por estatus"))</x:f>
        <x:v>Ubicable</x:v>
      </x:c>
    </x:row>
    <x:row r="32" ht="23" customHeight="1">
      <x:c r="A32" s="45" t="str">
        <x:f>'Ubicaciones'!C32</x:f>
        <x:v>38546</x:v>
      </x:c>
      <x:c r="B32" s="45" t="str">
        <x:f>'Ubicaciones'!A32</x:f>
        <x:v>Centro Norte</x:v>
      </x:c>
      <x:c r="C32" s="45" t="str">
        <x:f>'Ubicaciones'!B32</x:f>
        <x:v>Vanessa Carreño</x:v>
      </x:c>
      <x:c r="D32" s="45" t="str">
        <x:f>IF(COUNTIFS('Catalogos'!$A$2:$A$41,B32,'Catalogos'!$B$2:$B$41,C32)&gt;0,"Correcta","Revisar Región DM")</x:f>
        <x:v>Correcta</x:v>
      </x:c>
      <x:c r="E32" s="45" t="str">
        <x:f>IF(COUNTIFS('Ubicaciones'!$C$2:$C$10001,A32)=1,"Único","Duplicado")</x:f>
        <x:v>Único</x:v>
      </x:c>
      <x:c r="F32" s="45" t="str">
        <x:f>IF('Ubicaciones'!T32=1,"Ubicable",IF(OR('Ubicaciones'!E32="Abierta",'Ubicaciones'!E32="Próxima Apertura"),"Coordenadas o activa pendientes","Fuera por estatus"))</x:f>
        <x:v>Ubicable</x:v>
      </x:c>
    </x:row>
    <x:row r="33" ht="23" customHeight="1">
      <x:c r="A33" s="45" t="str">
        <x:f>'Ubicaciones'!C33</x:f>
        <x:v>38651</x:v>
      </x:c>
      <x:c r="B33" s="45" t="str">
        <x:f>'Ubicaciones'!A33</x:f>
        <x:v>Centro Norte</x:v>
      </x:c>
      <x:c r="C33" s="45" t="str">
        <x:f>'Ubicaciones'!B33</x:f>
        <x:v>Vanessa Carreño</x:v>
      </x:c>
      <x:c r="D33" s="45" t="str">
        <x:f>IF(COUNTIFS('Catalogos'!$A$2:$A$41,B33,'Catalogos'!$B$2:$B$41,C33)&gt;0,"Correcta","Revisar Región DM")</x:f>
        <x:v>Correcta</x:v>
      </x:c>
      <x:c r="E33" s="45" t="str">
        <x:f>IF(COUNTIFS('Ubicaciones'!$C$2:$C$10001,A33)=1,"Único","Duplicado")</x:f>
        <x:v>Único</x:v>
      </x:c>
      <x:c r="F33" s="45" t="str">
        <x:f>IF('Ubicaciones'!T33=1,"Ubicable",IF(OR('Ubicaciones'!E33="Abierta",'Ubicaciones'!E33="Próxima Apertura"),"Coordenadas o activa pendientes","Fuera por estatus"))</x:f>
        <x:v>Ubicable</x:v>
      </x:c>
    </x:row>
    <x:row r="34" ht="23" customHeight="1">
      <x:c r="A34" s="45" t="str">
        <x:f>'Ubicaciones'!C34</x:f>
        <x:v>38677</x:v>
      </x:c>
      <x:c r="B34" s="45" t="str">
        <x:f>'Ubicaciones'!A34</x:f>
        <x:v>Centro Norte</x:v>
      </x:c>
      <x:c r="C34" s="45" t="str">
        <x:f>'Ubicaciones'!B34</x:f>
        <x:v>Vanessa Carreño</x:v>
      </x:c>
      <x:c r="D34" s="45" t="str">
        <x:f>IF(COUNTIFS('Catalogos'!$A$2:$A$41,B34,'Catalogos'!$B$2:$B$41,C34)&gt;0,"Correcta","Revisar Región DM")</x:f>
        <x:v>Correcta</x:v>
      </x:c>
      <x:c r="E34" s="45" t="str">
        <x:f>IF(COUNTIFS('Ubicaciones'!$C$2:$C$10001,A34)=1,"Único","Duplicado")</x:f>
        <x:v>Único</x:v>
      </x:c>
      <x:c r="F34" s="45" t="str">
        <x:f>IF('Ubicaciones'!T34=1,"Ubicable",IF(OR('Ubicaciones'!E34="Abierta",'Ubicaciones'!E34="Próxima Apertura"),"Coordenadas o activa pendientes","Fuera por estatus"))</x:f>
        <x:v>Ubicable</x:v>
      </x:c>
    </x:row>
    <x:row r="35" ht="23" customHeight="1">
      <x:c r="A35" s="45" t="str">
        <x:f>'Ubicaciones'!C35</x:f>
        <x:v>38837</x:v>
      </x:c>
      <x:c r="B35" s="45" t="str">
        <x:f>'Ubicaciones'!A35</x:f>
        <x:v>Centro Norte</x:v>
      </x:c>
      <x:c r="C35" s="45" t="str">
        <x:f>'Ubicaciones'!B35</x:f>
        <x:v>Vanessa Carreño</x:v>
      </x:c>
      <x:c r="D35" s="45" t="str">
        <x:f>IF(COUNTIFS('Catalogos'!$A$2:$A$41,B35,'Catalogos'!$B$2:$B$41,C35)&gt;0,"Correcta","Revisar Región DM")</x:f>
        <x:v>Correcta</x:v>
      </x:c>
      <x:c r="E35" s="45" t="str">
        <x:f>IF(COUNTIFS('Ubicaciones'!$C$2:$C$10001,A35)=1,"Único","Duplicado")</x:f>
        <x:v>Único</x:v>
      </x:c>
      <x:c r="F35" s="45" t="str">
        <x:f>IF('Ubicaciones'!T35=1,"Ubicable",IF(OR('Ubicaciones'!E35="Abierta",'Ubicaciones'!E35="Próxima Apertura"),"Coordenadas o activa pendientes","Fuera por estatus"))</x:f>
        <x:v>Ubicable</x:v>
      </x:c>
    </x:row>
    <x:row r="36" ht="23" customHeight="1">
      <x:c r="A36" s="45" t="str">
        <x:f>'Ubicaciones'!C36</x:f>
        <x:v>43111</x:v>
      </x:c>
      <x:c r="B36" s="45" t="str">
        <x:f>'Ubicaciones'!A36</x:f>
        <x:v>Centro Norte</x:v>
      </x:c>
      <x:c r="C36" s="45" t="str">
        <x:f>'Ubicaciones'!B36</x:f>
        <x:v>Vanessa Carreño</x:v>
      </x:c>
      <x:c r="D36" s="45" t="str">
        <x:f>IF(COUNTIFS('Catalogos'!$A$2:$A$41,B36,'Catalogos'!$B$2:$B$41,C36)&gt;0,"Correcta","Revisar Región DM")</x:f>
        <x:v>Correcta</x:v>
      </x:c>
      <x:c r="E36" s="45" t="str">
        <x:f>IF(COUNTIFS('Ubicaciones'!$C$2:$C$10001,A36)=1,"Único","Duplicado")</x:f>
        <x:v>Único</x:v>
      </x:c>
      <x:c r="F36" s="45" t="str">
        <x:f>IF('Ubicaciones'!T36=1,"Ubicable",IF(OR('Ubicaciones'!E36="Abierta",'Ubicaciones'!E36="Próxima Apertura"),"Coordenadas o activa pendientes","Fuera por estatus"))</x:f>
        <x:v>Ubicable</x:v>
      </x:c>
    </x:row>
    <x:row r="37" ht="23" customHeight="1">
      <x:c r="A37" s="45" t="str">
        <x:f>'Ubicaciones'!C37</x:f>
        <x:v>43132</x:v>
      </x:c>
      <x:c r="B37" s="45" t="str">
        <x:f>'Ubicaciones'!A37</x:f>
        <x:v>Centro Norte</x:v>
      </x:c>
      <x:c r="C37" s="45" t="str">
        <x:f>'Ubicaciones'!B37</x:f>
        <x:v>Vanessa Carreño</x:v>
      </x:c>
      <x:c r="D37" s="45" t="str">
        <x:f>IF(COUNTIFS('Catalogos'!$A$2:$A$41,B37,'Catalogos'!$B$2:$B$41,C37)&gt;0,"Correcta","Revisar Región DM")</x:f>
        <x:v>Correcta</x:v>
      </x:c>
      <x:c r="E37" s="45" t="str">
        <x:f>IF(COUNTIFS('Ubicaciones'!$C$2:$C$10001,A37)=1,"Único","Duplicado")</x:f>
        <x:v>Único</x:v>
      </x:c>
      <x:c r="F37" s="45" t="str">
        <x:f>IF('Ubicaciones'!T37=1,"Ubicable",IF(OR('Ubicaciones'!E37="Abierta",'Ubicaciones'!E37="Próxima Apertura"),"Coordenadas o activa pendientes","Fuera por estatus"))</x:f>
        <x:v>Ubicable</x:v>
      </x:c>
    </x:row>
    <x:row r="38" ht="23" customHeight="1">
      <x:c r="A38" s="45" t="str">
        <x:f>'Ubicaciones'!C38</x:f>
        <x:v>43194</x:v>
      </x:c>
      <x:c r="B38" s="45" t="str">
        <x:f>'Ubicaciones'!A38</x:f>
        <x:v>Centro Norte</x:v>
      </x:c>
      <x:c r="C38" s="45" t="str">
        <x:f>'Ubicaciones'!B38</x:f>
        <x:v>Vanessa Carreño</x:v>
      </x:c>
      <x:c r="D38" s="45" t="str">
        <x:f>IF(COUNTIFS('Catalogos'!$A$2:$A$41,B38,'Catalogos'!$B$2:$B$41,C38)&gt;0,"Correcta","Revisar Región DM")</x:f>
        <x:v>Correcta</x:v>
      </x:c>
      <x:c r="E38" s="45" t="str">
        <x:f>IF(COUNTIFS('Ubicaciones'!$C$2:$C$10001,A38)=1,"Único","Duplicado")</x:f>
        <x:v>Único</x:v>
      </x:c>
      <x:c r="F38" s="45" t="str">
        <x:f>IF('Ubicaciones'!T38=1,"Ubicable",IF(OR('Ubicaciones'!E38="Abierta",'Ubicaciones'!E38="Próxima Apertura"),"Coordenadas o activa pendientes","Fuera por estatus"))</x:f>
        <x:v>Ubicable</x:v>
      </x:c>
    </x:row>
    <x:row r="39" ht="23" customHeight="1">
      <x:c r="A39" s="45" t="str">
        <x:f>'Ubicaciones'!C39</x:f>
        <x:v>43195</x:v>
      </x:c>
      <x:c r="B39" s="45" t="str">
        <x:f>'Ubicaciones'!A39</x:f>
        <x:v>Centro Norte</x:v>
      </x:c>
      <x:c r="C39" s="45" t="str">
        <x:f>'Ubicaciones'!B39</x:f>
        <x:v>Vanessa Carreño</x:v>
      </x:c>
      <x:c r="D39" s="45" t="str">
        <x:f>IF(COUNTIFS('Catalogos'!$A$2:$A$41,B39,'Catalogos'!$B$2:$B$41,C39)&gt;0,"Correcta","Revisar Región DM")</x:f>
        <x:v>Correcta</x:v>
      </x:c>
      <x:c r="E39" s="45" t="str">
        <x:f>IF(COUNTIFS('Ubicaciones'!$C$2:$C$10001,A39)=1,"Único","Duplicado")</x:f>
        <x:v>Único</x:v>
      </x:c>
      <x:c r="F39" s="45" t="str">
        <x:f>IF('Ubicaciones'!T39=1,"Ubicable",IF(OR('Ubicaciones'!E39="Abierta",'Ubicaciones'!E39="Próxima Apertura"),"Coordenadas o activa pendientes","Fuera por estatus"))</x:f>
        <x:v>Ubicable</x:v>
      </x:c>
    </x:row>
    <x:row r="40" ht="23" customHeight="1">
      <x:c r="A40" s="45" t="str">
        <x:f>'Ubicaciones'!C40</x:f>
        <x:v>38431</x:v>
      </x:c>
      <x:c r="B40" s="45" t="str">
        <x:f>'Ubicaciones'!A40</x:f>
        <x:v>Centro Norte</x:v>
      </x:c>
      <x:c r="C40" s="45" t="str">
        <x:f>'Ubicaciones'!B40</x:f>
        <x:v>Veronica García</x:v>
      </x:c>
      <x:c r="D40" s="45" t="str">
        <x:f>IF(COUNTIFS('Catalogos'!$A$2:$A$41,B40,'Catalogos'!$B$2:$B$41,C40)&gt;0,"Correcta","Revisar Región DM")</x:f>
        <x:v>Correcta</x:v>
      </x:c>
      <x:c r="E40" s="45" t="str">
        <x:f>IF(COUNTIFS('Ubicaciones'!$C$2:$C$10001,A40)=1,"Único","Duplicado")</x:f>
        <x:v>Único</x:v>
      </x:c>
      <x:c r="F40" s="45" t="str">
        <x:f>IF('Ubicaciones'!T40=1,"Ubicable",IF(OR('Ubicaciones'!E40="Abierta",'Ubicaciones'!E40="Próxima Apertura"),"Coordenadas o activa pendientes","Fuera por estatus"))</x:f>
        <x:v>Ubicable</x:v>
      </x:c>
    </x:row>
    <x:row r="41" ht="23" customHeight="1">
      <x:c r="A41" s="45" t="str">
        <x:f>'Ubicaciones'!C41</x:f>
        <x:v>38529</x:v>
      </x:c>
      <x:c r="B41" s="45" t="str">
        <x:f>'Ubicaciones'!A41</x:f>
        <x:v>Centro Norte</x:v>
      </x:c>
      <x:c r="C41" s="45" t="str">
        <x:f>'Ubicaciones'!B41</x:f>
        <x:v>Veronica García</x:v>
      </x:c>
      <x:c r="D41" s="45" t="str">
        <x:f>IF(COUNTIFS('Catalogos'!$A$2:$A$41,B41,'Catalogos'!$B$2:$B$41,C41)&gt;0,"Correcta","Revisar Región DM")</x:f>
        <x:v>Correcta</x:v>
      </x:c>
      <x:c r="E41" s="45" t="str">
        <x:f>IF(COUNTIFS('Ubicaciones'!$C$2:$C$10001,A41)=1,"Único","Duplicado")</x:f>
        <x:v>Único</x:v>
      </x:c>
      <x:c r="F41" s="45" t="str">
        <x:f>IF('Ubicaciones'!T41=1,"Ubicable",IF(OR('Ubicaciones'!E41="Abierta",'Ubicaciones'!E41="Próxima Apertura"),"Coordenadas o activa pendientes","Fuera por estatus"))</x:f>
        <x:v>Ubicable</x:v>
      </x:c>
    </x:row>
    <x:row r="42" ht="23" customHeight="1">
      <x:c r="A42" s="45" t="str">
        <x:f>'Ubicaciones'!C42</x:f>
        <x:v>38719</x:v>
      </x:c>
      <x:c r="B42" s="45" t="str">
        <x:f>'Ubicaciones'!A42</x:f>
        <x:v>Centro Norte</x:v>
      </x:c>
      <x:c r="C42" s="45" t="str">
        <x:f>'Ubicaciones'!B42</x:f>
        <x:v>Veronica García</x:v>
      </x:c>
      <x:c r="D42" s="45" t="str">
        <x:f>IF(COUNTIFS('Catalogos'!$A$2:$A$41,B42,'Catalogos'!$B$2:$B$41,C42)&gt;0,"Correcta","Revisar Región DM")</x:f>
        <x:v>Correcta</x:v>
      </x:c>
      <x:c r="E42" s="45" t="str">
        <x:f>IF(COUNTIFS('Ubicaciones'!$C$2:$C$10001,A42)=1,"Único","Duplicado")</x:f>
        <x:v>Único</x:v>
      </x:c>
      <x:c r="F42" s="45" t="str">
        <x:f>IF('Ubicaciones'!T42=1,"Ubicable",IF(OR('Ubicaciones'!E42="Abierta",'Ubicaciones'!E42="Próxima Apertura"),"Coordenadas o activa pendientes","Fuera por estatus"))</x:f>
        <x:v>Ubicable</x:v>
      </x:c>
    </x:row>
    <x:row r="43" ht="23" customHeight="1">
      <x:c r="A43" s="45" t="str">
        <x:f>'Ubicaciones'!C43</x:f>
        <x:v>38811</x:v>
      </x:c>
      <x:c r="B43" s="45" t="str">
        <x:f>'Ubicaciones'!A43</x:f>
        <x:v>Centro Norte</x:v>
      </x:c>
      <x:c r="C43" s="45" t="str">
        <x:f>'Ubicaciones'!B43</x:f>
        <x:v>Veronica García</x:v>
      </x:c>
      <x:c r="D43" s="45" t="str">
        <x:f>IF(COUNTIFS('Catalogos'!$A$2:$A$41,B43,'Catalogos'!$B$2:$B$41,C43)&gt;0,"Correcta","Revisar Región DM")</x:f>
        <x:v>Correcta</x:v>
      </x:c>
      <x:c r="E43" s="45" t="str">
        <x:f>IF(COUNTIFS('Ubicaciones'!$C$2:$C$10001,A43)=1,"Único","Duplicado")</x:f>
        <x:v>Único</x:v>
      </x:c>
      <x:c r="F43" s="45" t="str">
        <x:f>IF('Ubicaciones'!T43=1,"Ubicable",IF(OR('Ubicaciones'!E43="Abierta",'Ubicaciones'!E43="Próxima Apertura"),"Coordenadas o activa pendientes","Fuera por estatus"))</x:f>
        <x:v>Ubicable</x:v>
      </x:c>
    </x:row>
    <x:row r="44" ht="23" customHeight="1">
      <x:c r="A44" s="45" t="str">
        <x:f>'Ubicaciones'!C44</x:f>
        <x:v>38903</x:v>
      </x:c>
      <x:c r="B44" s="45" t="str">
        <x:f>'Ubicaciones'!A44</x:f>
        <x:v>Centro Norte</x:v>
      </x:c>
      <x:c r="C44" s="45" t="str">
        <x:f>'Ubicaciones'!B44</x:f>
        <x:v>Veronica García</x:v>
      </x:c>
      <x:c r="D44" s="45" t="str">
        <x:f>IF(COUNTIFS('Catalogos'!$A$2:$A$41,B44,'Catalogos'!$B$2:$B$41,C44)&gt;0,"Correcta","Revisar Región DM")</x:f>
        <x:v>Correcta</x:v>
      </x:c>
      <x:c r="E44" s="45" t="str">
        <x:f>IF(COUNTIFS('Ubicaciones'!$C$2:$C$10001,A44)=1,"Único","Duplicado")</x:f>
        <x:v>Único</x:v>
      </x:c>
      <x:c r="F44" s="45" t="str">
        <x:f>IF('Ubicaciones'!T44=1,"Ubicable",IF(OR('Ubicaciones'!E44="Abierta",'Ubicaciones'!E44="Próxima Apertura"),"Coordenadas o activa pendientes","Fuera por estatus"))</x:f>
        <x:v>Ubicable</x:v>
      </x:c>
    </x:row>
    <x:row r="45" ht="23" customHeight="1">
      <x:c r="A45" s="45" t="str">
        <x:f>'Ubicaciones'!C45</x:f>
        <x:v>38924</x:v>
      </x:c>
      <x:c r="B45" s="45" t="str">
        <x:f>'Ubicaciones'!A45</x:f>
        <x:v>Centro Norte</x:v>
      </x:c>
      <x:c r="C45" s="45" t="str">
        <x:f>'Ubicaciones'!B45</x:f>
        <x:v>Veronica García</x:v>
      </x:c>
      <x:c r="D45" s="45" t="str">
        <x:f>IF(COUNTIFS('Catalogos'!$A$2:$A$41,B45,'Catalogos'!$B$2:$B$41,C45)&gt;0,"Correcta","Revisar Región DM")</x:f>
        <x:v>Correcta</x:v>
      </x:c>
      <x:c r="E45" s="45" t="str">
        <x:f>IF(COUNTIFS('Ubicaciones'!$C$2:$C$10001,A45)=1,"Único","Duplicado")</x:f>
        <x:v>Único</x:v>
      </x:c>
      <x:c r="F45" s="45" t="str">
        <x:f>IF('Ubicaciones'!T45=1,"Ubicable",IF(OR('Ubicaciones'!E45="Abierta",'Ubicaciones'!E45="Próxima Apertura"),"Coordenadas o activa pendientes","Fuera por estatus"))</x:f>
        <x:v>Ubicable</x:v>
      </x:c>
    </x:row>
    <x:row r="46" ht="23" customHeight="1">
      <x:c r="A46" s="45" t="str">
        <x:f>'Ubicaciones'!C46</x:f>
        <x:v>38930</x:v>
      </x:c>
      <x:c r="B46" s="45" t="str">
        <x:f>'Ubicaciones'!A46</x:f>
        <x:v>Centro Norte</x:v>
      </x:c>
      <x:c r="C46" s="45" t="str">
        <x:f>'Ubicaciones'!B46</x:f>
        <x:v>Veronica García</x:v>
      </x:c>
      <x:c r="D46" s="45" t="str">
        <x:f>IF(COUNTIFS('Catalogos'!$A$2:$A$41,B46,'Catalogos'!$B$2:$B$41,C46)&gt;0,"Correcta","Revisar Región DM")</x:f>
        <x:v>Correcta</x:v>
      </x:c>
      <x:c r="E46" s="45" t="str">
        <x:f>IF(COUNTIFS('Ubicaciones'!$C$2:$C$10001,A46)=1,"Único","Duplicado")</x:f>
        <x:v>Único</x:v>
      </x:c>
      <x:c r="F46" s="45" t="str">
        <x:f>IF('Ubicaciones'!T46=1,"Ubicable",IF(OR('Ubicaciones'!E46="Abierta",'Ubicaciones'!E46="Próxima Apertura"),"Coordenadas o activa pendientes","Fuera por estatus"))</x:f>
        <x:v>Ubicable</x:v>
      </x:c>
    </x:row>
    <x:row r="47" ht="23" customHeight="1">
      <x:c r="A47" s="45" t="str">
        <x:f>'Ubicaciones'!C47</x:f>
        <x:v>38937</x:v>
      </x:c>
      <x:c r="B47" s="45" t="str">
        <x:f>'Ubicaciones'!A47</x:f>
        <x:v>Centro Norte</x:v>
      </x:c>
      <x:c r="C47" s="45" t="str">
        <x:f>'Ubicaciones'!B47</x:f>
        <x:v>Veronica García</x:v>
      </x:c>
      <x:c r="D47" s="45" t="str">
        <x:f>IF(COUNTIFS('Catalogos'!$A$2:$A$41,B47,'Catalogos'!$B$2:$B$41,C47)&gt;0,"Correcta","Revisar Región DM")</x:f>
        <x:v>Correcta</x:v>
      </x:c>
      <x:c r="E47" s="45" t="str">
        <x:f>IF(COUNTIFS('Ubicaciones'!$C$2:$C$10001,A47)=1,"Único","Duplicado")</x:f>
        <x:v>Único</x:v>
      </x:c>
      <x:c r="F47" s="45" t="str">
        <x:f>IF('Ubicaciones'!T47=1,"Ubicable",IF(OR('Ubicaciones'!E47="Abierta",'Ubicaciones'!E47="Próxima Apertura"),"Coordenadas o activa pendientes","Fuera por estatus"))</x:f>
        <x:v>Ubicable</x:v>
      </x:c>
    </x:row>
    <x:row r="48" ht="23" customHeight="1">
      <x:c r="A48" s="45" t="str">
        <x:f>'Ubicaciones'!C48</x:f>
        <x:v>38965</x:v>
      </x:c>
      <x:c r="B48" s="45" t="str">
        <x:f>'Ubicaciones'!A48</x:f>
        <x:v>Centro Norte</x:v>
      </x:c>
      <x:c r="C48" s="45" t="str">
        <x:f>'Ubicaciones'!B48</x:f>
        <x:v>Veronica García</x:v>
      </x:c>
      <x:c r="D48" s="45" t="str">
        <x:f>IF(COUNTIFS('Catalogos'!$A$2:$A$41,B48,'Catalogos'!$B$2:$B$41,C48)&gt;0,"Correcta","Revisar Región DM")</x:f>
        <x:v>Correcta</x:v>
      </x:c>
      <x:c r="E48" s="45" t="str">
        <x:f>IF(COUNTIFS('Ubicaciones'!$C$2:$C$10001,A48)=1,"Único","Duplicado")</x:f>
        <x:v>Único</x:v>
      </x:c>
      <x:c r="F48" s="45" t="str">
        <x:f>IF('Ubicaciones'!T48=1,"Ubicable",IF(OR('Ubicaciones'!E48="Abierta",'Ubicaciones'!E48="Próxima Apertura"),"Coordenadas o activa pendientes","Fuera por estatus"))</x:f>
        <x:v>Ubicable</x:v>
      </x:c>
    </x:row>
    <x:row r="49" ht="23" customHeight="1">
      <x:c r="A49" s="45" t="str">
        <x:f>'Ubicaciones'!C49</x:f>
        <x:v>38992</x:v>
      </x:c>
      <x:c r="B49" s="45" t="str">
        <x:f>'Ubicaciones'!A49</x:f>
        <x:v>Centro Norte</x:v>
      </x:c>
      <x:c r="C49" s="45" t="str">
        <x:f>'Ubicaciones'!B49</x:f>
        <x:v>Veronica García</x:v>
      </x:c>
      <x:c r="D49" s="45" t="str">
        <x:f>IF(COUNTIFS('Catalogos'!$A$2:$A$41,B49,'Catalogos'!$B$2:$B$41,C49)&gt;0,"Correcta","Revisar Región DM")</x:f>
        <x:v>Correcta</x:v>
      </x:c>
      <x:c r="E49" s="45" t="str">
        <x:f>IF(COUNTIFS('Ubicaciones'!$C$2:$C$10001,A49)=1,"Único","Duplicado")</x:f>
        <x:v>Único</x:v>
      </x:c>
      <x:c r="F49" s="45" t="str">
        <x:f>IF('Ubicaciones'!T49=1,"Ubicable",IF(OR('Ubicaciones'!E49="Abierta",'Ubicaciones'!E49="Próxima Apertura"),"Coordenadas o activa pendientes","Fuera por estatus"))</x:f>
        <x:v>Ubicable</x:v>
      </x:c>
    </x:row>
    <x:row r="50" ht="23" customHeight="1">
      <x:c r="A50" s="45" t="str">
        <x:f>'Ubicaciones'!C50</x:f>
        <x:v>38995</x:v>
      </x:c>
      <x:c r="B50" s="45" t="str">
        <x:f>'Ubicaciones'!A50</x:f>
        <x:v>Centro Norte</x:v>
      </x:c>
      <x:c r="C50" s="45" t="str">
        <x:f>'Ubicaciones'!B50</x:f>
        <x:v>Veronica García</x:v>
      </x:c>
      <x:c r="D50" s="45" t="str">
        <x:f>IF(COUNTIFS('Catalogos'!$A$2:$A$41,B50,'Catalogos'!$B$2:$B$41,C50)&gt;0,"Correcta","Revisar Región DM")</x:f>
        <x:v>Correcta</x:v>
      </x:c>
      <x:c r="E50" s="45" t="str">
        <x:f>IF(COUNTIFS('Ubicaciones'!$C$2:$C$10001,A50)=1,"Único","Duplicado")</x:f>
        <x:v>Único</x:v>
      </x:c>
      <x:c r="F50" s="45" t="str">
        <x:f>IF('Ubicaciones'!T50=1,"Ubicable",IF(OR('Ubicaciones'!E50="Abierta",'Ubicaciones'!E50="Próxima Apertura"),"Coordenadas o activa pendientes","Fuera por estatus"))</x:f>
        <x:v>Ubicable</x:v>
      </x:c>
    </x:row>
    <x:row r="51" ht="23" customHeight="1">
      <x:c r="A51" s="45" t="str">
        <x:f>'Ubicaciones'!C51</x:f>
        <x:v>38117</x:v>
      </x:c>
      <x:c r="B51" s="45" t="str">
        <x:f>'Ubicaciones'!A51</x:f>
        <x:v>Centro Norte</x:v>
      </x:c>
      <x:c r="C51" s="45" t="str">
        <x:f>'Ubicaciones'!B51</x:f>
        <x:v>Yazmin Chabela</x:v>
      </x:c>
      <x:c r="D51" s="45" t="str">
        <x:f>IF(COUNTIFS('Catalogos'!$A$2:$A$41,B51,'Catalogos'!$B$2:$B$41,C51)&gt;0,"Correcta","Revisar Región DM")</x:f>
        <x:v>Correcta</x:v>
      </x:c>
      <x:c r="E51" s="45" t="str">
        <x:f>IF(COUNTIFS('Ubicaciones'!$C$2:$C$10001,A51)=1,"Único","Duplicado")</x:f>
        <x:v>Único</x:v>
      </x:c>
      <x:c r="F51" s="45" t="str">
        <x:f>IF('Ubicaciones'!T51=1,"Ubicable",IF(OR('Ubicaciones'!E51="Abierta",'Ubicaciones'!E51="Próxima Apertura"),"Coordenadas o activa pendientes","Fuera por estatus"))</x:f>
        <x:v>Ubicable</x:v>
      </x:c>
    </x:row>
    <x:row r="52" ht="23" customHeight="1">
      <x:c r="A52" s="45" t="str">
        <x:f>'Ubicaciones'!C52</x:f>
        <x:v>38176</x:v>
      </x:c>
      <x:c r="B52" s="45" t="str">
        <x:f>'Ubicaciones'!A52</x:f>
        <x:v>Centro Norte</x:v>
      </x:c>
      <x:c r="C52" s="45" t="str">
        <x:f>'Ubicaciones'!B52</x:f>
        <x:v>Yazmin Chabela</x:v>
      </x:c>
      <x:c r="D52" s="45" t="str">
        <x:f>IF(COUNTIFS('Catalogos'!$A$2:$A$41,B52,'Catalogos'!$B$2:$B$41,C52)&gt;0,"Correcta","Revisar Región DM")</x:f>
        <x:v>Correcta</x:v>
      </x:c>
      <x:c r="E52" s="45" t="str">
        <x:f>IF(COUNTIFS('Ubicaciones'!$C$2:$C$10001,A52)=1,"Único","Duplicado")</x:f>
        <x:v>Único</x:v>
      </x:c>
      <x:c r="F52" s="45" t="str">
        <x:f>IF('Ubicaciones'!T52=1,"Ubicable",IF(OR('Ubicaciones'!E52="Abierta",'Ubicaciones'!E52="Próxima Apertura"),"Coordenadas o activa pendientes","Fuera por estatus"))</x:f>
        <x:v>Ubicable</x:v>
      </x:c>
    </x:row>
    <x:row r="53" ht="23" customHeight="1">
      <x:c r="A53" s="45" t="str">
        <x:f>'Ubicaciones'!C53</x:f>
        <x:v>38197</x:v>
      </x:c>
      <x:c r="B53" s="45" t="str">
        <x:f>'Ubicaciones'!A53</x:f>
        <x:v>Centro Norte</x:v>
      </x:c>
      <x:c r="C53" s="45" t="str">
        <x:f>'Ubicaciones'!B53</x:f>
        <x:v>Yazmin Chabela</x:v>
      </x:c>
      <x:c r="D53" s="45" t="str">
        <x:f>IF(COUNTIFS('Catalogos'!$A$2:$A$41,B53,'Catalogos'!$B$2:$B$41,C53)&gt;0,"Correcta","Revisar Región DM")</x:f>
        <x:v>Correcta</x:v>
      </x:c>
      <x:c r="E53" s="45" t="str">
        <x:f>IF(COUNTIFS('Ubicaciones'!$C$2:$C$10001,A53)=1,"Único","Duplicado")</x:f>
        <x:v>Único</x:v>
      </x:c>
      <x:c r="F53" s="45" t="str">
        <x:f>IF('Ubicaciones'!T53=1,"Ubicable",IF(OR('Ubicaciones'!E53="Abierta",'Ubicaciones'!E53="Próxima Apertura"),"Coordenadas o activa pendientes","Fuera por estatus"))</x:f>
        <x:v>Ubicable</x:v>
      </x:c>
    </x:row>
    <x:row r="54" ht="23" customHeight="1">
      <x:c r="A54" s="45" t="str">
        <x:f>'Ubicaciones'!C54</x:f>
        <x:v>38427</x:v>
      </x:c>
      <x:c r="B54" s="45" t="str">
        <x:f>'Ubicaciones'!A54</x:f>
        <x:v>Centro Norte</x:v>
      </x:c>
      <x:c r="C54" s="45" t="str">
        <x:f>'Ubicaciones'!B54</x:f>
        <x:v>Yazmin Chabela</x:v>
      </x:c>
      <x:c r="D54" s="45" t="str">
        <x:f>IF(COUNTIFS('Catalogos'!$A$2:$A$41,B54,'Catalogos'!$B$2:$B$41,C54)&gt;0,"Correcta","Revisar Región DM")</x:f>
        <x:v>Correcta</x:v>
      </x:c>
      <x:c r="E54" s="45" t="str">
        <x:f>IF(COUNTIFS('Ubicaciones'!$C$2:$C$10001,A54)=1,"Único","Duplicado")</x:f>
        <x:v>Único</x:v>
      </x:c>
      <x:c r="F54" s="45" t="str">
        <x:f>IF('Ubicaciones'!T54=1,"Ubicable",IF(OR('Ubicaciones'!E54="Abierta",'Ubicaciones'!E54="Próxima Apertura"),"Coordenadas o activa pendientes","Fuera por estatus"))</x:f>
        <x:v>Ubicable</x:v>
      </x:c>
    </x:row>
    <x:row r="55" ht="23" customHeight="1">
      <x:c r="A55" s="45" t="str">
        <x:f>'Ubicaciones'!C55</x:f>
        <x:v>38458</x:v>
      </x:c>
      <x:c r="B55" s="45" t="str">
        <x:f>'Ubicaciones'!A55</x:f>
        <x:v>Centro Norte</x:v>
      </x:c>
      <x:c r="C55" s="45" t="str">
        <x:f>'Ubicaciones'!B55</x:f>
        <x:v>Yazmin Chabela</x:v>
      </x:c>
      <x:c r="D55" s="45" t="str">
        <x:f>IF(COUNTIFS('Catalogos'!$A$2:$A$41,B55,'Catalogos'!$B$2:$B$41,C55)&gt;0,"Correcta","Revisar Región DM")</x:f>
        <x:v>Correcta</x:v>
      </x:c>
      <x:c r="E55" s="45" t="str">
        <x:f>IF(COUNTIFS('Ubicaciones'!$C$2:$C$10001,A55)=1,"Único","Duplicado")</x:f>
        <x:v>Único</x:v>
      </x:c>
      <x:c r="F55" s="45" t="str">
        <x:f>IF('Ubicaciones'!T55=1,"Ubicable",IF(OR('Ubicaciones'!E55="Abierta",'Ubicaciones'!E55="Próxima Apertura"),"Coordenadas o activa pendientes","Fuera por estatus"))</x:f>
        <x:v>Ubicable</x:v>
      </x:c>
    </x:row>
    <x:row r="56" ht="23" customHeight="1">
      <x:c r="A56" s="45" t="str">
        <x:f>'Ubicaciones'!C56</x:f>
        <x:v>38475</x:v>
      </x:c>
      <x:c r="B56" s="45" t="str">
        <x:f>'Ubicaciones'!A56</x:f>
        <x:v>Centro Norte</x:v>
      </x:c>
      <x:c r="C56" s="45" t="str">
        <x:f>'Ubicaciones'!B56</x:f>
        <x:v>Yazmin Chabela</x:v>
      </x:c>
      <x:c r="D56" s="45" t="str">
        <x:f>IF(COUNTIFS('Catalogos'!$A$2:$A$41,B56,'Catalogos'!$B$2:$B$41,C56)&gt;0,"Correcta","Revisar Región DM")</x:f>
        <x:v>Correcta</x:v>
      </x:c>
      <x:c r="E56" s="45" t="str">
        <x:f>IF(COUNTIFS('Ubicaciones'!$C$2:$C$10001,A56)=1,"Único","Duplicado")</x:f>
        <x:v>Único</x:v>
      </x:c>
      <x:c r="F56" s="45" t="str">
        <x:f>IF('Ubicaciones'!T56=1,"Ubicable",IF(OR('Ubicaciones'!E56="Abierta",'Ubicaciones'!E56="Próxima Apertura"),"Coordenadas o activa pendientes","Fuera por estatus"))</x:f>
        <x:v>Ubicable</x:v>
      </x:c>
    </x:row>
    <x:row r="57" ht="23" customHeight="1">
      <x:c r="A57" s="45" t="str">
        <x:f>'Ubicaciones'!C57</x:f>
        <x:v>38561</x:v>
      </x:c>
      <x:c r="B57" s="45" t="str">
        <x:f>'Ubicaciones'!A57</x:f>
        <x:v>Centro Norte</x:v>
      </x:c>
      <x:c r="C57" s="45" t="str">
        <x:f>'Ubicaciones'!B57</x:f>
        <x:v>Yazmin Chabela</x:v>
      </x:c>
      <x:c r="D57" s="45" t="str">
        <x:f>IF(COUNTIFS('Catalogos'!$A$2:$A$41,B57,'Catalogos'!$B$2:$B$41,C57)&gt;0,"Correcta","Revisar Región DM")</x:f>
        <x:v>Correcta</x:v>
      </x:c>
      <x:c r="E57" s="45" t="str">
        <x:f>IF(COUNTIFS('Ubicaciones'!$C$2:$C$10001,A57)=1,"Único","Duplicado")</x:f>
        <x:v>Único</x:v>
      </x:c>
      <x:c r="F57" s="45" t="str">
        <x:f>IF('Ubicaciones'!T57=1,"Ubicable",IF(OR('Ubicaciones'!E57="Abierta",'Ubicaciones'!E57="Próxima Apertura"),"Coordenadas o activa pendientes","Fuera por estatus"))</x:f>
        <x:v>Ubicable</x:v>
      </x:c>
    </x:row>
    <x:row r="58" ht="23" customHeight="1">
      <x:c r="A58" s="45" t="str">
        <x:f>'Ubicaciones'!C58</x:f>
        <x:v>38590</x:v>
      </x:c>
      <x:c r="B58" s="45" t="str">
        <x:f>'Ubicaciones'!A58</x:f>
        <x:v>Centro Norte</x:v>
      </x:c>
      <x:c r="C58" s="45" t="str">
        <x:f>'Ubicaciones'!B58</x:f>
        <x:v>Yazmin Chabela</x:v>
      </x:c>
      <x:c r="D58" s="45" t="str">
        <x:f>IF(COUNTIFS('Catalogos'!$A$2:$A$41,B58,'Catalogos'!$B$2:$B$41,C58)&gt;0,"Correcta","Revisar Región DM")</x:f>
        <x:v>Correcta</x:v>
      </x:c>
      <x:c r="E58" s="45" t="str">
        <x:f>IF(COUNTIFS('Ubicaciones'!$C$2:$C$10001,A58)=1,"Único","Duplicado")</x:f>
        <x:v>Único</x:v>
      </x:c>
      <x:c r="F58" s="45" t="str">
        <x:f>IF('Ubicaciones'!T58=1,"Ubicable",IF(OR('Ubicaciones'!E58="Abierta",'Ubicaciones'!E58="Próxima Apertura"),"Coordenadas o activa pendientes","Fuera por estatus"))</x:f>
        <x:v>Ubicable</x:v>
      </x:c>
    </x:row>
    <x:row r="59" ht="23" customHeight="1">
      <x:c r="A59" s="45" t="str">
        <x:f>'Ubicaciones'!C59</x:f>
        <x:v>38656</x:v>
      </x:c>
      <x:c r="B59" s="45" t="str">
        <x:f>'Ubicaciones'!A59</x:f>
        <x:v>Centro Norte</x:v>
      </x:c>
      <x:c r="C59" s="45" t="str">
        <x:f>'Ubicaciones'!B59</x:f>
        <x:v>Yazmin Chabela</x:v>
      </x:c>
      <x:c r="D59" s="45" t="str">
        <x:f>IF(COUNTIFS('Catalogos'!$A$2:$A$41,B59,'Catalogos'!$B$2:$B$41,C59)&gt;0,"Correcta","Revisar Región DM")</x:f>
        <x:v>Correcta</x:v>
      </x:c>
      <x:c r="E59" s="45" t="str">
        <x:f>IF(COUNTIFS('Ubicaciones'!$C$2:$C$10001,A59)=1,"Único","Duplicado")</x:f>
        <x:v>Único</x:v>
      </x:c>
      <x:c r="F59" s="45" t="str">
        <x:f>IF('Ubicaciones'!T59=1,"Ubicable",IF(OR('Ubicaciones'!E59="Abierta",'Ubicaciones'!E59="Próxima Apertura"),"Coordenadas o activa pendientes","Fuera por estatus"))</x:f>
        <x:v>Ubicable</x:v>
      </x:c>
    </x:row>
    <x:row r="60" ht="23" customHeight="1">
      <x:c r="A60" s="45" t="str">
        <x:f>'Ubicaciones'!C60</x:f>
        <x:v>38695</x:v>
      </x:c>
      <x:c r="B60" s="45" t="str">
        <x:f>'Ubicaciones'!A60</x:f>
        <x:v>Centro Norte</x:v>
      </x:c>
      <x:c r="C60" s="45" t="str">
        <x:f>'Ubicaciones'!B60</x:f>
        <x:v>Yazmin Chabela</x:v>
      </x:c>
      <x:c r="D60" s="45" t="str">
        <x:f>IF(COUNTIFS('Catalogos'!$A$2:$A$41,B60,'Catalogos'!$B$2:$B$41,C60)&gt;0,"Correcta","Revisar Región DM")</x:f>
        <x:v>Correcta</x:v>
      </x:c>
      <x:c r="E60" s="45" t="str">
        <x:f>IF(COUNTIFS('Ubicaciones'!$C$2:$C$10001,A60)=1,"Único","Duplicado")</x:f>
        <x:v>Único</x:v>
      </x:c>
      <x:c r="F60" s="45" t="str">
        <x:f>IF('Ubicaciones'!T60=1,"Ubicable",IF(OR('Ubicaciones'!E60="Abierta",'Ubicaciones'!E60="Próxima Apertura"),"Coordenadas o activa pendientes","Fuera por estatus"))</x:f>
        <x:v>Ubicable</x:v>
      </x:c>
    </x:row>
    <x:row r="61" ht="23" customHeight="1">
      <x:c r="A61" s="45" t="str">
        <x:f>'Ubicaciones'!C61</x:f>
        <x:v>38770</x:v>
      </x:c>
      <x:c r="B61" s="45" t="str">
        <x:f>'Ubicaciones'!A61</x:f>
        <x:v>Centro Norte</x:v>
      </x:c>
      <x:c r="C61" s="45" t="str">
        <x:f>'Ubicaciones'!B61</x:f>
        <x:v>Yazmin Chabela</x:v>
      </x:c>
      <x:c r="D61" s="45" t="str">
        <x:f>IF(COUNTIFS('Catalogos'!$A$2:$A$41,B61,'Catalogos'!$B$2:$B$41,C61)&gt;0,"Correcta","Revisar Región DM")</x:f>
        <x:v>Correcta</x:v>
      </x:c>
      <x:c r="E61" s="45" t="str">
        <x:f>IF(COUNTIFS('Ubicaciones'!$C$2:$C$10001,A61)=1,"Único","Duplicado")</x:f>
        <x:v>Único</x:v>
      </x:c>
      <x:c r="F61" s="45" t="str">
        <x:f>IF('Ubicaciones'!T61=1,"Ubicable",IF(OR('Ubicaciones'!E61="Abierta",'Ubicaciones'!E61="Próxima Apertura"),"Coordenadas o activa pendientes","Fuera por estatus"))</x:f>
        <x:v>Ubicable</x:v>
      </x:c>
    </x:row>
    <x:row r="62" ht="23" customHeight="1">
      <x:c r="A62" s="45" t="str">
        <x:f>'Ubicaciones'!C62</x:f>
        <x:v>38859</x:v>
      </x:c>
      <x:c r="B62" s="45" t="str">
        <x:f>'Ubicaciones'!A62</x:f>
        <x:v>Centro Norte</x:v>
      </x:c>
      <x:c r="C62" s="45" t="str">
        <x:f>'Ubicaciones'!B62</x:f>
        <x:v>Yazmin Chabela</x:v>
      </x:c>
      <x:c r="D62" s="45" t="str">
        <x:f>IF(COUNTIFS('Catalogos'!$A$2:$A$41,B62,'Catalogos'!$B$2:$B$41,C62)&gt;0,"Correcta","Revisar Región DM")</x:f>
        <x:v>Correcta</x:v>
      </x:c>
      <x:c r="E62" s="45" t="str">
        <x:f>IF(COUNTIFS('Ubicaciones'!$C$2:$C$10001,A62)=1,"Único","Duplicado")</x:f>
        <x:v>Único</x:v>
      </x:c>
      <x:c r="F62" s="45" t="str">
        <x:f>IF('Ubicaciones'!T62=1,"Ubicable",IF(OR('Ubicaciones'!E62="Abierta",'Ubicaciones'!E62="Próxima Apertura"),"Coordenadas o activa pendientes","Fuera por estatus"))</x:f>
        <x:v>Ubicable</x:v>
      </x:c>
    </x:row>
    <x:row r="63" ht="23" customHeight="1">
      <x:c r="A63" s="45" t="str">
        <x:f>'Ubicaciones'!C63</x:f>
        <x:v>43152</x:v>
      </x:c>
      <x:c r="B63" s="45" t="str">
        <x:f>'Ubicaciones'!A63</x:f>
        <x:v>Centro Norte</x:v>
      </x:c>
      <x:c r="C63" s="45" t="str">
        <x:f>'Ubicaciones'!B63</x:f>
        <x:v>Yazmin Chabela</x:v>
      </x:c>
      <x:c r="D63" s="45" t="str">
        <x:f>IF(COUNTIFS('Catalogos'!$A$2:$A$41,B63,'Catalogos'!$B$2:$B$41,C63)&gt;0,"Correcta","Revisar Región DM")</x:f>
        <x:v>Correcta</x:v>
      </x:c>
      <x:c r="E63" s="45" t="str">
        <x:f>IF(COUNTIFS('Ubicaciones'!$C$2:$C$10001,A63)=1,"Único","Duplicado")</x:f>
        <x:v>Único</x:v>
      </x:c>
      <x:c r="F63" s="45" t="str">
        <x:f>IF('Ubicaciones'!T63=1,"Ubicable",IF(OR('Ubicaciones'!E63="Abierta",'Ubicaciones'!E63="Próxima Apertura"),"Coordenadas o activa pendientes","Fuera por estatus"))</x:f>
        <x:v>Ubicable</x:v>
      </x:c>
    </x:row>
    <x:row r="64" ht="23" customHeight="1">
      <x:c r="A64" s="45" t="str">
        <x:f>'Ubicaciones'!C64</x:f>
        <x:v>43302</x:v>
      </x:c>
      <x:c r="B64" s="45" t="str">
        <x:f>'Ubicaciones'!A64</x:f>
        <x:v>Centro Norte</x:v>
      </x:c>
      <x:c r="C64" s="45" t="str">
        <x:f>'Ubicaciones'!B64</x:f>
        <x:v>Yazmin Chabela</x:v>
      </x:c>
      <x:c r="D64" s="45" t="str">
        <x:f>IF(COUNTIFS('Catalogos'!$A$2:$A$41,B64,'Catalogos'!$B$2:$B$41,C64)&gt;0,"Correcta","Revisar Región DM")</x:f>
        <x:v>Correcta</x:v>
      </x:c>
      <x:c r="E64" s="45" t="str">
        <x:f>IF(COUNTIFS('Ubicaciones'!$C$2:$C$10001,A64)=1,"Único","Duplicado")</x:f>
        <x:v>Único</x:v>
      </x:c>
      <x:c r="F64" s="45" t="str">
        <x:f>IF('Ubicaciones'!T64=1,"Ubicable",IF(OR('Ubicaciones'!E64="Abierta",'Ubicaciones'!E64="Próxima Apertura"),"Coordenadas o activa pendientes","Fuera por estatus"))</x:f>
        <x:v>Ubicable</x:v>
      </x:c>
    </x:row>
    <x:row r="65" ht="23" customHeight="1">
      <x:c r="A65" s="45" t="str">
        <x:f>'Ubicaciones'!C65</x:f>
        <x:v>38115</x:v>
      </x:c>
      <x:c r="B65" s="45" t="str">
        <x:f>'Ubicaciones'!A65</x:f>
        <x:v>Centro Norte</x:v>
      </x:c>
      <x:c r="C65" s="45" t="str">
        <x:f>'Ubicaciones'!B65</x:f>
        <x:v>Yazmin García</x:v>
      </x:c>
      <x:c r="D65" s="45" t="str">
        <x:f>IF(COUNTIFS('Catalogos'!$A$2:$A$41,B65,'Catalogos'!$B$2:$B$41,C65)&gt;0,"Correcta","Revisar Región DM")</x:f>
        <x:v>Correcta</x:v>
      </x:c>
      <x:c r="E65" s="45" t="str">
        <x:f>IF(COUNTIFS('Ubicaciones'!$C$2:$C$10001,A65)=1,"Único","Duplicado")</x:f>
        <x:v>Único</x:v>
      </x:c>
      <x:c r="F65" s="45" t="str">
        <x:f>IF('Ubicaciones'!T65=1,"Ubicable",IF(OR('Ubicaciones'!E65="Abierta",'Ubicaciones'!E65="Próxima Apertura"),"Coordenadas o activa pendientes","Fuera por estatus"))</x:f>
        <x:v>Ubicable</x:v>
      </x:c>
    </x:row>
    <x:row r="66" ht="23" customHeight="1">
      <x:c r="A66" s="45" t="str">
        <x:f>'Ubicaciones'!C66</x:f>
        <x:v>38119</x:v>
      </x:c>
      <x:c r="B66" s="45" t="str">
        <x:f>'Ubicaciones'!A66</x:f>
        <x:v>Centro Norte</x:v>
      </x:c>
      <x:c r="C66" s="45" t="str">
        <x:f>'Ubicaciones'!B66</x:f>
        <x:v>Yazmin García</x:v>
      </x:c>
      <x:c r="D66" s="45" t="str">
        <x:f>IF(COUNTIFS('Catalogos'!$A$2:$A$41,B66,'Catalogos'!$B$2:$B$41,C66)&gt;0,"Correcta","Revisar Región DM")</x:f>
        <x:v>Correcta</x:v>
      </x:c>
      <x:c r="E66" s="45" t="str">
        <x:f>IF(COUNTIFS('Ubicaciones'!$C$2:$C$10001,A66)=1,"Único","Duplicado")</x:f>
        <x:v>Único</x:v>
      </x:c>
      <x:c r="F66" s="45" t="str">
        <x:f>IF('Ubicaciones'!T66=1,"Ubicable",IF(OR('Ubicaciones'!E66="Abierta",'Ubicaciones'!E66="Próxima Apertura"),"Coordenadas o activa pendientes","Fuera por estatus"))</x:f>
        <x:v>Ubicable</x:v>
      </x:c>
    </x:row>
    <x:row r="67" ht="23" customHeight="1">
      <x:c r="A67" s="45" t="str">
        <x:f>'Ubicaciones'!C67</x:f>
        <x:v>38142</x:v>
      </x:c>
      <x:c r="B67" s="45" t="str">
        <x:f>'Ubicaciones'!A67</x:f>
        <x:v>Centro Norte</x:v>
      </x:c>
      <x:c r="C67" s="45" t="str">
        <x:f>'Ubicaciones'!B67</x:f>
        <x:v>Yazmin García</x:v>
      </x:c>
      <x:c r="D67" s="45" t="str">
        <x:f>IF(COUNTIFS('Catalogos'!$A$2:$A$41,B67,'Catalogos'!$B$2:$B$41,C67)&gt;0,"Correcta","Revisar Región DM")</x:f>
        <x:v>Correcta</x:v>
      </x:c>
      <x:c r="E67" s="45" t="str">
        <x:f>IF(COUNTIFS('Ubicaciones'!$C$2:$C$10001,A67)=1,"Único","Duplicado")</x:f>
        <x:v>Único</x:v>
      </x:c>
      <x:c r="F67" s="45" t="str">
        <x:f>IF('Ubicaciones'!T67=1,"Ubicable",IF(OR('Ubicaciones'!E67="Abierta",'Ubicaciones'!E67="Próxima Apertura"),"Coordenadas o activa pendientes","Fuera por estatus"))</x:f>
        <x:v>Ubicable</x:v>
      </x:c>
    </x:row>
    <x:row r="68" ht="23" customHeight="1">
      <x:c r="A68" s="45" t="str">
        <x:f>'Ubicaciones'!C68</x:f>
        <x:v>38149</x:v>
      </x:c>
      <x:c r="B68" s="45" t="str">
        <x:f>'Ubicaciones'!A68</x:f>
        <x:v>Centro Norte</x:v>
      </x:c>
      <x:c r="C68" s="45" t="str">
        <x:f>'Ubicaciones'!B68</x:f>
        <x:v>Yazmin García</x:v>
      </x:c>
      <x:c r="D68" s="45" t="str">
        <x:f>IF(COUNTIFS('Catalogos'!$A$2:$A$41,B68,'Catalogos'!$B$2:$B$41,C68)&gt;0,"Correcta","Revisar Región DM")</x:f>
        <x:v>Correcta</x:v>
      </x:c>
      <x:c r="E68" s="45" t="str">
        <x:f>IF(COUNTIFS('Ubicaciones'!$C$2:$C$10001,A68)=1,"Único","Duplicado")</x:f>
        <x:v>Único</x:v>
      </x:c>
      <x:c r="F68" s="45" t="str">
        <x:f>IF('Ubicaciones'!T68=1,"Ubicable",IF(OR('Ubicaciones'!E68="Abierta",'Ubicaciones'!E68="Próxima Apertura"),"Coordenadas o activa pendientes","Fuera por estatus"))</x:f>
        <x:v>Ubicable</x:v>
      </x:c>
    </x:row>
    <x:row r="69" ht="23" customHeight="1">
      <x:c r="A69" s="45" t="str">
        <x:f>'Ubicaciones'!C69</x:f>
        <x:v>38266</x:v>
      </x:c>
      <x:c r="B69" s="45" t="str">
        <x:f>'Ubicaciones'!A69</x:f>
        <x:v>Centro Norte</x:v>
      </x:c>
      <x:c r="C69" s="45" t="str">
        <x:f>'Ubicaciones'!B69</x:f>
        <x:v>Yazmin García</x:v>
      </x:c>
      <x:c r="D69" s="45" t="str">
        <x:f>IF(COUNTIFS('Catalogos'!$A$2:$A$41,B69,'Catalogos'!$B$2:$B$41,C69)&gt;0,"Correcta","Revisar Región DM")</x:f>
        <x:v>Correcta</x:v>
      </x:c>
      <x:c r="E69" s="45" t="str">
        <x:f>IF(COUNTIFS('Ubicaciones'!$C$2:$C$10001,A69)=1,"Único","Duplicado")</x:f>
        <x:v>Único</x:v>
      </x:c>
      <x:c r="F69" s="45" t="str">
        <x:f>IF('Ubicaciones'!T69=1,"Ubicable",IF(OR('Ubicaciones'!E69="Abierta",'Ubicaciones'!E69="Próxima Apertura"),"Coordenadas o activa pendientes","Fuera por estatus"))</x:f>
        <x:v>Ubicable</x:v>
      </x:c>
    </x:row>
    <x:row r="70" ht="23" customHeight="1">
      <x:c r="A70" s="45" t="str">
        <x:f>'Ubicaciones'!C70</x:f>
        <x:v>38270</x:v>
      </x:c>
      <x:c r="B70" s="45" t="str">
        <x:f>'Ubicaciones'!A70</x:f>
        <x:v>Centro Norte</x:v>
      </x:c>
      <x:c r="C70" s="45" t="str">
        <x:f>'Ubicaciones'!B70</x:f>
        <x:v>Yazmin García</x:v>
      </x:c>
      <x:c r="D70" s="45" t="str">
        <x:f>IF(COUNTIFS('Catalogos'!$A$2:$A$41,B70,'Catalogos'!$B$2:$B$41,C70)&gt;0,"Correcta","Revisar Región DM")</x:f>
        <x:v>Correcta</x:v>
      </x:c>
      <x:c r="E70" s="45" t="str">
        <x:f>IF(COUNTIFS('Ubicaciones'!$C$2:$C$10001,A70)=1,"Único","Duplicado")</x:f>
        <x:v>Único</x:v>
      </x:c>
      <x:c r="F70" s="45" t="str">
        <x:f>IF('Ubicaciones'!T70=1,"Ubicable",IF(OR('Ubicaciones'!E70="Abierta",'Ubicaciones'!E70="Próxima Apertura"),"Coordenadas o activa pendientes","Fuera por estatus"))</x:f>
        <x:v>Ubicable</x:v>
      </x:c>
    </x:row>
    <x:row r="71" ht="23" customHeight="1">
      <x:c r="A71" s="45" t="str">
        <x:f>'Ubicaciones'!C71</x:f>
        <x:v>38363</x:v>
      </x:c>
      <x:c r="B71" s="45" t="str">
        <x:f>'Ubicaciones'!A71</x:f>
        <x:v>Centro Norte</x:v>
      </x:c>
      <x:c r="C71" s="45" t="str">
        <x:f>'Ubicaciones'!B71</x:f>
        <x:v>Yazmin García</x:v>
      </x:c>
      <x:c r="D71" s="45" t="str">
        <x:f>IF(COUNTIFS('Catalogos'!$A$2:$A$41,B71,'Catalogos'!$B$2:$B$41,C71)&gt;0,"Correcta","Revisar Región DM")</x:f>
        <x:v>Correcta</x:v>
      </x:c>
      <x:c r="E71" s="45" t="str">
        <x:f>IF(COUNTIFS('Ubicaciones'!$C$2:$C$10001,A71)=1,"Único","Duplicado")</x:f>
        <x:v>Único</x:v>
      </x:c>
      <x:c r="F71" s="45" t="str">
        <x:f>IF('Ubicaciones'!T71=1,"Ubicable",IF(OR('Ubicaciones'!E71="Abierta",'Ubicaciones'!E71="Próxima Apertura"),"Coordenadas o activa pendientes","Fuera por estatus"))</x:f>
        <x:v>Ubicable</x:v>
      </x:c>
    </x:row>
    <x:row r="72" ht="23" customHeight="1">
      <x:c r="A72" s="45" t="str">
        <x:f>'Ubicaciones'!C72</x:f>
        <x:v>38394</x:v>
      </x:c>
      <x:c r="B72" s="45" t="str">
        <x:f>'Ubicaciones'!A72</x:f>
        <x:v>Centro Norte</x:v>
      </x:c>
      <x:c r="C72" s="45" t="str">
        <x:f>'Ubicaciones'!B72</x:f>
        <x:v>Yazmin García</x:v>
      </x:c>
      <x:c r="D72" s="45" t="str">
        <x:f>IF(COUNTIFS('Catalogos'!$A$2:$A$41,B72,'Catalogos'!$B$2:$B$41,C72)&gt;0,"Correcta","Revisar Región DM")</x:f>
        <x:v>Correcta</x:v>
      </x:c>
      <x:c r="E72" s="45" t="str">
        <x:f>IF(COUNTIFS('Ubicaciones'!$C$2:$C$10001,A72)=1,"Único","Duplicado")</x:f>
        <x:v>Único</x:v>
      </x:c>
      <x:c r="F72" s="45" t="str">
        <x:f>IF('Ubicaciones'!T72=1,"Ubicable",IF(OR('Ubicaciones'!E72="Abierta",'Ubicaciones'!E72="Próxima Apertura"),"Coordenadas o activa pendientes","Fuera por estatus"))</x:f>
        <x:v>Ubicable</x:v>
      </x:c>
    </x:row>
    <x:row r="73" ht="23" customHeight="1">
      <x:c r="A73" s="45" t="str">
        <x:f>'Ubicaciones'!C73</x:f>
        <x:v>38507</x:v>
      </x:c>
      <x:c r="B73" s="45" t="str">
        <x:f>'Ubicaciones'!A73</x:f>
        <x:v>Centro Norte</x:v>
      </x:c>
      <x:c r="C73" s="45" t="str">
        <x:f>'Ubicaciones'!B73</x:f>
        <x:v>Yazmin García</x:v>
      </x:c>
      <x:c r="D73" s="45" t="str">
        <x:f>IF(COUNTIFS('Catalogos'!$A$2:$A$41,B73,'Catalogos'!$B$2:$B$41,C73)&gt;0,"Correcta","Revisar Región DM")</x:f>
        <x:v>Correcta</x:v>
      </x:c>
      <x:c r="E73" s="45" t="str">
        <x:f>IF(COUNTIFS('Ubicaciones'!$C$2:$C$10001,A73)=1,"Único","Duplicado")</x:f>
        <x:v>Único</x:v>
      </x:c>
      <x:c r="F73" s="45" t="str">
        <x:f>IF('Ubicaciones'!T73=1,"Ubicable",IF(OR('Ubicaciones'!E73="Abierta",'Ubicaciones'!E73="Próxima Apertura"),"Coordenadas o activa pendientes","Fuera por estatus"))</x:f>
        <x:v>Ubicable</x:v>
      </x:c>
    </x:row>
    <x:row r="74" ht="23" customHeight="1">
      <x:c r="A74" s="45" t="str">
        <x:f>'Ubicaciones'!C74</x:f>
        <x:v>38535</x:v>
      </x:c>
      <x:c r="B74" s="45" t="str">
        <x:f>'Ubicaciones'!A74</x:f>
        <x:v>Centro Norte</x:v>
      </x:c>
      <x:c r="C74" s="45" t="str">
        <x:f>'Ubicaciones'!B74</x:f>
        <x:v>Yazmin García</x:v>
      </x:c>
      <x:c r="D74" s="45" t="str">
        <x:f>IF(COUNTIFS('Catalogos'!$A$2:$A$41,B74,'Catalogos'!$B$2:$B$41,C74)&gt;0,"Correcta","Revisar Región DM")</x:f>
        <x:v>Correcta</x:v>
      </x:c>
      <x:c r="E74" s="45" t="str">
        <x:f>IF(COUNTIFS('Ubicaciones'!$C$2:$C$10001,A74)=1,"Único","Duplicado")</x:f>
        <x:v>Único</x:v>
      </x:c>
      <x:c r="F74" s="45" t="str">
        <x:f>IF('Ubicaciones'!T74=1,"Ubicable",IF(OR('Ubicaciones'!E74="Abierta",'Ubicaciones'!E74="Próxima Apertura"),"Coordenadas o activa pendientes","Fuera por estatus"))</x:f>
        <x:v>Ubicable</x:v>
      </x:c>
    </x:row>
    <x:row r="75" ht="23" customHeight="1">
      <x:c r="A75" s="45" t="str">
        <x:f>'Ubicaciones'!C75</x:f>
        <x:v>38925</x:v>
      </x:c>
      <x:c r="B75" s="45" t="str">
        <x:f>'Ubicaciones'!A75</x:f>
        <x:v>Centro Norte</x:v>
      </x:c>
      <x:c r="C75" s="45" t="str">
        <x:f>'Ubicaciones'!B75</x:f>
        <x:v>Yazmin García</x:v>
      </x:c>
      <x:c r="D75" s="45" t="str">
        <x:f>IF(COUNTIFS('Catalogos'!$A$2:$A$41,B75,'Catalogos'!$B$2:$B$41,C75)&gt;0,"Correcta","Revisar Región DM")</x:f>
        <x:v>Correcta</x:v>
      </x:c>
      <x:c r="E75" s="45" t="str">
        <x:f>IF(COUNTIFS('Ubicaciones'!$C$2:$C$10001,A75)=1,"Único","Duplicado")</x:f>
        <x:v>Único</x:v>
      </x:c>
      <x:c r="F75" s="45" t="str">
        <x:f>IF('Ubicaciones'!T75=1,"Ubicable",IF(OR('Ubicaciones'!E75="Abierta",'Ubicaciones'!E75="Próxima Apertura"),"Coordenadas o activa pendientes","Fuera por estatus"))</x:f>
        <x:v>Ubicable</x:v>
      </x:c>
    </x:row>
    <x:row r="76" ht="23" customHeight="1">
      <x:c r="A76" s="45" t="str">
        <x:f>'Ubicaciones'!C76</x:f>
        <x:v>43043</x:v>
      </x:c>
      <x:c r="B76" s="45" t="str">
        <x:f>'Ubicaciones'!A76</x:f>
        <x:v>Centro Norte</x:v>
      </x:c>
      <x:c r="C76" s="45" t="str">
        <x:f>'Ubicaciones'!B76</x:f>
        <x:v>Yazmin García</x:v>
      </x:c>
      <x:c r="D76" s="45" t="str">
        <x:f>IF(COUNTIFS('Catalogos'!$A$2:$A$41,B76,'Catalogos'!$B$2:$B$41,C76)&gt;0,"Correcta","Revisar Región DM")</x:f>
        <x:v>Correcta</x:v>
      </x:c>
      <x:c r="E76" s="45" t="str">
        <x:f>IF(COUNTIFS('Ubicaciones'!$C$2:$C$10001,A76)=1,"Único","Duplicado")</x:f>
        <x:v>Único</x:v>
      </x:c>
      <x:c r="F76" s="45" t="str">
        <x:f>IF('Ubicaciones'!T76=1,"Ubicable",IF(OR('Ubicaciones'!E76="Abierta",'Ubicaciones'!E76="Próxima Apertura"),"Coordenadas o activa pendientes","Fuera por estatus"))</x:f>
        <x:v>Ubicable</x:v>
      </x:c>
    </x:row>
    <x:row r="77" ht="23" customHeight="1">
      <x:c r="A77" s="45" t="str">
        <x:f>'Ubicaciones'!C77</x:f>
        <x:v>43130</x:v>
      </x:c>
      <x:c r="B77" s="45" t="str">
        <x:f>'Ubicaciones'!A77</x:f>
        <x:v>Centro Norte</x:v>
      </x:c>
      <x:c r="C77" s="45" t="str">
        <x:f>'Ubicaciones'!B77</x:f>
        <x:v>Yazmin García</x:v>
      </x:c>
      <x:c r="D77" s="45" t="str">
        <x:f>IF(COUNTIFS('Catalogos'!$A$2:$A$41,B77,'Catalogos'!$B$2:$B$41,C77)&gt;0,"Correcta","Revisar Región DM")</x:f>
        <x:v>Correcta</x:v>
      </x:c>
      <x:c r="E77" s="45" t="str">
        <x:f>IF(COUNTIFS('Ubicaciones'!$C$2:$C$10001,A77)=1,"Único","Duplicado")</x:f>
        <x:v>Único</x:v>
      </x:c>
      <x:c r="F77" s="45" t="str">
        <x:f>IF('Ubicaciones'!T77=1,"Ubicable",IF(OR('Ubicaciones'!E77="Abierta",'Ubicaciones'!E77="Próxima Apertura"),"Coordenadas o activa pendientes","Fuera por estatus"))</x:f>
        <x:v>Ubicable</x:v>
      </x:c>
    </x:row>
    <x:row r="78" ht="23" customHeight="1">
      <x:c r="A78" s="45" t="str">
        <x:f>'Ubicaciones'!C78</x:f>
        <x:v>38226</x:v>
      </x:c>
      <x:c r="B78" s="45" t="str">
        <x:f>'Ubicaciones'!A78</x:f>
        <x:v>Centro Sur</x:v>
      </x:c>
      <x:c r="C78" s="45" t="str">
        <x:f>'Ubicaciones'!B78</x:f>
        <x:v>Ariana Janet Gutierrez Martinez</x:v>
      </x:c>
      <x:c r="D78" s="45" t="str">
        <x:f>IF(COUNTIFS('Catalogos'!$A$2:$A$41,B78,'Catalogos'!$B$2:$B$41,C78)&gt;0,"Correcta","Revisar Región DM")</x:f>
        <x:v>Correcta</x:v>
      </x:c>
      <x:c r="E78" s="45" t="str">
        <x:f>IF(COUNTIFS('Ubicaciones'!$C$2:$C$10001,A78)=1,"Único","Duplicado")</x:f>
        <x:v>Único</x:v>
      </x:c>
      <x:c r="F78" s="45" t="str">
        <x:f>IF('Ubicaciones'!T78=1,"Ubicable",IF(OR('Ubicaciones'!E78="Abierta",'Ubicaciones'!E78="Próxima Apertura"),"Coordenadas o activa pendientes","Fuera por estatus"))</x:f>
        <x:v>Ubicable</x:v>
      </x:c>
    </x:row>
    <x:row r="79" ht="23" customHeight="1">
      <x:c r="A79" s="45" t="str">
        <x:f>'Ubicaciones'!C79</x:f>
        <x:v>38279</x:v>
      </x:c>
      <x:c r="B79" s="45" t="str">
        <x:f>'Ubicaciones'!A79</x:f>
        <x:v>Centro Sur</x:v>
      </x:c>
      <x:c r="C79" s="45" t="str">
        <x:f>'Ubicaciones'!B79</x:f>
        <x:v>Ariana Janet Gutierrez Martinez</x:v>
      </x:c>
      <x:c r="D79" s="45" t="str">
        <x:f>IF(COUNTIFS('Catalogos'!$A$2:$A$41,B79,'Catalogos'!$B$2:$B$41,C79)&gt;0,"Correcta","Revisar Región DM")</x:f>
        <x:v>Correcta</x:v>
      </x:c>
      <x:c r="E79" s="45" t="str">
        <x:f>IF(COUNTIFS('Ubicaciones'!$C$2:$C$10001,A79)=1,"Único","Duplicado")</x:f>
        <x:v>Único</x:v>
      </x:c>
      <x:c r="F79" s="45" t="str">
        <x:f>IF('Ubicaciones'!T79=1,"Ubicable",IF(OR('Ubicaciones'!E79="Abierta",'Ubicaciones'!E79="Próxima Apertura"),"Coordenadas o activa pendientes","Fuera por estatus"))</x:f>
        <x:v>Ubicable</x:v>
      </x:c>
    </x:row>
    <x:row r="80" ht="23" customHeight="1">
      <x:c r="A80" s="45" t="str">
        <x:f>'Ubicaciones'!C80</x:f>
        <x:v>38289</x:v>
      </x:c>
      <x:c r="B80" s="45" t="str">
        <x:f>'Ubicaciones'!A80</x:f>
        <x:v>Centro Sur</x:v>
      </x:c>
      <x:c r="C80" s="45" t="str">
        <x:f>'Ubicaciones'!B80</x:f>
        <x:v>Ariana Janet Gutierrez Martinez</x:v>
      </x:c>
      <x:c r="D80" s="45" t="str">
        <x:f>IF(COUNTIFS('Catalogos'!$A$2:$A$41,B80,'Catalogos'!$B$2:$B$41,C80)&gt;0,"Correcta","Revisar Región DM")</x:f>
        <x:v>Correcta</x:v>
      </x:c>
      <x:c r="E80" s="45" t="str">
        <x:f>IF(COUNTIFS('Ubicaciones'!$C$2:$C$10001,A80)=1,"Único","Duplicado")</x:f>
        <x:v>Único</x:v>
      </x:c>
      <x:c r="F80" s="45" t="str">
        <x:f>IF('Ubicaciones'!T80=1,"Ubicable",IF(OR('Ubicaciones'!E80="Abierta",'Ubicaciones'!E80="Próxima Apertura"),"Coordenadas o activa pendientes","Fuera por estatus"))</x:f>
        <x:v>Ubicable</x:v>
      </x:c>
    </x:row>
    <x:row r="81" ht="23" customHeight="1">
      <x:c r="A81" s="45" t="str">
        <x:f>'Ubicaciones'!C81</x:f>
        <x:v>38418</x:v>
      </x:c>
      <x:c r="B81" s="45" t="str">
        <x:f>'Ubicaciones'!A81</x:f>
        <x:v>Centro Sur</x:v>
      </x:c>
      <x:c r="C81" s="45" t="str">
        <x:f>'Ubicaciones'!B81</x:f>
        <x:v>Ariana Janet Gutierrez Martinez</x:v>
      </x:c>
      <x:c r="D81" s="45" t="str">
        <x:f>IF(COUNTIFS('Catalogos'!$A$2:$A$41,B81,'Catalogos'!$B$2:$B$41,C81)&gt;0,"Correcta","Revisar Región DM")</x:f>
        <x:v>Correcta</x:v>
      </x:c>
      <x:c r="E81" s="45" t="str">
        <x:f>IF(COUNTIFS('Ubicaciones'!$C$2:$C$10001,A81)=1,"Único","Duplicado")</x:f>
        <x:v>Único</x:v>
      </x:c>
      <x:c r="F81" s="45" t="str">
        <x:f>IF('Ubicaciones'!T81=1,"Ubicable",IF(OR('Ubicaciones'!E81="Abierta",'Ubicaciones'!E81="Próxima Apertura"),"Coordenadas o activa pendientes","Fuera por estatus"))</x:f>
        <x:v>Ubicable</x:v>
      </x:c>
    </x:row>
    <x:row r="82" ht="23" customHeight="1">
      <x:c r="A82" s="45" t="str">
        <x:f>'Ubicaciones'!C82</x:f>
        <x:v>38419</x:v>
      </x:c>
      <x:c r="B82" s="45" t="str">
        <x:f>'Ubicaciones'!A82</x:f>
        <x:v>Centro Sur</x:v>
      </x:c>
      <x:c r="C82" s="45" t="str">
        <x:f>'Ubicaciones'!B82</x:f>
        <x:v>Ariana Janet Gutierrez Martinez</x:v>
      </x:c>
      <x:c r="D82" s="45" t="str">
        <x:f>IF(COUNTIFS('Catalogos'!$A$2:$A$41,B82,'Catalogos'!$B$2:$B$41,C82)&gt;0,"Correcta","Revisar Región DM")</x:f>
        <x:v>Correcta</x:v>
      </x:c>
      <x:c r="E82" s="45" t="str">
        <x:f>IF(COUNTIFS('Ubicaciones'!$C$2:$C$10001,A82)=1,"Único","Duplicado")</x:f>
        <x:v>Único</x:v>
      </x:c>
      <x:c r="F82" s="45" t="str">
        <x:f>IF('Ubicaciones'!T82=1,"Ubicable",IF(OR('Ubicaciones'!E82="Abierta",'Ubicaciones'!E82="Próxima Apertura"),"Coordenadas o activa pendientes","Fuera por estatus"))</x:f>
        <x:v>Ubicable</x:v>
      </x:c>
    </x:row>
    <x:row r="83" ht="23" customHeight="1">
      <x:c r="A83" s="45" t="str">
        <x:f>'Ubicaciones'!C83</x:f>
        <x:v>38468</x:v>
      </x:c>
      <x:c r="B83" s="45" t="str">
        <x:f>'Ubicaciones'!A83</x:f>
        <x:v>Centro Sur</x:v>
      </x:c>
      <x:c r="C83" s="45" t="str">
        <x:f>'Ubicaciones'!B83</x:f>
        <x:v>Ariana Janet Gutierrez Martinez</x:v>
      </x:c>
      <x:c r="D83" s="45" t="str">
        <x:f>IF(COUNTIFS('Catalogos'!$A$2:$A$41,B83,'Catalogos'!$B$2:$B$41,C83)&gt;0,"Correcta","Revisar Región DM")</x:f>
        <x:v>Correcta</x:v>
      </x:c>
      <x:c r="E83" s="45" t="str">
        <x:f>IF(COUNTIFS('Ubicaciones'!$C$2:$C$10001,A83)=1,"Único","Duplicado")</x:f>
        <x:v>Único</x:v>
      </x:c>
      <x:c r="F83" s="45" t="str">
        <x:f>IF('Ubicaciones'!T83=1,"Ubicable",IF(OR('Ubicaciones'!E83="Abierta",'Ubicaciones'!E83="Próxima Apertura"),"Coordenadas o activa pendientes","Fuera por estatus"))</x:f>
        <x:v>Ubicable</x:v>
      </x:c>
    </x:row>
    <x:row r="84" ht="23" customHeight="1">
      <x:c r="A84" s="45" t="str">
        <x:f>'Ubicaciones'!C84</x:f>
        <x:v>38477</x:v>
      </x:c>
      <x:c r="B84" s="45" t="str">
        <x:f>'Ubicaciones'!A84</x:f>
        <x:v>Centro Sur</x:v>
      </x:c>
      <x:c r="C84" s="45" t="str">
        <x:f>'Ubicaciones'!B84</x:f>
        <x:v>Ariana Janet Gutierrez Martinez</x:v>
      </x:c>
      <x:c r="D84" s="45" t="str">
        <x:f>IF(COUNTIFS('Catalogos'!$A$2:$A$41,B84,'Catalogos'!$B$2:$B$41,C84)&gt;0,"Correcta","Revisar Región DM")</x:f>
        <x:v>Correcta</x:v>
      </x:c>
      <x:c r="E84" s="45" t="str">
        <x:f>IF(COUNTIFS('Ubicaciones'!$C$2:$C$10001,A84)=1,"Único","Duplicado")</x:f>
        <x:v>Único</x:v>
      </x:c>
      <x:c r="F84" s="45" t="str">
        <x:f>IF('Ubicaciones'!T84=1,"Ubicable",IF(OR('Ubicaciones'!E84="Abierta",'Ubicaciones'!E84="Próxima Apertura"),"Coordenadas o activa pendientes","Fuera por estatus"))</x:f>
        <x:v>Ubicable</x:v>
      </x:c>
    </x:row>
    <x:row r="85" ht="23" customHeight="1">
      <x:c r="A85" s="45" t="str">
        <x:f>'Ubicaciones'!C85</x:f>
        <x:v>38496</x:v>
      </x:c>
      <x:c r="B85" s="45" t="str">
        <x:f>'Ubicaciones'!A85</x:f>
        <x:v>Centro Sur</x:v>
      </x:c>
      <x:c r="C85" s="45" t="str">
        <x:f>'Ubicaciones'!B85</x:f>
        <x:v>Ariana Janet Gutierrez Martinez</x:v>
      </x:c>
      <x:c r="D85" s="45" t="str">
        <x:f>IF(COUNTIFS('Catalogos'!$A$2:$A$41,B85,'Catalogos'!$B$2:$B$41,C85)&gt;0,"Correcta","Revisar Región DM")</x:f>
        <x:v>Correcta</x:v>
      </x:c>
      <x:c r="E85" s="45" t="str">
        <x:f>IF(COUNTIFS('Ubicaciones'!$C$2:$C$10001,A85)=1,"Único","Duplicado")</x:f>
        <x:v>Único</x:v>
      </x:c>
      <x:c r="F85" s="45" t="str">
        <x:f>IF('Ubicaciones'!T85=1,"Ubicable",IF(OR('Ubicaciones'!E85="Abierta",'Ubicaciones'!E85="Próxima Apertura"),"Coordenadas o activa pendientes","Fuera por estatus"))</x:f>
        <x:v>Ubicable</x:v>
      </x:c>
    </x:row>
    <x:row r="86" ht="23" customHeight="1">
      <x:c r="A86" s="45" t="str">
        <x:f>'Ubicaciones'!C86</x:f>
        <x:v>38611</x:v>
      </x:c>
      <x:c r="B86" s="45" t="str">
        <x:f>'Ubicaciones'!A86</x:f>
        <x:v>Centro Sur</x:v>
      </x:c>
      <x:c r="C86" s="45" t="str">
        <x:f>'Ubicaciones'!B86</x:f>
        <x:v>Ariana Janet Gutierrez Martinez</x:v>
      </x:c>
      <x:c r="D86" s="45" t="str">
        <x:f>IF(COUNTIFS('Catalogos'!$A$2:$A$41,B86,'Catalogos'!$B$2:$B$41,C86)&gt;0,"Correcta","Revisar Región DM")</x:f>
        <x:v>Correcta</x:v>
      </x:c>
      <x:c r="E86" s="45" t="str">
        <x:f>IF(COUNTIFS('Ubicaciones'!$C$2:$C$10001,A86)=1,"Único","Duplicado")</x:f>
        <x:v>Único</x:v>
      </x:c>
      <x:c r="F86" s="45" t="str">
        <x:f>IF('Ubicaciones'!T86=1,"Ubicable",IF(OR('Ubicaciones'!E86="Abierta",'Ubicaciones'!E86="Próxima Apertura"),"Coordenadas o activa pendientes","Fuera por estatus"))</x:f>
        <x:v>Ubicable</x:v>
      </x:c>
    </x:row>
    <x:row r="87" ht="23" customHeight="1">
      <x:c r="A87" s="45" t="str">
        <x:f>'Ubicaciones'!C87</x:f>
        <x:v>38645</x:v>
      </x:c>
      <x:c r="B87" s="45" t="str">
        <x:f>'Ubicaciones'!A87</x:f>
        <x:v>Centro Sur</x:v>
      </x:c>
      <x:c r="C87" s="45" t="str">
        <x:f>'Ubicaciones'!B87</x:f>
        <x:v>Ariana Janet Gutierrez Martinez</x:v>
      </x:c>
      <x:c r="D87" s="45" t="str">
        <x:f>IF(COUNTIFS('Catalogos'!$A$2:$A$41,B87,'Catalogos'!$B$2:$B$41,C87)&gt;0,"Correcta","Revisar Región DM")</x:f>
        <x:v>Correcta</x:v>
      </x:c>
      <x:c r="E87" s="45" t="str">
        <x:f>IF(COUNTIFS('Ubicaciones'!$C$2:$C$10001,A87)=1,"Único","Duplicado")</x:f>
        <x:v>Único</x:v>
      </x:c>
      <x:c r="F87" s="45" t="str">
        <x:f>IF('Ubicaciones'!T87=1,"Ubicable",IF(OR('Ubicaciones'!E87="Abierta",'Ubicaciones'!E87="Próxima Apertura"),"Coordenadas o activa pendientes","Fuera por estatus"))</x:f>
        <x:v>Ubicable</x:v>
      </x:c>
    </x:row>
    <x:row r="88" ht="23" customHeight="1">
      <x:c r="A88" s="45" t="str">
        <x:f>'Ubicaciones'!C88</x:f>
        <x:v>38725</x:v>
      </x:c>
      <x:c r="B88" s="45" t="str">
        <x:f>'Ubicaciones'!A88</x:f>
        <x:v>Centro Sur</x:v>
      </x:c>
      <x:c r="C88" s="45" t="str">
        <x:f>'Ubicaciones'!B88</x:f>
        <x:v>Ariana Janet Gutierrez Martinez</x:v>
      </x:c>
      <x:c r="D88" s="45" t="str">
        <x:f>IF(COUNTIFS('Catalogos'!$A$2:$A$41,B88,'Catalogos'!$B$2:$B$41,C88)&gt;0,"Correcta","Revisar Región DM")</x:f>
        <x:v>Correcta</x:v>
      </x:c>
      <x:c r="E88" s="45" t="str">
        <x:f>IF(COUNTIFS('Ubicaciones'!$C$2:$C$10001,A88)=1,"Único","Duplicado")</x:f>
        <x:v>Único</x:v>
      </x:c>
      <x:c r="F88" s="45" t="str">
        <x:f>IF('Ubicaciones'!T88=1,"Ubicable",IF(OR('Ubicaciones'!E88="Abierta",'Ubicaciones'!E88="Próxima Apertura"),"Coordenadas o activa pendientes","Fuera por estatus"))</x:f>
        <x:v>Ubicable</x:v>
      </x:c>
    </x:row>
    <x:row r="89" ht="23" customHeight="1">
      <x:c r="A89" s="45" t="str">
        <x:f>'Ubicaciones'!C89</x:f>
        <x:v>43070</x:v>
      </x:c>
      <x:c r="B89" s="45" t="str">
        <x:f>'Ubicaciones'!A89</x:f>
        <x:v>Centro Sur</x:v>
      </x:c>
      <x:c r="C89" s="45" t="str">
        <x:f>'Ubicaciones'!B89</x:f>
        <x:v>Ariana Janet Gutierrez Martinez</x:v>
      </x:c>
      <x:c r="D89" s="45" t="str">
        <x:f>IF(COUNTIFS('Catalogos'!$A$2:$A$41,B89,'Catalogos'!$B$2:$B$41,C89)&gt;0,"Correcta","Revisar Región DM")</x:f>
        <x:v>Correcta</x:v>
      </x:c>
      <x:c r="E89" s="45" t="str">
        <x:f>IF(COUNTIFS('Ubicaciones'!$C$2:$C$10001,A89)=1,"Único","Duplicado")</x:f>
        <x:v>Único</x:v>
      </x:c>
      <x:c r="F89" s="45" t="str">
        <x:f>IF('Ubicaciones'!T89=1,"Ubicable",IF(OR('Ubicaciones'!E89="Abierta",'Ubicaciones'!E89="Próxima Apertura"),"Coordenadas o activa pendientes","Fuera por estatus"))</x:f>
        <x:v>Ubicable</x:v>
      </x:c>
    </x:row>
    <x:row r="90" ht="23" customHeight="1">
      <x:c r="A90" s="45" t="str">
        <x:f>'Ubicaciones'!C90</x:f>
        <x:v>38107</x:v>
      </x:c>
      <x:c r="B90" s="45" t="str">
        <x:f>'Ubicaciones'!A90</x:f>
        <x:v>Centro Sur</x:v>
      </x:c>
      <x:c r="C90" s="45" t="str">
        <x:f>'Ubicaciones'!B90</x:f>
        <x:v>Cesar Alfonso Castillo Romero</x:v>
      </x:c>
      <x:c r="D90" s="45" t="str">
        <x:f>IF(COUNTIFS('Catalogos'!$A$2:$A$41,B90,'Catalogos'!$B$2:$B$41,C90)&gt;0,"Correcta","Revisar Región DM")</x:f>
        <x:v>Correcta</x:v>
      </x:c>
      <x:c r="E90" s="45" t="str">
        <x:f>IF(COUNTIFS('Ubicaciones'!$C$2:$C$10001,A90)=1,"Único","Duplicado")</x:f>
        <x:v>Único</x:v>
      </x:c>
      <x:c r="F90" s="45" t="str">
        <x:f>IF('Ubicaciones'!T90=1,"Ubicable",IF(OR('Ubicaciones'!E90="Abierta",'Ubicaciones'!E90="Próxima Apertura"),"Coordenadas o activa pendientes","Fuera por estatus"))</x:f>
        <x:v>Ubicable</x:v>
      </x:c>
    </x:row>
    <x:row r="91" ht="23" customHeight="1">
      <x:c r="A91" s="45" t="str">
        <x:f>'Ubicaciones'!C91</x:f>
        <x:v>38116</x:v>
      </x:c>
      <x:c r="B91" s="45" t="str">
        <x:f>'Ubicaciones'!A91</x:f>
        <x:v>Centro Sur</x:v>
      </x:c>
      <x:c r="C91" s="45" t="str">
        <x:f>'Ubicaciones'!B91</x:f>
        <x:v>Cesar Alfonso Castillo Romero</x:v>
      </x:c>
      <x:c r="D91" s="45" t="str">
        <x:f>IF(COUNTIFS('Catalogos'!$A$2:$A$41,B91,'Catalogos'!$B$2:$B$41,C91)&gt;0,"Correcta","Revisar Región DM")</x:f>
        <x:v>Correcta</x:v>
      </x:c>
      <x:c r="E91" s="45" t="str">
        <x:f>IF(COUNTIFS('Ubicaciones'!$C$2:$C$10001,A91)=1,"Único","Duplicado")</x:f>
        <x:v>Único</x:v>
      </x:c>
      <x:c r="F91" s="45" t="str">
        <x:f>IF('Ubicaciones'!T91=1,"Ubicable",IF(OR('Ubicaciones'!E91="Abierta",'Ubicaciones'!E91="Próxima Apertura"),"Coordenadas o activa pendientes","Fuera por estatus"))</x:f>
        <x:v>Ubicable</x:v>
      </x:c>
    </x:row>
    <x:row r="92" ht="23" customHeight="1">
      <x:c r="A92" s="45" t="str">
        <x:f>'Ubicaciones'!C92</x:f>
        <x:v>38124</x:v>
      </x:c>
      <x:c r="B92" s="45" t="str">
        <x:f>'Ubicaciones'!A92</x:f>
        <x:v>Centro Sur</x:v>
      </x:c>
      <x:c r="C92" s="45" t="str">
        <x:f>'Ubicaciones'!B92</x:f>
        <x:v>Cesar Alfonso Castillo Romero</x:v>
      </x:c>
      <x:c r="D92" s="45" t="str">
        <x:f>IF(COUNTIFS('Catalogos'!$A$2:$A$41,B92,'Catalogos'!$B$2:$B$41,C92)&gt;0,"Correcta","Revisar Región DM")</x:f>
        <x:v>Correcta</x:v>
      </x:c>
      <x:c r="E92" s="45" t="str">
        <x:f>IF(COUNTIFS('Ubicaciones'!$C$2:$C$10001,A92)=1,"Único","Duplicado")</x:f>
        <x:v>Único</x:v>
      </x:c>
      <x:c r="F92" s="45" t="str">
        <x:f>IF('Ubicaciones'!T92=1,"Ubicable",IF(OR('Ubicaciones'!E92="Abierta",'Ubicaciones'!E92="Próxima Apertura"),"Coordenadas o activa pendientes","Fuera por estatus"))</x:f>
        <x:v>Ubicable</x:v>
      </x:c>
    </x:row>
    <x:row r="93" ht="23" customHeight="1">
      <x:c r="A93" s="45" t="str">
        <x:f>'Ubicaciones'!C93</x:f>
        <x:v>38129</x:v>
      </x:c>
      <x:c r="B93" s="45" t="str">
        <x:f>'Ubicaciones'!A93</x:f>
        <x:v>Centro Sur</x:v>
      </x:c>
      <x:c r="C93" s="45" t="str">
        <x:f>'Ubicaciones'!B93</x:f>
        <x:v>Cesar Alfonso Castillo Romero</x:v>
      </x:c>
      <x:c r="D93" s="45" t="str">
        <x:f>IF(COUNTIFS('Catalogos'!$A$2:$A$41,B93,'Catalogos'!$B$2:$B$41,C93)&gt;0,"Correcta","Revisar Región DM")</x:f>
        <x:v>Correcta</x:v>
      </x:c>
      <x:c r="E93" s="45" t="str">
        <x:f>IF(COUNTIFS('Ubicaciones'!$C$2:$C$10001,A93)=1,"Único","Duplicado")</x:f>
        <x:v>Único</x:v>
      </x:c>
      <x:c r="F93" s="45" t="str">
        <x:f>IF('Ubicaciones'!T93=1,"Ubicable",IF(OR('Ubicaciones'!E93="Abierta",'Ubicaciones'!E93="Próxima Apertura"),"Coordenadas o activa pendientes","Fuera por estatus"))</x:f>
        <x:v>Ubicable</x:v>
      </x:c>
    </x:row>
    <x:row r="94" ht="23" customHeight="1">
      <x:c r="A94" s="45" t="str">
        <x:f>'Ubicaciones'!C94</x:f>
        <x:v>38169</x:v>
      </x:c>
      <x:c r="B94" s="45" t="str">
        <x:f>'Ubicaciones'!A94</x:f>
        <x:v>Centro Sur</x:v>
      </x:c>
      <x:c r="C94" s="45" t="str">
        <x:f>'Ubicaciones'!B94</x:f>
        <x:v>Cesar Alfonso Castillo Romero</x:v>
      </x:c>
      <x:c r="D94" s="45" t="str">
        <x:f>IF(COUNTIFS('Catalogos'!$A$2:$A$41,B94,'Catalogos'!$B$2:$B$41,C94)&gt;0,"Correcta","Revisar Región DM")</x:f>
        <x:v>Correcta</x:v>
      </x:c>
      <x:c r="E94" s="45" t="str">
        <x:f>IF(COUNTIFS('Ubicaciones'!$C$2:$C$10001,A94)=1,"Único","Duplicado")</x:f>
        <x:v>Único</x:v>
      </x:c>
      <x:c r="F94" s="45" t="str">
        <x:f>IF('Ubicaciones'!T94=1,"Ubicable",IF(OR('Ubicaciones'!E94="Abierta",'Ubicaciones'!E94="Próxima Apertura"),"Coordenadas o activa pendientes","Fuera por estatus"))</x:f>
        <x:v>Ubicable</x:v>
      </x:c>
    </x:row>
    <x:row r="95" ht="23" customHeight="1">
      <x:c r="A95" s="45" t="str">
        <x:f>'Ubicaciones'!C95</x:f>
        <x:v>38398</x:v>
      </x:c>
      <x:c r="B95" s="45" t="str">
        <x:f>'Ubicaciones'!A95</x:f>
        <x:v>Centro Sur</x:v>
      </x:c>
      <x:c r="C95" s="45" t="str">
        <x:f>'Ubicaciones'!B95</x:f>
        <x:v>Cesar Alfonso Castillo Romero</x:v>
      </x:c>
      <x:c r="D95" s="45" t="str">
        <x:f>IF(COUNTIFS('Catalogos'!$A$2:$A$41,B95,'Catalogos'!$B$2:$B$41,C95)&gt;0,"Correcta","Revisar Región DM")</x:f>
        <x:v>Correcta</x:v>
      </x:c>
      <x:c r="E95" s="45" t="str">
        <x:f>IF(COUNTIFS('Ubicaciones'!$C$2:$C$10001,A95)=1,"Único","Duplicado")</x:f>
        <x:v>Único</x:v>
      </x:c>
      <x:c r="F95" s="45" t="str">
        <x:f>IF('Ubicaciones'!T95=1,"Ubicable",IF(OR('Ubicaciones'!E95="Abierta",'Ubicaciones'!E95="Próxima Apertura"),"Coordenadas o activa pendientes","Fuera por estatus"))</x:f>
        <x:v>Ubicable</x:v>
      </x:c>
    </x:row>
    <x:row r="96" ht="23" customHeight="1">
      <x:c r="A96" s="45" t="str">
        <x:f>'Ubicaciones'!C96</x:f>
        <x:v>38428</x:v>
      </x:c>
      <x:c r="B96" s="45" t="str">
        <x:f>'Ubicaciones'!A96</x:f>
        <x:v>Centro Sur</x:v>
      </x:c>
      <x:c r="C96" s="45" t="str">
        <x:f>'Ubicaciones'!B96</x:f>
        <x:v>Cesar Alfonso Castillo Romero</x:v>
      </x:c>
      <x:c r="D96" s="45" t="str">
        <x:f>IF(COUNTIFS('Catalogos'!$A$2:$A$41,B96,'Catalogos'!$B$2:$B$41,C96)&gt;0,"Correcta","Revisar Región DM")</x:f>
        <x:v>Correcta</x:v>
      </x:c>
      <x:c r="E96" s="45" t="str">
        <x:f>IF(COUNTIFS('Ubicaciones'!$C$2:$C$10001,A96)=1,"Único","Duplicado")</x:f>
        <x:v>Único</x:v>
      </x:c>
      <x:c r="F96" s="45" t="str">
        <x:f>IF('Ubicaciones'!T96=1,"Ubicable",IF(OR('Ubicaciones'!E96="Abierta",'Ubicaciones'!E96="Próxima Apertura"),"Coordenadas o activa pendientes","Fuera por estatus"))</x:f>
        <x:v>Ubicable</x:v>
      </x:c>
    </x:row>
    <x:row r="97" ht="23" customHeight="1">
      <x:c r="A97" s="45" t="str">
        <x:f>'Ubicaciones'!C97</x:f>
        <x:v>38447</x:v>
      </x:c>
      <x:c r="B97" s="45" t="str">
        <x:f>'Ubicaciones'!A97</x:f>
        <x:v>Centro Sur</x:v>
      </x:c>
      <x:c r="C97" s="45" t="str">
        <x:f>'Ubicaciones'!B97</x:f>
        <x:v>Cesar Alfonso Castillo Romero</x:v>
      </x:c>
      <x:c r="D97" s="45" t="str">
        <x:f>IF(COUNTIFS('Catalogos'!$A$2:$A$41,B97,'Catalogos'!$B$2:$B$41,C97)&gt;0,"Correcta","Revisar Región DM")</x:f>
        <x:v>Correcta</x:v>
      </x:c>
      <x:c r="E97" s="45" t="str">
        <x:f>IF(COUNTIFS('Ubicaciones'!$C$2:$C$10001,A97)=1,"Único","Duplicado")</x:f>
        <x:v>Único</x:v>
      </x:c>
      <x:c r="F97" s="45" t="str">
        <x:f>IF('Ubicaciones'!T97=1,"Ubicable",IF(OR('Ubicaciones'!E97="Abierta",'Ubicaciones'!E97="Próxima Apertura"),"Coordenadas o activa pendientes","Fuera por estatus"))</x:f>
        <x:v>Ubicable</x:v>
      </x:c>
    </x:row>
    <x:row r="98" ht="23" customHeight="1">
      <x:c r="A98" s="45" t="str">
        <x:f>'Ubicaciones'!C98</x:f>
        <x:v>38544</x:v>
      </x:c>
      <x:c r="B98" s="45" t="str">
        <x:f>'Ubicaciones'!A98</x:f>
        <x:v>Centro Sur</x:v>
      </x:c>
      <x:c r="C98" s="45" t="str">
        <x:f>'Ubicaciones'!B98</x:f>
        <x:v>Cesar Alfonso Castillo Romero</x:v>
      </x:c>
      <x:c r="D98" s="45" t="str">
        <x:f>IF(COUNTIFS('Catalogos'!$A$2:$A$41,B98,'Catalogos'!$B$2:$B$41,C98)&gt;0,"Correcta","Revisar Región DM")</x:f>
        <x:v>Correcta</x:v>
      </x:c>
      <x:c r="E98" s="45" t="str">
        <x:f>IF(COUNTIFS('Ubicaciones'!$C$2:$C$10001,A98)=1,"Único","Duplicado")</x:f>
        <x:v>Único</x:v>
      </x:c>
      <x:c r="F98" s="45" t="str">
        <x:f>IF('Ubicaciones'!T98=1,"Ubicable",IF(OR('Ubicaciones'!E98="Abierta",'Ubicaciones'!E98="Próxima Apertura"),"Coordenadas o activa pendientes","Fuera por estatus"))</x:f>
        <x:v>Ubicable</x:v>
      </x:c>
    </x:row>
    <x:row r="99" ht="23" customHeight="1">
      <x:c r="A99" s="45" t="str">
        <x:f>'Ubicaciones'!C99</x:f>
        <x:v>38571</x:v>
      </x:c>
      <x:c r="B99" s="45" t="str">
        <x:f>'Ubicaciones'!A99</x:f>
        <x:v>Centro Sur</x:v>
      </x:c>
      <x:c r="C99" s="45" t="str">
        <x:f>'Ubicaciones'!B99</x:f>
        <x:v>Cesar Alfonso Castillo Romero</x:v>
      </x:c>
      <x:c r="D99" s="45" t="str">
        <x:f>IF(COUNTIFS('Catalogos'!$A$2:$A$41,B99,'Catalogos'!$B$2:$B$41,C99)&gt;0,"Correcta","Revisar Región DM")</x:f>
        <x:v>Correcta</x:v>
      </x:c>
      <x:c r="E99" s="45" t="str">
        <x:f>IF(COUNTIFS('Ubicaciones'!$C$2:$C$10001,A99)=1,"Único","Duplicado")</x:f>
        <x:v>Único</x:v>
      </x:c>
      <x:c r="F99" s="45" t="str">
        <x:f>IF('Ubicaciones'!T99=1,"Ubicable",IF(OR('Ubicaciones'!E99="Abierta",'Ubicaciones'!E99="Próxima Apertura"),"Coordenadas o activa pendientes","Fuera por estatus"))</x:f>
        <x:v>Ubicable</x:v>
      </x:c>
    </x:row>
    <x:row r="100" ht="23" customHeight="1">
      <x:c r="A100" s="45" t="str">
        <x:f>'Ubicaciones'!C100</x:f>
        <x:v>38580</x:v>
      </x:c>
      <x:c r="B100" s="45" t="str">
        <x:f>'Ubicaciones'!A100</x:f>
        <x:v>Centro Sur</x:v>
      </x:c>
      <x:c r="C100" s="45" t="str">
        <x:f>'Ubicaciones'!B100</x:f>
        <x:v>Cesar Alfonso Castillo Romero</x:v>
      </x:c>
      <x:c r="D100" s="45" t="str">
        <x:f>IF(COUNTIFS('Catalogos'!$A$2:$A$41,B100,'Catalogos'!$B$2:$B$41,C100)&gt;0,"Correcta","Revisar Región DM")</x:f>
        <x:v>Correcta</x:v>
      </x:c>
      <x:c r="E100" s="45" t="str">
        <x:f>IF(COUNTIFS('Ubicaciones'!$C$2:$C$10001,A100)=1,"Único","Duplicado")</x:f>
        <x:v>Único</x:v>
      </x:c>
      <x:c r="F100" s="45" t="str">
        <x:f>IF('Ubicaciones'!T100=1,"Ubicable",IF(OR('Ubicaciones'!E100="Abierta",'Ubicaciones'!E100="Próxima Apertura"),"Coordenadas o activa pendientes","Fuera por estatus"))</x:f>
        <x:v>Ubicable</x:v>
      </x:c>
    </x:row>
    <x:row r="101" ht="23" customHeight="1">
      <x:c r="A101" s="45" t="str">
        <x:f>'Ubicaciones'!C101</x:f>
        <x:v>38615</x:v>
      </x:c>
      <x:c r="B101" s="45" t="str">
        <x:f>'Ubicaciones'!A101</x:f>
        <x:v>Centro Sur</x:v>
      </x:c>
      <x:c r="C101" s="45" t="str">
        <x:f>'Ubicaciones'!B101</x:f>
        <x:v>Cesar Alfonso Castillo Romero</x:v>
      </x:c>
      <x:c r="D101" s="45" t="str">
        <x:f>IF(COUNTIFS('Catalogos'!$A$2:$A$41,B101,'Catalogos'!$B$2:$B$41,C101)&gt;0,"Correcta","Revisar Región DM")</x:f>
        <x:v>Correcta</x:v>
      </x:c>
      <x:c r="E101" s="45" t="str">
        <x:f>IF(COUNTIFS('Ubicaciones'!$C$2:$C$10001,A101)=1,"Único","Duplicado")</x:f>
        <x:v>Único</x:v>
      </x:c>
      <x:c r="F101" s="45" t="str">
        <x:f>IF('Ubicaciones'!T101=1,"Ubicable",IF(OR('Ubicaciones'!E101="Abierta",'Ubicaciones'!E101="Próxima Apertura"),"Coordenadas o activa pendientes","Fuera por estatus"))</x:f>
        <x:v>Ubicable</x:v>
      </x:c>
    </x:row>
    <x:row r="102" ht="23" customHeight="1">
      <x:c r="A102" s="45" t="str">
        <x:f>'Ubicaciones'!C102</x:f>
        <x:v>38691</x:v>
      </x:c>
      <x:c r="B102" s="45" t="str">
        <x:f>'Ubicaciones'!A102</x:f>
        <x:v>Centro Sur</x:v>
      </x:c>
      <x:c r="C102" s="45" t="str">
        <x:f>'Ubicaciones'!B102</x:f>
        <x:v>Cesar Alfonso Castillo Romero</x:v>
      </x:c>
      <x:c r="D102" s="45" t="str">
        <x:f>IF(COUNTIFS('Catalogos'!$A$2:$A$41,B102,'Catalogos'!$B$2:$B$41,C102)&gt;0,"Correcta","Revisar Región DM")</x:f>
        <x:v>Correcta</x:v>
      </x:c>
      <x:c r="E102" s="45" t="str">
        <x:f>IF(COUNTIFS('Ubicaciones'!$C$2:$C$10001,A102)=1,"Único","Duplicado")</x:f>
        <x:v>Único</x:v>
      </x:c>
      <x:c r="F102" s="45" t="str">
        <x:f>IF('Ubicaciones'!T102=1,"Ubicable",IF(OR('Ubicaciones'!E102="Abierta",'Ubicaciones'!E102="Próxima Apertura"),"Coordenadas o activa pendientes","Fuera por estatus"))</x:f>
        <x:v>Ubicable</x:v>
      </x:c>
    </x:row>
    <x:row r="103" ht="23" customHeight="1">
      <x:c r="A103" s="45" t="str">
        <x:f>'Ubicaciones'!C103</x:f>
        <x:v>43159</x:v>
      </x:c>
      <x:c r="B103" s="45" t="str">
        <x:f>'Ubicaciones'!A103</x:f>
        <x:v>Centro Sur</x:v>
      </x:c>
      <x:c r="C103" s="45" t="str">
        <x:f>'Ubicaciones'!B103</x:f>
        <x:v>Cesar Alfonso Castillo Romero</x:v>
      </x:c>
      <x:c r="D103" s="45" t="str">
        <x:f>IF(COUNTIFS('Catalogos'!$A$2:$A$41,B103,'Catalogos'!$B$2:$B$41,C103)&gt;0,"Correcta","Revisar Región DM")</x:f>
        <x:v>Correcta</x:v>
      </x:c>
      <x:c r="E103" s="45" t="str">
        <x:f>IF(COUNTIFS('Ubicaciones'!$C$2:$C$10001,A103)=1,"Único","Duplicado")</x:f>
        <x:v>Único</x:v>
      </x:c>
      <x:c r="F103" s="45" t="str">
        <x:f>IF('Ubicaciones'!T103=1,"Ubicable",IF(OR('Ubicaciones'!E103="Abierta",'Ubicaciones'!E103="Próxima Apertura"),"Coordenadas o activa pendientes","Fuera por estatus"))</x:f>
        <x:v>Ubicable</x:v>
      </x:c>
    </x:row>
    <x:row r="104" ht="23" customHeight="1">
      <x:c r="A104" s="45" t="str">
        <x:f>'Ubicaciones'!C104</x:f>
        <x:v>38114</x:v>
      </x:c>
      <x:c r="B104" s="45" t="str">
        <x:f>'Ubicaciones'!A104</x:f>
        <x:v>Centro Sur</x:v>
      </x:c>
      <x:c r="C104" s="45" t="str">
        <x:f>'Ubicaciones'!B104</x:f>
        <x:v>Fernando Eduardo Verdugo Saldaña</x:v>
      </x:c>
      <x:c r="D104" s="45" t="str">
        <x:f>IF(COUNTIFS('Catalogos'!$A$2:$A$41,B104,'Catalogos'!$B$2:$B$41,C104)&gt;0,"Correcta","Revisar Región DM")</x:f>
        <x:v>Correcta</x:v>
      </x:c>
      <x:c r="E104" s="45" t="str">
        <x:f>IF(COUNTIFS('Ubicaciones'!$C$2:$C$10001,A104)=1,"Único","Duplicado")</x:f>
        <x:v>Único</x:v>
      </x:c>
      <x:c r="F104" s="45" t="str">
        <x:f>IF('Ubicaciones'!T104=1,"Ubicable",IF(OR('Ubicaciones'!E104="Abierta",'Ubicaciones'!E104="Próxima Apertura"),"Coordenadas o activa pendientes","Fuera por estatus"))</x:f>
        <x:v>Ubicable</x:v>
      </x:c>
    </x:row>
    <x:row r="105" ht="23" customHeight="1">
      <x:c r="A105" s="45" t="str">
        <x:f>'Ubicaciones'!C105</x:f>
        <x:v>38360</x:v>
      </x:c>
      <x:c r="B105" s="45" t="str">
        <x:f>'Ubicaciones'!A105</x:f>
        <x:v>Centro Sur</x:v>
      </x:c>
      <x:c r="C105" s="45" t="str">
        <x:f>'Ubicaciones'!B105</x:f>
        <x:v>Fernando Eduardo Verdugo Saldaña</x:v>
      </x:c>
      <x:c r="D105" s="45" t="str">
        <x:f>IF(COUNTIFS('Catalogos'!$A$2:$A$41,B105,'Catalogos'!$B$2:$B$41,C105)&gt;0,"Correcta","Revisar Región DM")</x:f>
        <x:v>Correcta</x:v>
      </x:c>
      <x:c r="E105" s="45" t="str">
        <x:f>IF(COUNTIFS('Ubicaciones'!$C$2:$C$10001,A105)=1,"Único","Duplicado")</x:f>
        <x:v>Único</x:v>
      </x:c>
      <x:c r="F105" s="45" t="str">
        <x:f>IF('Ubicaciones'!T105=1,"Ubicable",IF(OR('Ubicaciones'!E105="Abierta",'Ubicaciones'!E105="Próxima Apertura"),"Coordenadas o activa pendientes","Fuera por estatus"))</x:f>
        <x:v>Ubicable</x:v>
      </x:c>
    </x:row>
    <x:row r="106" ht="23" customHeight="1">
      <x:c r="A106" s="45" t="str">
        <x:f>'Ubicaciones'!C106</x:f>
        <x:v>38367</x:v>
      </x:c>
      <x:c r="B106" s="45" t="str">
        <x:f>'Ubicaciones'!A106</x:f>
        <x:v>Centro Sur</x:v>
      </x:c>
      <x:c r="C106" s="45" t="str">
        <x:f>'Ubicaciones'!B106</x:f>
        <x:v>Fernando Eduardo Verdugo Saldaña</x:v>
      </x:c>
      <x:c r="D106" s="45" t="str">
        <x:f>IF(COUNTIFS('Catalogos'!$A$2:$A$41,B106,'Catalogos'!$B$2:$B$41,C106)&gt;0,"Correcta","Revisar Región DM")</x:f>
        <x:v>Correcta</x:v>
      </x:c>
      <x:c r="E106" s="45" t="str">
        <x:f>IF(COUNTIFS('Ubicaciones'!$C$2:$C$10001,A106)=1,"Único","Duplicado")</x:f>
        <x:v>Único</x:v>
      </x:c>
      <x:c r="F106" s="45" t="str">
        <x:f>IF('Ubicaciones'!T106=1,"Ubicable",IF(OR('Ubicaciones'!E106="Abierta",'Ubicaciones'!E106="Próxima Apertura"),"Coordenadas o activa pendientes","Fuera por estatus"))</x:f>
        <x:v>Ubicable</x:v>
      </x:c>
    </x:row>
    <x:row r="107" ht="23" customHeight="1">
      <x:c r="A107" s="45" t="str">
        <x:f>'Ubicaciones'!C107</x:f>
        <x:v>38379</x:v>
      </x:c>
      <x:c r="B107" s="45" t="str">
        <x:f>'Ubicaciones'!A107</x:f>
        <x:v>Centro Sur</x:v>
      </x:c>
      <x:c r="C107" s="45" t="str">
        <x:f>'Ubicaciones'!B107</x:f>
        <x:v>Fernando Eduardo Verdugo Saldaña</x:v>
      </x:c>
      <x:c r="D107" s="45" t="str">
        <x:f>IF(COUNTIFS('Catalogos'!$A$2:$A$41,B107,'Catalogos'!$B$2:$B$41,C107)&gt;0,"Correcta","Revisar Región DM")</x:f>
        <x:v>Correcta</x:v>
      </x:c>
      <x:c r="E107" s="45" t="str">
        <x:f>IF(COUNTIFS('Ubicaciones'!$C$2:$C$10001,A107)=1,"Único","Duplicado")</x:f>
        <x:v>Único</x:v>
      </x:c>
      <x:c r="F107" s="45" t="str">
        <x:f>IF('Ubicaciones'!T107=1,"Ubicable",IF(OR('Ubicaciones'!E107="Abierta",'Ubicaciones'!E107="Próxima Apertura"),"Coordenadas o activa pendientes","Fuera por estatus"))</x:f>
        <x:v>Ubicable</x:v>
      </x:c>
    </x:row>
    <x:row r="108" ht="23" customHeight="1">
      <x:c r="A108" s="45" t="str">
        <x:f>'Ubicaciones'!C108</x:f>
        <x:v>38393</x:v>
      </x:c>
      <x:c r="B108" s="45" t="str">
        <x:f>'Ubicaciones'!A108</x:f>
        <x:v>Centro Sur</x:v>
      </x:c>
      <x:c r="C108" s="45" t="str">
        <x:f>'Ubicaciones'!B108</x:f>
        <x:v>Fernando Eduardo Verdugo Saldaña</x:v>
      </x:c>
      <x:c r="D108" s="45" t="str">
        <x:f>IF(COUNTIFS('Catalogos'!$A$2:$A$41,B108,'Catalogos'!$B$2:$B$41,C108)&gt;0,"Correcta","Revisar Región DM")</x:f>
        <x:v>Correcta</x:v>
      </x:c>
      <x:c r="E108" s="45" t="str">
        <x:f>IF(COUNTIFS('Ubicaciones'!$C$2:$C$10001,A108)=1,"Único","Duplicado")</x:f>
        <x:v>Único</x:v>
      </x:c>
      <x:c r="F108" s="45" t="str">
        <x:f>IF('Ubicaciones'!T108=1,"Ubicable",IF(OR('Ubicaciones'!E108="Abierta",'Ubicaciones'!E108="Próxima Apertura"),"Coordenadas o activa pendientes","Fuera por estatus"))</x:f>
        <x:v>Ubicable</x:v>
      </x:c>
    </x:row>
    <x:row r="109" ht="23" customHeight="1">
      <x:c r="A109" s="45" t="str">
        <x:f>'Ubicaciones'!C109</x:f>
        <x:v>38469</x:v>
      </x:c>
      <x:c r="B109" s="45" t="str">
        <x:f>'Ubicaciones'!A109</x:f>
        <x:v>Centro Sur</x:v>
      </x:c>
      <x:c r="C109" s="45" t="str">
        <x:f>'Ubicaciones'!B109</x:f>
        <x:v>Fernando Eduardo Verdugo Saldaña</x:v>
      </x:c>
      <x:c r="D109" s="45" t="str">
        <x:f>IF(COUNTIFS('Catalogos'!$A$2:$A$41,B109,'Catalogos'!$B$2:$B$41,C109)&gt;0,"Correcta","Revisar Región DM")</x:f>
        <x:v>Correcta</x:v>
      </x:c>
      <x:c r="E109" s="45" t="str">
        <x:f>IF(COUNTIFS('Ubicaciones'!$C$2:$C$10001,A109)=1,"Único","Duplicado")</x:f>
        <x:v>Único</x:v>
      </x:c>
      <x:c r="F109" s="45" t="str">
        <x:f>IF('Ubicaciones'!T109=1,"Ubicable",IF(OR('Ubicaciones'!E109="Abierta",'Ubicaciones'!E109="Próxima Apertura"),"Coordenadas o activa pendientes","Fuera por estatus"))</x:f>
        <x:v>Ubicable</x:v>
      </x:c>
    </x:row>
    <x:row r="110" ht="23" customHeight="1">
      <x:c r="A110" s="45" t="str">
        <x:f>'Ubicaciones'!C110</x:f>
        <x:v>38471</x:v>
      </x:c>
      <x:c r="B110" s="45" t="str">
        <x:f>'Ubicaciones'!A110</x:f>
        <x:v>Centro Sur</x:v>
      </x:c>
      <x:c r="C110" s="45" t="str">
        <x:f>'Ubicaciones'!B110</x:f>
        <x:v>Fernando Eduardo Verdugo Saldaña</x:v>
      </x:c>
      <x:c r="D110" s="45" t="str">
        <x:f>IF(COUNTIFS('Catalogos'!$A$2:$A$41,B110,'Catalogos'!$B$2:$B$41,C110)&gt;0,"Correcta","Revisar Región DM")</x:f>
        <x:v>Correcta</x:v>
      </x:c>
      <x:c r="E110" s="45" t="str">
        <x:f>IF(COUNTIFS('Ubicaciones'!$C$2:$C$10001,A110)=1,"Único","Duplicado")</x:f>
        <x:v>Único</x:v>
      </x:c>
      <x:c r="F110" s="45" t="str">
        <x:f>IF('Ubicaciones'!T110=1,"Ubicable",IF(OR('Ubicaciones'!E110="Abierta",'Ubicaciones'!E110="Próxima Apertura"),"Coordenadas o activa pendientes","Fuera por estatus"))</x:f>
        <x:v>Ubicable</x:v>
      </x:c>
    </x:row>
    <x:row r="111" ht="23" customHeight="1">
      <x:c r="A111" s="45" t="str">
        <x:f>'Ubicaciones'!C111</x:f>
        <x:v>38472</x:v>
      </x:c>
      <x:c r="B111" s="45" t="str">
        <x:f>'Ubicaciones'!A111</x:f>
        <x:v>Centro Sur</x:v>
      </x:c>
      <x:c r="C111" s="45" t="str">
        <x:f>'Ubicaciones'!B111</x:f>
        <x:v>Fernando Eduardo Verdugo Saldaña</x:v>
      </x:c>
      <x:c r="D111" s="45" t="str">
        <x:f>IF(COUNTIFS('Catalogos'!$A$2:$A$41,B111,'Catalogos'!$B$2:$B$41,C111)&gt;0,"Correcta","Revisar Región DM")</x:f>
        <x:v>Correcta</x:v>
      </x:c>
      <x:c r="E111" s="45" t="str">
        <x:f>IF(COUNTIFS('Ubicaciones'!$C$2:$C$10001,A111)=1,"Único","Duplicado")</x:f>
        <x:v>Único</x:v>
      </x:c>
      <x:c r="F111" s="45" t="str">
        <x:f>IF('Ubicaciones'!T111=1,"Ubicable",IF(OR('Ubicaciones'!E111="Abierta",'Ubicaciones'!E111="Próxima Apertura"),"Coordenadas o activa pendientes","Fuera por estatus"))</x:f>
        <x:v>Ubicable</x:v>
      </x:c>
    </x:row>
    <x:row r="112" ht="23" customHeight="1">
      <x:c r="A112" s="45" t="str">
        <x:f>'Ubicaciones'!C112</x:f>
        <x:v>38494</x:v>
      </x:c>
      <x:c r="B112" s="45" t="str">
        <x:f>'Ubicaciones'!A112</x:f>
        <x:v>Centro Sur</x:v>
      </x:c>
      <x:c r="C112" s="45" t="str">
        <x:f>'Ubicaciones'!B112</x:f>
        <x:v>Fernando Eduardo Verdugo Saldaña</x:v>
      </x:c>
      <x:c r="D112" s="45" t="str">
        <x:f>IF(COUNTIFS('Catalogos'!$A$2:$A$41,B112,'Catalogos'!$B$2:$B$41,C112)&gt;0,"Correcta","Revisar Región DM")</x:f>
        <x:v>Correcta</x:v>
      </x:c>
      <x:c r="E112" s="45" t="str">
        <x:f>IF(COUNTIFS('Ubicaciones'!$C$2:$C$10001,A112)=1,"Único","Duplicado")</x:f>
        <x:v>Único</x:v>
      </x:c>
      <x:c r="F112" s="45" t="str">
        <x:f>IF('Ubicaciones'!T112=1,"Ubicable",IF(OR('Ubicaciones'!E112="Abierta",'Ubicaciones'!E112="Próxima Apertura"),"Coordenadas o activa pendientes","Fuera por estatus"))</x:f>
        <x:v>Ubicable</x:v>
      </x:c>
    </x:row>
    <x:row r="113" ht="23" customHeight="1">
      <x:c r="A113" s="45" t="str">
        <x:f>'Ubicaciones'!C113</x:f>
        <x:v>38637</x:v>
      </x:c>
      <x:c r="B113" s="45" t="str">
        <x:f>'Ubicaciones'!A113</x:f>
        <x:v>Centro Sur</x:v>
      </x:c>
      <x:c r="C113" s="45" t="str">
        <x:f>'Ubicaciones'!B113</x:f>
        <x:v>Fernando Eduardo Verdugo Saldaña</x:v>
      </x:c>
      <x:c r="D113" s="45" t="str">
        <x:f>IF(COUNTIFS('Catalogos'!$A$2:$A$41,B113,'Catalogos'!$B$2:$B$41,C113)&gt;0,"Correcta","Revisar Región DM")</x:f>
        <x:v>Correcta</x:v>
      </x:c>
      <x:c r="E113" s="45" t="str">
        <x:f>IF(COUNTIFS('Ubicaciones'!$C$2:$C$10001,A113)=1,"Único","Duplicado")</x:f>
        <x:v>Único</x:v>
      </x:c>
      <x:c r="F113" s="45" t="str">
        <x:f>IF('Ubicaciones'!T113=1,"Ubicable",IF(OR('Ubicaciones'!E113="Abierta",'Ubicaciones'!E113="Próxima Apertura"),"Coordenadas o activa pendientes","Fuera por estatus"))</x:f>
        <x:v>Ubicable</x:v>
      </x:c>
    </x:row>
    <x:row r="114" ht="23" customHeight="1">
      <x:c r="A114" s="45" t="str">
        <x:f>'Ubicaciones'!C114</x:f>
        <x:v>38817</x:v>
      </x:c>
      <x:c r="B114" s="45" t="str">
        <x:f>'Ubicaciones'!A114</x:f>
        <x:v>Centro Sur</x:v>
      </x:c>
      <x:c r="C114" s="45" t="str">
        <x:f>'Ubicaciones'!B114</x:f>
        <x:v>Fernando Eduardo Verdugo Saldaña</x:v>
      </x:c>
      <x:c r="D114" s="45" t="str">
        <x:f>IF(COUNTIFS('Catalogos'!$A$2:$A$41,B114,'Catalogos'!$B$2:$B$41,C114)&gt;0,"Correcta","Revisar Región DM")</x:f>
        <x:v>Correcta</x:v>
      </x:c>
      <x:c r="E114" s="45" t="str">
        <x:f>IF(COUNTIFS('Ubicaciones'!$C$2:$C$10001,A114)=1,"Único","Duplicado")</x:f>
        <x:v>Único</x:v>
      </x:c>
      <x:c r="F114" s="45" t="str">
        <x:f>IF('Ubicaciones'!T114=1,"Ubicable",IF(OR('Ubicaciones'!E114="Abierta",'Ubicaciones'!E114="Próxima Apertura"),"Coordenadas o activa pendientes","Fuera por estatus"))</x:f>
        <x:v>Ubicable</x:v>
      </x:c>
    </x:row>
    <x:row r="115" ht="23" customHeight="1">
      <x:c r="A115" s="45" t="str">
        <x:f>'Ubicaciones'!C115</x:f>
        <x:v>38964</x:v>
      </x:c>
      <x:c r="B115" s="45" t="str">
        <x:f>'Ubicaciones'!A115</x:f>
        <x:v>Centro Sur</x:v>
      </x:c>
      <x:c r="C115" s="45" t="str">
        <x:f>'Ubicaciones'!B115</x:f>
        <x:v>Fernando Eduardo Verdugo Saldaña</x:v>
      </x:c>
      <x:c r="D115" s="45" t="str">
        <x:f>IF(COUNTIFS('Catalogos'!$A$2:$A$41,B115,'Catalogos'!$B$2:$B$41,C115)&gt;0,"Correcta","Revisar Región DM")</x:f>
        <x:v>Correcta</x:v>
      </x:c>
      <x:c r="E115" s="45" t="str">
        <x:f>IF(COUNTIFS('Ubicaciones'!$C$2:$C$10001,A115)=1,"Único","Duplicado")</x:f>
        <x:v>Único</x:v>
      </x:c>
      <x:c r="F115" s="45" t="str">
        <x:f>IF('Ubicaciones'!T115=1,"Ubicable",IF(OR('Ubicaciones'!E115="Abierta",'Ubicaciones'!E115="Próxima Apertura"),"Coordenadas o activa pendientes","Fuera por estatus"))</x:f>
        <x:v>Ubicable</x:v>
      </x:c>
    </x:row>
    <x:row r="116" ht="23" customHeight="1">
      <x:c r="A116" s="45" t="str">
        <x:f>'Ubicaciones'!C116</x:f>
        <x:v>38131</x:v>
      </x:c>
      <x:c r="B116" s="45" t="str">
        <x:f>'Ubicaciones'!A116</x:f>
        <x:v>Centro Sur</x:v>
      </x:c>
      <x:c r="C116" s="45" t="str">
        <x:f>'Ubicaciones'!B116</x:f>
        <x:v>Hazar Susim Trejo Hernandez</x:v>
      </x:c>
      <x:c r="D116" s="45" t="str">
        <x:f>IF(COUNTIFS('Catalogos'!$A$2:$A$41,B116,'Catalogos'!$B$2:$B$41,C116)&gt;0,"Correcta","Revisar Región DM")</x:f>
        <x:v>Correcta</x:v>
      </x:c>
      <x:c r="E116" s="45" t="str">
        <x:f>IF(COUNTIFS('Ubicaciones'!$C$2:$C$10001,A116)=1,"Único","Duplicado")</x:f>
        <x:v>Único</x:v>
      </x:c>
      <x:c r="F116" s="45" t="str">
        <x:f>IF('Ubicaciones'!T116=1,"Ubicable",IF(OR('Ubicaciones'!E116="Abierta",'Ubicaciones'!E116="Próxima Apertura"),"Coordenadas o activa pendientes","Fuera por estatus"))</x:f>
        <x:v>Ubicable</x:v>
      </x:c>
    </x:row>
    <x:row r="117" ht="23" customHeight="1">
      <x:c r="A117" s="45" t="str">
        <x:f>'Ubicaciones'!C117</x:f>
        <x:v>38172</x:v>
      </x:c>
      <x:c r="B117" s="45" t="str">
        <x:f>'Ubicaciones'!A117</x:f>
        <x:v>Centro Sur</x:v>
      </x:c>
      <x:c r="C117" s="45" t="str">
        <x:f>'Ubicaciones'!B117</x:f>
        <x:v>Hazar Susim Trejo Hernandez</x:v>
      </x:c>
      <x:c r="D117" s="45" t="str">
        <x:f>IF(COUNTIFS('Catalogos'!$A$2:$A$41,B117,'Catalogos'!$B$2:$B$41,C117)&gt;0,"Correcta","Revisar Región DM")</x:f>
        <x:v>Correcta</x:v>
      </x:c>
      <x:c r="E117" s="45" t="str">
        <x:f>IF(COUNTIFS('Ubicaciones'!$C$2:$C$10001,A117)=1,"Único","Duplicado")</x:f>
        <x:v>Único</x:v>
      </x:c>
      <x:c r="F117" s="45" t="str">
        <x:f>IF('Ubicaciones'!T117=1,"Ubicable",IF(OR('Ubicaciones'!E117="Abierta",'Ubicaciones'!E117="Próxima Apertura"),"Coordenadas o activa pendientes","Fuera por estatus"))</x:f>
        <x:v>Ubicable</x:v>
      </x:c>
    </x:row>
    <x:row r="118" ht="23" customHeight="1">
      <x:c r="A118" s="45" t="str">
        <x:f>'Ubicaciones'!C118</x:f>
        <x:v>38402</x:v>
      </x:c>
      <x:c r="B118" s="45" t="str">
        <x:f>'Ubicaciones'!A118</x:f>
        <x:v>Centro Sur</x:v>
      </x:c>
      <x:c r="C118" s="45" t="str">
        <x:f>'Ubicaciones'!B118</x:f>
        <x:v>Hazar Susim Trejo Hernandez</x:v>
      </x:c>
      <x:c r="D118" s="45" t="str">
        <x:f>IF(COUNTIFS('Catalogos'!$A$2:$A$41,B118,'Catalogos'!$B$2:$B$41,C118)&gt;0,"Correcta","Revisar Región DM")</x:f>
        <x:v>Correcta</x:v>
      </x:c>
      <x:c r="E118" s="45" t="str">
        <x:f>IF(COUNTIFS('Ubicaciones'!$C$2:$C$10001,A118)=1,"Único","Duplicado")</x:f>
        <x:v>Único</x:v>
      </x:c>
      <x:c r="F118" s="45" t="str">
        <x:f>IF('Ubicaciones'!T118=1,"Ubicable",IF(OR('Ubicaciones'!E118="Abierta",'Ubicaciones'!E118="Próxima Apertura"),"Coordenadas o activa pendientes","Fuera por estatus"))</x:f>
        <x:v>Ubicable</x:v>
      </x:c>
    </x:row>
    <x:row r="119" ht="23" customHeight="1">
      <x:c r="A119" s="45" t="str">
        <x:f>'Ubicaciones'!C119</x:f>
        <x:v>38406</x:v>
      </x:c>
      <x:c r="B119" s="45" t="str">
        <x:f>'Ubicaciones'!A119</x:f>
        <x:v>Centro Sur</x:v>
      </x:c>
      <x:c r="C119" s="45" t="str">
        <x:f>'Ubicaciones'!B119</x:f>
        <x:v>Hazar Susim Trejo Hernandez</x:v>
      </x:c>
      <x:c r="D119" s="45" t="str">
        <x:f>IF(COUNTIFS('Catalogos'!$A$2:$A$41,B119,'Catalogos'!$B$2:$B$41,C119)&gt;0,"Correcta","Revisar Región DM")</x:f>
        <x:v>Correcta</x:v>
      </x:c>
      <x:c r="E119" s="45" t="str">
        <x:f>IF(COUNTIFS('Ubicaciones'!$C$2:$C$10001,A119)=1,"Único","Duplicado")</x:f>
        <x:v>Único</x:v>
      </x:c>
      <x:c r="F119" s="45" t="str">
        <x:f>IF('Ubicaciones'!T119=1,"Ubicable",IF(OR('Ubicaciones'!E119="Abierta",'Ubicaciones'!E119="Próxima Apertura"),"Coordenadas o activa pendientes","Fuera por estatus"))</x:f>
        <x:v>Ubicable</x:v>
      </x:c>
    </x:row>
    <x:row r="120" ht="23" customHeight="1">
      <x:c r="A120" s="45" t="str">
        <x:f>'Ubicaciones'!C120</x:f>
        <x:v>38543</x:v>
      </x:c>
      <x:c r="B120" s="45" t="str">
        <x:f>'Ubicaciones'!A120</x:f>
        <x:v>Centro Sur</x:v>
      </x:c>
      <x:c r="C120" s="45" t="str">
        <x:f>'Ubicaciones'!B120</x:f>
        <x:v>Hazar Susim Trejo Hernandez</x:v>
      </x:c>
      <x:c r="D120" s="45" t="str">
        <x:f>IF(COUNTIFS('Catalogos'!$A$2:$A$41,B120,'Catalogos'!$B$2:$B$41,C120)&gt;0,"Correcta","Revisar Región DM")</x:f>
        <x:v>Correcta</x:v>
      </x:c>
      <x:c r="E120" s="45" t="str">
        <x:f>IF(COUNTIFS('Ubicaciones'!$C$2:$C$10001,A120)=1,"Único","Duplicado")</x:f>
        <x:v>Único</x:v>
      </x:c>
      <x:c r="F120" s="45" t="str">
        <x:f>IF('Ubicaciones'!T120=1,"Ubicable",IF(OR('Ubicaciones'!E120="Abierta",'Ubicaciones'!E120="Próxima Apertura"),"Coordenadas o activa pendientes","Fuera por estatus"))</x:f>
        <x:v>Ubicable</x:v>
      </x:c>
    </x:row>
    <x:row r="121" ht="23" customHeight="1">
      <x:c r="A121" s="45" t="str">
        <x:f>'Ubicaciones'!C121</x:f>
        <x:v>38560</x:v>
      </x:c>
      <x:c r="B121" s="45" t="str">
        <x:f>'Ubicaciones'!A121</x:f>
        <x:v>Centro Sur</x:v>
      </x:c>
      <x:c r="C121" s="45" t="str">
        <x:f>'Ubicaciones'!B121</x:f>
        <x:v>Hazar Susim Trejo Hernandez</x:v>
      </x:c>
      <x:c r="D121" s="45" t="str">
        <x:f>IF(COUNTIFS('Catalogos'!$A$2:$A$41,B121,'Catalogos'!$B$2:$B$41,C121)&gt;0,"Correcta","Revisar Región DM")</x:f>
        <x:v>Correcta</x:v>
      </x:c>
      <x:c r="E121" s="45" t="str">
        <x:f>IF(COUNTIFS('Ubicaciones'!$C$2:$C$10001,A121)=1,"Único","Duplicado")</x:f>
        <x:v>Único</x:v>
      </x:c>
      <x:c r="F121" s="45" t="str">
        <x:f>IF('Ubicaciones'!T121=1,"Ubicable",IF(OR('Ubicaciones'!E121="Abierta",'Ubicaciones'!E121="Próxima Apertura"),"Coordenadas o activa pendientes","Fuera por estatus"))</x:f>
        <x:v>Ubicable</x:v>
      </x:c>
    </x:row>
    <x:row r="122" ht="23" customHeight="1">
      <x:c r="A122" s="45" t="str">
        <x:f>'Ubicaciones'!C122</x:f>
        <x:v>38605</x:v>
      </x:c>
      <x:c r="B122" s="45" t="str">
        <x:f>'Ubicaciones'!A122</x:f>
        <x:v>Centro Sur</x:v>
      </x:c>
      <x:c r="C122" s="45" t="str">
        <x:f>'Ubicaciones'!B122</x:f>
        <x:v>Hazar Susim Trejo Hernandez</x:v>
      </x:c>
      <x:c r="D122" s="45" t="str">
        <x:f>IF(COUNTIFS('Catalogos'!$A$2:$A$41,B122,'Catalogos'!$B$2:$B$41,C122)&gt;0,"Correcta","Revisar Región DM")</x:f>
        <x:v>Correcta</x:v>
      </x:c>
      <x:c r="E122" s="45" t="str">
        <x:f>IF(COUNTIFS('Ubicaciones'!$C$2:$C$10001,A122)=1,"Único","Duplicado")</x:f>
        <x:v>Único</x:v>
      </x:c>
      <x:c r="F122" s="45" t="str">
        <x:f>IF('Ubicaciones'!T122=1,"Ubicable",IF(OR('Ubicaciones'!E122="Abierta",'Ubicaciones'!E122="Próxima Apertura"),"Coordenadas o activa pendientes","Fuera por estatus"))</x:f>
        <x:v>Ubicable</x:v>
      </x:c>
    </x:row>
    <x:row r="123" ht="23" customHeight="1">
      <x:c r="A123" s="45" t="str">
        <x:f>'Ubicaciones'!C123</x:f>
        <x:v>38625</x:v>
      </x:c>
      <x:c r="B123" s="45" t="str">
        <x:f>'Ubicaciones'!A123</x:f>
        <x:v>Centro Sur</x:v>
      </x:c>
      <x:c r="C123" s="45" t="str">
        <x:f>'Ubicaciones'!B123</x:f>
        <x:v>Hazar Susim Trejo Hernandez</x:v>
      </x:c>
      <x:c r="D123" s="45" t="str">
        <x:f>IF(COUNTIFS('Catalogos'!$A$2:$A$41,B123,'Catalogos'!$B$2:$B$41,C123)&gt;0,"Correcta","Revisar Región DM")</x:f>
        <x:v>Correcta</x:v>
      </x:c>
      <x:c r="E123" s="45" t="str">
        <x:f>IF(COUNTIFS('Ubicaciones'!$C$2:$C$10001,A123)=1,"Único","Duplicado")</x:f>
        <x:v>Único</x:v>
      </x:c>
      <x:c r="F123" s="45" t="str">
        <x:f>IF('Ubicaciones'!T123=1,"Ubicable",IF(OR('Ubicaciones'!E123="Abierta",'Ubicaciones'!E123="Próxima Apertura"),"Coordenadas o activa pendientes","Fuera por estatus"))</x:f>
        <x:v>Ubicable</x:v>
      </x:c>
    </x:row>
    <x:row r="124" ht="23" customHeight="1">
      <x:c r="A124" s="45" t="str">
        <x:f>'Ubicaciones'!C124</x:f>
        <x:v>38771</x:v>
      </x:c>
      <x:c r="B124" s="45" t="str">
        <x:f>'Ubicaciones'!A124</x:f>
        <x:v>Centro Sur</x:v>
      </x:c>
      <x:c r="C124" s="45" t="str">
        <x:f>'Ubicaciones'!B124</x:f>
        <x:v>Hazar Susim Trejo Hernandez</x:v>
      </x:c>
      <x:c r="D124" s="45" t="str">
        <x:f>IF(COUNTIFS('Catalogos'!$A$2:$A$41,B124,'Catalogos'!$B$2:$B$41,C124)&gt;0,"Correcta","Revisar Región DM")</x:f>
        <x:v>Correcta</x:v>
      </x:c>
      <x:c r="E124" s="45" t="str">
        <x:f>IF(COUNTIFS('Ubicaciones'!$C$2:$C$10001,A124)=1,"Único","Duplicado")</x:f>
        <x:v>Único</x:v>
      </x:c>
      <x:c r="F124" s="45" t="str">
        <x:f>IF('Ubicaciones'!T124=1,"Ubicable",IF(OR('Ubicaciones'!E124="Abierta",'Ubicaciones'!E124="Próxima Apertura"),"Coordenadas o activa pendientes","Fuera por estatus"))</x:f>
        <x:v>Fuera por estatus</x:v>
      </x:c>
    </x:row>
    <x:row r="125" ht="23" customHeight="1">
      <x:c r="A125" s="45" t="str">
        <x:f>'Ubicaciones'!C125</x:f>
        <x:v>38784</x:v>
      </x:c>
      <x:c r="B125" s="45" t="str">
        <x:f>'Ubicaciones'!A125</x:f>
        <x:v>Centro Sur</x:v>
      </x:c>
      <x:c r="C125" s="45" t="str">
        <x:f>'Ubicaciones'!B125</x:f>
        <x:v>Hazar Susim Trejo Hernandez</x:v>
      </x:c>
      <x:c r="D125" s="45" t="str">
        <x:f>IF(COUNTIFS('Catalogos'!$A$2:$A$41,B125,'Catalogos'!$B$2:$B$41,C125)&gt;0,"Correcta","Revisar Región DM")</x:f>
        <x:v>Correcta</x:v>
      </x:c>
      <x:c r="E125" s="45" t="str">
        <x:f>IF(COUNTIFS('Ubicaciones'!$C$2:$C$10001,A125)=1,"Único","Duplicado")</x:f>
        <x:v>Único</x:v>
      </x:c>
      <x:c r="F125" s="45" t="str">
        <x:f>IF('Ubicaciones'!T125=1,"Ubicable",IF(OR('Ubicaciones'!E125="Abierta",'Ubicaciones'!E125="Próxima Apertura"),"Coordenadas o activa pendientes","Fuera por estatus"))</x:f>
        <x:v>Ubicable</x:v>
      </x:c>
    </x:row>
    <x:row r="126" ht="23" customHeight="1">
      <x:c r="A126" s="45" t="str">
        <x:f>'Ubicaciones'!C126</x:f>
        <x:v>38791</x:v>
      </x:c>
      <x:c r="B126" s="45" t="str">
        <x:f>'Ubicaciones'!A126</x:f>
        <x:v>Centro Sur</x:v>
      </x:c>
      <x:c r="C126" s="45" t="str">
        <x:f>'Ubicaciones'!B126</x:f>
        <x:v>Hazar Susim Trejo Hernandez</x:v>
      </x:c>
      <x:c r="D126" s="45" t="str">
        <x:f>IF(COUNTIFS('Catalogos'!$A$2:$A$41,B126,'Catalogos'!$B$2:$B$41,C126)&gt;0,"Correcta","Revisar Región DM")</x:f>
        <x:v>Correcta</x:v>
      </x:c>
      <x:c r="E126" s="45" t="str">
        <x:f>IF(COUNTIFS('Ubicaciones'!$C$2:$C$10001,A126)=1,"Único","Duplicado")</x:f>
        <x:v>Único</x:v>
      </x:c>
      <x:c r="F126" s="45" t="str">
        <x:f>IF('Ubicaciones'!T126=1,"Ubicable",IF(OR('Ubicaciones'!E126="Abierta",'Ubicaciones'!E126="Próxima Apertura"),"Coordenadas o activa pendientes","Fuera por estatus"))</x:f>
        <x:v>Ubicable</x:v>
      </x:c>
    </x:row>
    <x:row r="127" ht="23" customHeight="1">
      <x:c r="A127" s="45" t="str">
        <x:f>'Ubicaciones'!C127</x:f>
        <x:v>38806</x:v>
      </x:c>
      <x:c r="B127" s="45" t="str">
        <x:f>'Ubicaciones'!A127</x:f>
        <x:v>Centro Sur</x:v>
      </x:c>
      <x:c r="C127" s="45" t="str">
        <x:f>'Ubicaciones'!B127</x:f>
        <x:v>Hazar Susim Trejo Hernandez</x:v>
      </x:c>
      <x:c r="D127" s="45" t="str">
        <x:f>IF(COUNTIFS('Catalogos'!$A$2:$A$41,B127,'Catalogos'!$B$2:$B$41,C127)&gt;0,"Correcta","Revisar Región DM")</x:f>
        <x:v>Correcta</x:v>
      </x:c>
      <x:c r="E127" s="45" t="str">
        <x:f>IF(COUNTIFS('Ubicaciones'!$C$2:$C$10001,A127)=1,"Único","Duplicado")</x:f>
        <x:v>Único</x:v>
      </x:c>
      <x:c r="F127" s="45" t="str">
        <x:f>IF('Ubicaciones'!T127=1,"Ubicable",IF(OR('Ubicaciones'!E127="Abierta",'Ubicaciones'!E127="Próxima Apertura"),"Coordenadas o activa pendientes","Fuera por estatus"))</x:f>
        <x:v>Ubicable</x:v>
      </x:c>
    </x:row>
    <x:row r="128" ht="23" customHeight="1">
      <x:c r="A128" s="45" t="str">
        <x:f>'Ubicaciones'!C128</x:f>
        <x:v>38866</x:v>
      </x:c>
      <x:c r="B128" s="45" t="str">
        <x:f>'Ubicaciones'!A128</x:f>
        <x:v>Centro Sur</x:v>
      </x:c>
      <x:c r="C128" s="45" t="str">
        <x:f>'Ubicaciones'!B128</x:f>
        <x:v>Hazar Susim Trejo Hernandez</x:v>
      </x:c>
      <x:c r="D128" s="45" t="str">
        <x:f>IF(COUNTIFS('Catalogos'!$A$2:$A$41,B128,'Catalogos'!$B$2:$B$41,C128)&gt;0,"Correcta","Revisar Región DM")</x:f>
        <x:v>Correcta</x:v>
      </x:c>
      <x:c r="E128" s="45" t="str">
        <x:f>IF(COUNTIFS('Ubicaciones'!$C$2:$C$10001,A128)=1,"Único","Duplicado")</x:f>
        <x:v>Único</x:v>
      </x:c>
      <x:c r="F128" s="45" t="str">
        <x:f>IF('Ubicaciones'!T128=1,"Ubicable",IF(OR('Ubicaciones'!E128="Abierta",'Ubicaciones'!E128="Próxima Apertura"),"Coordenadas o activa pendientes","Fuera por estatus"))</x:f>
        <x:v>Ubicable</x:v>
      </x:c>
    </x:row>
    <x:row r="129" ht="23" customHeight="1">
      <x:c r="A129" s="45" t="str">
        <x:f>'Ubicaciones'!C129</x:f>
        <x:v>38113</x:v>
      </x:c>
      <x:c r="B129" s="45" t="str">
        <x:f>'Ubicaciones'!A129</x:f>
        <x:v>Centro Sur</x:v>
      </x:c>
      <x:c r="C129" s="45" t="str">
        <x:f>'Ubicaciones'!B129</x:f>
        <x:v>Jaqueline Cortes Ayala</x:v>
      </x:c>
      <x:c r="D129" s="45" t="str">
        <x:f>IF(COUNTIFS('Catalogos'!$A$2:$A$41,B129,'Catalogos'!$B$2:$B$41,C129)&gt;0,"Correcta","Revisar Región DM")</x:f>
        <x:v>Correcta</x:v>
      </x:c>
      <x:c r="E129" s="45" t="str">
        <x:f>IF(COUNTIFS('Ubicaciones'!$C$2:$C$10001,A129)=1,"Único","Duplicado")</x:f>
        <x:v>Único</x:v>
      </x:c>
      <x:c r="F129" s="45" t="str">
        <x:f>IF('Ubicaciones'!T129=1,"Ubicable",IF(OR('Ubicaciones'!E129="Abierta",'Ubicaciones'!E129="Próxima Apertura"),"Coordenadas o activa pendientes","Fuera por estatus"))</x:f>
        <x:v>Ubicable</x:v>
      </x:c>
    </x:row>
    <x:row r="130" ht="23" customHeight="1">
      <x:c r="A130" s="45" t="str">
        <x:f>'Ubicaciones'!C130</x:f>
        <x:v>38139</x:v>
      </x:c>
      <x:c r="B130" s="45" t="str">
        <x:f>'Ubicaciones'!A130</x:f>
        <x:v>Centro Sur</x:v>
      </x:c>
      <x:c r="C130" s="45" t="str">
        <x:f>'Ubicaciones'!B130</x:f>
        <x:v>Jaqueline Cortes Ayala</x:v>
      </x:c>
      <x:c r="D130" s="45" t="str">
        <x:f>IF(COUNTIFS('Catalogos'!$A$2:$A$41,B130,'Catalogos'!$B$2:$B$41,C130)&gt;0,"Correcta","Revisar Región DM")</x:f>
        <x:v>Correcta</x:v>
      </x:c>
      <x:c r="E130" s="45" t="str">
        <x:f>IF(COUNTIFS('Ubicaciones'!$C$2:$C$10001,A130)=1,"Único","Duplicado")</x:f>
        <x:v>Único</x:v>
      </x:c>
      <x:c r="F130" s="45" t="str">
        <x:f>IF('Ubicaciones'!T130=1,"Ubicable",IF(OR('Ubicaciones'!E130="Abierta",'Ubicaciones'!E130="Próxima Apertura"),"Coordenadas o activa pendientes","Fuera por estatus"))</x:f>
        <x:v>Ubicable</x:v>
      </x:c>
    </x:row>
    <x:row r="131" ht="23" customHeight="1">
      <x:c r="A131" s="45" t="str">
        <x:f>'Ubicaciones'!C131</x:f>
        <x:v>38152</x:v>
      </x:c>
      <x:c r="B131" s="45" t="str">
        <x:f>'Ubicaciones'!A131</x:f>
        <x:v>Centro Sur</x:v>
      </x:c>
      <x:c r="C131" s="45" t="str">
        <x:f>'Ubicaciones'!B131</x:f>
        <x:v>Jaqueline Cortes Ayala</x:v>
      </x:c>
      <x:c r="D131" s="45" t="str">
        <x:f>IF(COUNTIFS('Catalogos'!$A$2:$A$41,B131,'Catalogos'!$B$2:$B$41,C131)&gt;0,"Correcta","Revisar Región DM")</x:f>
        <x:v>Correcta</x:v>
      </x:c>
      <x:c r="E131" s="45" t="str">
        <x:f>IF(COUNTIFS('Ubicaciones'!$C$2:$C$10001,A131)=1,"Único","Duplicado")</x:f>
        <x:v>Único</x:v>
      </x:c>
      <x:c r="F131" s="45" t="str">
        <x:f>IF('Ubicaciones'!T131=1,"Ubicable",IF(OR('Ubicaciones'!E131="Abierta",'Ubicaciones'!E131="Próxima Apertura"),"Coordenadas o activa pendientes","Fuera por estatus"))</x:f>
        <x:v>Ubicable</x:v>
      </x:c>
    </x:row>
    <x:row r="132" ht="23" customHeight="1">
      <x:c r="A132" s="45" t="str">
        <x:f>'Ubicaciones'!C132</x:f>
        <x:v>38208</x:v>
      </x:c>
      <x:c r="B132" s="45" t="str">
        <x:f>'Ubicaciones'!A132</x:f>
        <x:v>Centro Sur</x:v>
      </x:c>
      <x:c r="C132" s="45" t="str">
        <x:f>'Ubicaciones'!B132</x:f>
        <x:v>Jaqueline Cortes Ayala</x:v>
      </x:c>
      <x:c r="D132" s="45" t="str">
        <x:f>IF(COUNTIFS('Catalogos'!$A$2:$A$41,B132,'Catalogos'!$B$2:$B$41,C132)&gt;0,"Correcta","Revisar Región DM")</x:f>
        <x:v>Correcta</x:v>
      </x:c>
      <x:c r="E132" s="45" t="str">
        <x:f>IF(COUNTIFS('Ubicaciones'!$C$2:$C$10001,A132)=1,"Único","Duplicado")</x:f>
        <x:v>Único</x:v>
      </x:c>
      <x:c r="F132" s="45" t="str">
        <x:f>IF('Ubicaciones'!T132=1,"Ubicable",IF(OR('Ubicaciones'!E132="Abierta",'Ubicaciones'!E132="Próxima Apertura"),"Coordenadas o activa pendientes","Fuera por estatus"))</x:f>
        <x:v>Ubicable</x:v>
      </x:c>
    </x:row>
    <x:row r="133" ht="23" customHeight="1">
      <x:c r="A133" s="45" t="str">
        <x:f>'Ubicaciones'!C133</x:f>
        <x:v>38239</x:v>
      </x:c>
      <x:c r="B133" s="45" t="str">
        <x:f>'Ubicaciones'!A133</x:f>
        <x:v>Centro Sur</x:v>
      </x:c>
      <x:c r="C133" s="45" t="str">
        <x:f>'Ubicaciones'!B133</x:f>
        <x:v>Jaqueline Cortes Ayala</x:v>
      </x:c>
      <x:c r="D133" s="45" t="str">
        <x:f>IF(COUNTIFS('Catalogos'!$A$2:$A$41,B133,'Catalogos'!$B$2:$B$41,C133)&gt;0,"Correcta","Revisar Región DM")</x:f>
        <x:v>Correcta</x:v>
      </x:c>
      <x:c r="E133" s="45" t="str">
        <x:f>IF(COUNTIFS('Ubicaciones'!$C$2:$C$10001,A133)=1,"Único","Duplicado")</x:f>
        <x:v>Único</x:v>
      </x:c>
      <x:c r="F133" s="45" t="str">
        <x:f>IF('Ubicaciones'!T133=1,"Ubicable",IF(OR('Ubicaciones'!E133="Abierta",'Ubicaciones'!E133="Próxima Apertura"),"Coordenadas o activa pendientes","Fuera por estatus"))</x:f>
        <x:v>Ubicable</x:v>
      </x:c>
    </x:row>
    <x:row r="134" ht="23" customHeight="1">
      <x:c r="A134" s="45" t="str">
        <x:f>'Ubicaciones'!C134</x:f>
        <x:v>38365</x:v>
      </x:c>
      <x:c r="B134" s="45" t="str">
        <x:f>'Ubicaciones'!A134</x:f>
        <x:v>Centro Sur</x:v>
      </x:c>
      <x:c r="C134" s="45" t="str">
        <x:f>'Ubicaciones'!B134</x:f>
        <x:v>Jaqueline Cortes Ayala</x:v>
      </x:c>
      <x:c r="D134" s="45" t="str">
        <x:f>IF(COUNTIFS('Catalogos'!$A$2:$A$41,B134,'Catalogos'!$B$2:$B$41,C134)&gt;0,"Correcta","Revisar Región DM")</x:f>
        <x:v>Correcta</x:v>
      </x:c>
      <x:c r="E134" s="45" t="str">
        <x:f>IF(COUNTIFS('Ubicaciones'!$C$2:$C$10001,A134)=1,"Único","Duplicado")</x:f>
        <x:v>Único</x:v>
      </x:c>
      <x:c r="F134" s="45" t="str">
        <x:f>IF('Ubicaciones'!T134=1,"Ubicable",IF(OR('Ubicaciones'!E134="Abierta",'Ubicaciones'!E134="Próxima Apertura"),"Coordenadas o activa pendientes","Fuera por estatus"))</x:f>
        <x:v>Ubicable</x:v>
      </x:c>
    </x:row>
    <x:row r="135" ht="23" customHeight="1">
      <x:c r="A135" s="45" t="str">
        <x:f>'Ubicaciones'!C135</x:f>
        <x:v>38417</x:v>
      </x:c>
      <x:c r="B135" s="45" t="str">
        <x:f>'Ubicaciones'!A135</x:f>
        <x:v>Centro Sur</x:v>
      </x:c>
      <x:c r="C135" s="45" t="str">
        <x:f>'Ubicaciones'!B135</x:f>
        <x:v>Jaqueline Cortes Ayala</x:v>
      </x:c>
      <x:c r="D135" s="45" t="str">
        <x:f>IF(COUNTIFS('Catalogos'!$A$2:$A$41,B135,'Catalogos'!$B$2:$B$41,C135)&gt;0,"Correcta","Revisar Región DM")</x:f>
        <x:v>Correcta</x:v>
      </x:c>
      <x:c r="E135" s="45" t="str">
        <x:f>IF(COUNTIFS('Ubicaciones'!$C$2:$C$10001,A135)=1,"Único","Duplicado")</x:f>
        <x:v>Único</x:v>
      </x:c>
      <x:c r="F135" s="45" t="str">
        <x:f>IF('Ubicaciones'!T135=1,"Ubicable",IF(OR('Ubicaciones'!E135="Abierta",'Ubicaciones'!E135="Próxima Apertura"),"Coordenadas o activa pendientes","Fuera por estatus"))</x:f>
        <x:v>Ubicable</x:v>
      </x:c>
    </x:row>
    <x:row r="136" ht="23" customHeight="1">
      <x:c r="A136" s="45" t="str">
        <x:f>'Ubicaciones'!C136</x:f>
        <x:v>38430</x:v>
      </x:c>
      <x:c r="B136" s="45" t="str">
        <x:f>'Ubicaciones'!A136</x:f>
        <x:v>Centro Sur</x:v>
      </x:c>
      <x:c r="C136" s="45" t="str">
        <x:f>'Ubicaciones'!B136</x:f>
        <x:v>Jaqueline Cortes Ayala</x:v>
      </x:c>
      <x:c r="D136" s="45" t="str">
        <x:f>IF(COUNTIFS('Catalogos'!$A$2:$A$41,B136,'Catalogos'!$B$2:$B$41,C136)&gt;0,"Correcta","Revisar Región DM")</x:f>
        <x:v>Correcta</x:v>
      </x:c>
      <x:c r="E136" s="45" t="str">
        <x:f>IF(COUNTIFS('Ubicaciones'!$C$2:$C$10001,A136)=1,"Único","Duplicado")</x:f>
        <x:v>Único</x:v>
      </x:c>
      <x:c r="F136" s="45" t="str">
        <x:f>IF('Ubicaciones'!T136=1,"Ubicable",IF(OR('Ubicaciones'!E136="Abierta",'Ubicaciones'!E136="Próxima Apertura"),"Coordenadas o activa pendientes","Fuera por estatus"))</x:f>
        <x:v>Ubicable</x:v>
      </x:c>
    </x:row>
    <x:row r="137" ht="23" customHeight="1">
      <x:c r="A137" s="45" t="str">
        <x:f>'Ubicaciones'!C137</x:f>
        <x:v>38484</x:v>
      </x:c>
      <x:c r="B137" s="45" t="str">
        <x:f>'Ubicaciones'!A137</x:f>
        <x:v>Centro Sur</x:v>
      </x:c>
      <x:c r="C137" s="45" t="str">
        <x:f>'Ubicaciones'!B137</x:f>
        <x:v>Jaqueline Cortes Ayala</x:v>
      </x:c>
      <x:c r="D137" s="45" t="str">
        <x:f>IF(COUNTIFS('Catalogos'!$A$2:$A$41,B137,'Catalogos'!$B$2:$B$41,C137)&gt;0,"Correcta","Revisar Región DM")</x:f>
        <x:v>Correcta</x:v>
      </x:c>
      <x:c r="E137" s="45" t="str">
        <x:f>IF(COUNTIFS('Ubicaciones'!$C$2:$C$10001,A137)=1,"Único","Duplicado")</x:f>
        <x:v>Único</x:v>
      </x:c>
      <x:c r="F137" s="45" t="str">
        <x:f>IF('Ubicaciones'!T137=1,"Ubicable",IF(OR('Ubicaciones'!E137="Abierta",'Ubicaciones'!E137="Próxima Apertura"),"Coordenadas o activa pendientes","Fuera por estatus"))</x:f>
        <x:v>Ubicable</x:v>
      </x:c>
    </x:row>
    <x:row r="138" ht="23" customHeight="1">
      <x:c r="A138" s="45" t="str">
        <x:f>'Ubicaciones'!C138</x:f>
        <x:v>38585</x:v>
      </x:c>
      <x:c r="B138" s="45" t="str">
        <x:f>'Ubicaciones'!A138</x:f>
        <x:v>Centro Sur</x:v>
      </x:c>
      <x:c r="C138" s="45" t="str">
        <x:f>'Ubicaciones'!B138</x:f>
        <x:v>Jaqueline Cortes Ayala</x:v>
      </x:c>
      <x:c r="D138" s="45" t="str">
        <x:f>IF(COUNTIFS('Catalogos'!$A$2:$A$41,B138,'Catalogos'!$B$2:$B$41,C138)&gt;0,"Correcta","Revisar Región DM")</x:f>
        <x:v>Correcta</x:v>
      </x:c>
      <x:c r="E138" s="45" t="str">
        <x:f>IF(COUNTIFS('Ubicaciones'!$C$2:$C$10001,A138)=1,"Único","Duplicado")</x:f>
        <x:v>Único</x:v>
      </x:c>
      <x:c r="F138" s="45" t="str">
        <x:f>IF('Ubicaciones'!T138=1,"Ubicable",IF(OR('Ubicaciones'!E138="Abierta",'Ubicaciones'!E138="Próxima Apertura"),"Coordenadas o activa pendientes","Fuera por estatus"))</x:f>
        <x:v>Ubicable</x:v>
      </x:c>
    </x:row>
    <x:row r="139" ht="23" customHeight="1">
      <x:c r="A139" s="45" t="str">
        <x:f>'Ubicaciones'!C139</x:f>
        <x:v>38620</x:v>
      </x:c>
      <x:c r="B139" s="45" t="str">
        <x:f>'Ubicaciones'!A139</x:f>
        <x:v>Centro Sur</x:v>
      </x:c>
      <x:c r="C139" s="45" t="str">
        <x:f>'Ubicaciones'!B139</x:f>
        <x:v>Jaqueline Cortes Ayala</x:v>
      </x:c>
      <x:c r="D139" s="45" t="str">
        <x:f>IF(COUNTIFS('Catalogos'!$A$2:$A$41,B139,'Catalogos'!$B$2:$B$41,C139)&gt;0,"Correcta","Revisar Región DM")</x:f>
        <x:v>Correcta</x:v>
      </x:c>
      <x:c r="E139" s="45" t="str">
        <x:f>IF(COUNTIFS('Ubicaciones'!$C$2:$C$10001,A139)=1,"Único","Duplicado")</x:f>
        <x:v>Único</x:v>
      </x:c>
      <x:c r="F139" s="45" t="str">
        <x:f>IF('Ubicaciones'!T139=1,"Ubicable",IF(OR('Ubicaciones'!E139="Abierta",'Ubicaciones'!E139="Próxima Apertura"),"Coordenadas o activa pendientes","Fuera por estatus"))</x:f>
        <x:v>Ubicable</x:v>
      </x:c>
    </x:row>
    <x:row r="140" ht="23" customHeight="1">
      <x:c r="A140" s="45" t="str">
        <x:f>'Ubicaciones'!C140</x:f>
        <x:v>38663</x:v>
      </x:c>
      <x:c r="B140" s="45" t="str">
        <x:f>'Ubicaciones'!A140</x:f>
        <x:v>Centro Sur</x:v>
      </x:c>
      <x:c r="C140" s="45" t="str">
        <x:f>'Ubicaciones'!B140</x:f>
        <x:v>Jaqueline Cortes Ayala</x:v>
      </x:c>
      <x:c r="D140" s="45" t="str">
        <x:f>IF(COUNTIFS('Catalogos'!$A$2:$A$41,B140,'Catalogos'!$B$2:$B$41,C140)&gt;0,"Correcta","Revisar Región DM")</x:f>
        <x:v>Correcta</x:v>
      </x:c>
      <x:c r="E140" s="45" t="str">
        <x:f>IF(COUNTIFS('Ubicaciones'!$C$2:$C$10001,A140)=1,"Único","Duplicado")</x:f>
        <x:v>Único</x:v>
      </x:c>
      <x:c r="F140" s="45" t="str">
        <x:f>IF('Ubicaciones'!T140=1,"Ubicable",IF(OR('Ubicaciones'!E140="Abierta",'Ubicaciones'!E140="Próxima Apertura"),"Coordenadas o activa pendientes","Fuera por estatus"))</x:f>
        <x:v>Ubicable</x:v>
      </x:c>
    </x:row>
    <x:row r="141" ht="23" customHeight="1">
      <x:c r="A141" s="45" t="str">
        <x:f>'Ubicaciones'!C141</x:f>
        <x:v>43025</x:v>
      </x:c>
      <x:c r="B141" s="45" t="str">
        <x:f>'Ubicaciones'!A141</x:f>
        <x:v>Centro Sur</x:v>
      </x:c>
      <x:c r="C141" s="45" t="str">
        <x:f>'Ubicaciones'!B141</x:f>
        <x:v>Jaqueline Cortes Ayala</x:v>
      </x:c>
      <x:c r="D141" s="45" t="str">
        <x:f>IF(COUNTIFS('Catalogos'!$A$2:$A$41,B141,'Catalogos'!$B$2:$B$41,C141)&gt;0,"Correcta","Revisar Región DM")</x:f>
        <x:v>Correcta</x:v>
      </x:c>
      <x:c r="E141" s="45" t="str">
        <x:f>IF(COUNTIFS('Ubicaciones'!$C$2:$C$10001,A141)=1,"Único","Duplicado")</x:f>
        <x:v>Único</x:v>
      </x:c>
      <x:c r="F141" s="45" t="str">
        <x:f>IF('Ubicaciones'!T141=1,"Ubicable",IF(OR('Ubicaciones'!E141="Abierta",'Ubicaciones'!E141="Próxima Apertura"),"Coordenadas o activa pendientes","Fuera por estatus"))</x:f>
        <x:v>Ubicable</x:v>
      </x:c>
    </x:row>
    <x:row r="142" ht="23" customHeight="1">
      <x:c r="A142" s="45" t="str">
        <x:f>'Ubicaciones'!C142</x:f>
        <x:v>38502</x:v>
      </x:c>
      <x:c r="B142" s="45" t="str">
        <x:f>'Ubicaciones'!A142</x:f>
        <x:v>Centro Sur</x:v>
      </x:c>
      <x:c r="C142" s="45" t="str">
        <x:f>'Ubicaciones'!B142</x:f>
        <x:v>Jesus Antonio Elguera Flores</x:v>
      </x:c>
      <x:c r="D142" s="45" t="str">
        <x:f>IF(COUNTIFS('Catalogos'!$A$2:$A$41,B142,'Catalogos'!$B$2:$B$41,C142)&gt;0,"Correcta","Revisar Región DM")</x:f>
        <x:v>Correcta</x:v>
      </x:c>
      <x:c r="E142" s="45" t="str">
        <x:f>IF(COUNTIFS('Ubicaciones'!$C$2:$C$10001,A142)=1,"Único","Duplicado")</x:f>
        <x:v>Único</x:v>
      </x:c>
      <x:c r="F142" s="45" t="str">
        <x:f>IF('Ubicaciones'!T142=1,"Ubicable",IF(OR('Ubicaciones'!E142="Abierta",'Ubicaciones'!E142="Próxima Apertura"),"Coordenadas o activa pendientes","Fuera por estatus"))</x:f>
        <x:v>Ubicable</x:v>
      </x:c>
    </x:row>
    <x:row r="143" ht="23" customHeight="1">
      <x:c r="A143" s="45" t="str">
        <x:f>'Ubicaciones'!C143</x:f>
        <x:v>38594</x:v>
      </x:c>
      <x:c r="B143" s="45" t="str">
        <x:f>'Ubicaciones'!A143</x:f>
        <x:v>Centro Sur</x:v>
      </x:c>
      <x:c r="C143" s="45" t="str">
        <x:f>'Ubicaciones'!B143</x:f>
        <x:v>Jesus Antonio Elguera Flores</x:v>
      </x:c>
      <x:c r="D143" s="45" t="str">
        <x:f>IF(COUNTIFS('Catalogos'!$A$2:$A$41,B143,'Catalogos'!$B$2:$B$41,C143)&gt;0,"Correcta","Revisar Región DM")</x:f>
        <x:v>Correcta</x:v>
      </x:c>
      <x:c r="E143" s="45" t="str">
        <x:f>IF(COUNTIFS('Ubicaciones'!$C$2:$C$10001,A143)=1,"Único","Duplicado")</x:f>
        <x:v>Único</x:v>
      </x:c>
      <x:c r="F143" s="45" t="str">
        <x:f>IF('Ubicaciones'!T143=1,"Ubicable",IF(OR('Ubicaciones'!E143="Abierta",'Ubicaciones'!E143="Próxima Apertura"),"Coordenadas o activa pendientes","Fuera por estatus"))</x:f>
        <x:v>Ubicable</x:v>
      </x:c>
    </x:row>
    <x:row r="144" ht="23" customHeight="1">
      <x:c r="A144" s="45" t="str">
        <x:f>'Ubicaciones'!C144</x:f>
        <x:v>38657</x:v>
      </x:c>
      <x:c r="B144" s="45" t="str">
        <x:f>'Ubicaciones'!A144</x:f>
        <x:v>Centro Sur</x:v>
      </x:c>
      <x:c r="C144" s="45" t="str">
        <x:f>'Ubicaciones'!B144</x:f>
        <x:v>Jesus Antonio Elguera Flores</x:v>
      </x:c>
      <x:c r="D144" s="45" t="str">
        <x:f>IF(COUNTIFS('Catalogos'!$A$2:$A$41,B144,'Catalogos'!$B$2:$B$41,C144)&gt;0,"Correcta","Revisar Región DM")</x:f>
        <x:v>Correcta</x:v>
      </x:c>
      <x:c r="E144" s="45" t="str">
        <x:f>IF(COUNTIFS('Ubicaciones'!$C$2:$C$10001,A144)=1,"Único","Duplicado")</x:f>
        <x:v>Único</x:v>
      </x:c>
      <x:c r="F144" s="45" t="str">
        <x:f>IF('Ubicaciones'!T144=1,"Ubicable",IF(OR('Ubicaciones'!E144="Abierta",'Ubicaciones'!E144="Próxima Apertura"),"Coordenadas o activa pendientes","Fuera por estatus"))</x:f>
        <x:v>Ubicable</x:v>
      </x:c>
    </x:row>
    <x:row r="145" ht="23" customHeight="1">
      <x:c r="A145" s="45" t="str">
        <x:f>'Ubicaciones'!C145</x:f>
        <x:v>38659</x:v>
      </x:c>
      <x:c r="B145" s="45" t="str">
        <x:f>'Ubicaciones'!A145</x:f>
        <x:v>Centro Sur</x:v>
      </x:c>
      <x:c r="C145" s="45" t="str">
        <x:f>'Ubicaciones'!B145</x:f>
        <x:v>Jesus Antonio Elguera Flores</x:v>
      </x:c>
      <x:c r="D145" s="45" t="str">
        <x:f>IF(COUNTIFS('Catalogos'!$A$2:$A$41,B145,'Catalogos'!$B$2:$B$41,C145)&gt;0,"Correcta","Revisar Región DM")</x:f>
        <x:v>Correcta</x:v>
      </x:c>
      <x:c r="E145" s="45" t="str">
        <x:f>IF(COUNTIFS('Ubicaciones'!$C$2:$C$10001,A145)=1,"Único","Duplicado")</x:f>
        <x:v>Único</x:v>
      </x:c>
      <x:c r="F145" s="45" t="str">
        <x:f>IF('Ubicaciones'!T145=1,"Ubicable",IF(OR('Ubicaciones'!E145="Abierta",'Ubicaciones'!E145="Próxima Apertura"),"Coordenadas o activa pendientes","Fuera por estatus"))</x:f>
        <x:v>Ubicable</x:v>
      </x:c>
    </x:row>
    <x:row r="146" ht="23" customHeight="1">
      <x:c r="A146" s="45" t="str">
        <x:f>'Ubicaciones'!C146</x:f>
        <x:v>38800</x:v>
      </x:c>
      <x:c r="B146" s="45" t="str">
        <x:f>'Ubicaciones'!A146</x:f>
        <x:v>Centro Sur</x:v>
      </x:c>
      <x:c r="C146" s="45" t="str">
        <x:f>'Ubicaciones'!B146</x:f>
        <x:v>Jesus Antonio Elguera Flores</x:v>
      </x:c>
      <x:c r="D146" s="45" t="str">
        <x:f>IF(COUNTIFS('Catalogos'!$A$2:$A$41,B146,'Catalogos'!$B$2:$B$41,C146)&gt;0,"Correcta","Revisar Región DM")</x:f>
        <x:v>Correcta</x:v>
      </x:c>
      <x:c r="E146" s="45" t="str">
        <x:f>IF(COUNTIFS('Ubicaciones'!$C$2:$C$10001,A146)=1,"Único","Duplicado")</x:f>
        <x:v>Único</x:v>
      </x:c>
      <x:c r="F146" s="45" t="str">
        <x:f>IF('Ubicaciones'!T146=1,"Ubicable",IF(OR('Ubicaciones'!E146="Abierta",'Ubicaciones'!E146="Próxima Apertura"),"Coordenadas o activa pendientes","Fuera por estatus"))</x:f>
        <x:v>Ubicable</x:v>
      </x:c>
    </x:row>
    <x:row r="147" ht="23" customHeight="1">
      <x:c r="A147" s="45" t="str">
        <x:f>'Ubicaciones'!C147</x:f>
        <x:v>38801</x:v>
      </x:c>
      <x:c r="B147" s="45" t="str">
        <x:f>'Ubicaciones'!A147</x:f>
        <x:v>Centro Sur</x:v>
      </x:c>
      <x:c r="C147" s="45" t="str">
        <x:f>'Ubicaciones'!B147</x:f>
        <x:v>Jesus Antonio Elguera Flores</x:v>
      </x:c>
      <x:c r="D147" s="45" t="str">
        <x:f>IF(COUNTIFS('Catalogos'!$A$2:$A$41,B147,'Catalogos'!$B$2:$B$41,C147)&gt;0,"Correcta","Revisar Región DM")</x:f>
        <x:v>Correcta</x:v>
      </x:c>
      <x:c r="E147" s="45" t="str">
        <x:f>IF(COUNTIFS('Ubicaciones'!$C$2:$C$10001,A147)=1,"Único","Duplicado")</x:f>
        <x:v>Único</x:v>
      </x:c>
      <x:c r="F147" s="45" t="str">
        <x:f>IF('Ubicaciones'!T147=1,"Ubicable",IF(OR('Ubicaciones'!E147="Abierta",'Ubicaciones'!E147="Próxima Apertura"),"Coordenadas o activa pendientes","Fuera por estatus"))</x:f>
        <x:v>Ubicable</x:v>
      </x:c>
    </x:row>
    <x:row r="148" ht="23" customHeight="1">
      <x:c r="A148" s="45" t="str">
        <x:f>'Ubicaciones'!C148</x:f>
        <x:v>38855</x:v>
      </x:c>
      <x:c r="B148" s="45" t="str">
        <x:f>'Ubicaciones'!A148</x:f>
        <x:v>Centro Sur</x:v>
      </x:c>
      <x:c r="C148" s="45" t="str">
        <x:f>'Ubicaciones'!B148</x:f>
        <x:v>Jesus Antonio Elguera Flores</x:v>
      </x:c>
      <x:c r="D148" s="45" t="str">
        <x:f>IF(COUNTIFS('Catalogos'!$A$2:$A$41,B148,'Catalogos'!$B$2:$B$41,C148)&gt;0,"Correcta","Revisar Región DM")</x:f>
        <x:v>Correcta</x:v>
      </x:c>
      <x:c r="E148" s="45" t="str">
        <x:f>IF(COUNTIFS('Ubicaciones'!$C$2:$C$10001,A148)=1,"Único","Duplicado")</x:f>
        <x:v>Único</x:v>
      </x:c>
      <x:c r="F148" s="45" t="str">
        <x:f>IF('Ubicaciones'!T148=1,"Ubicable",IF(OR('Ubicaciones'!E148="Abierta",'Ubicaciones'!E148="Próxima Apertura"),"Coordenadas o activa pendientes","Fuera por estatus"))</x:f>
        <x:v>Ubicable</x:v>
      </x:c>
    </x:row>
    <x:row r="149" ht="23" customHeight="1">
      <x:c r="A149" s="45" t="str">
        <x:f>'Ubicaciones'!C149</x:f>
        <x:v>43026</x:v>
      </x:c>
      <x:c r="B149" s="45" t="str">
        <x:f>'Ubicaciones'!A149</x:f>
        <x:v>Centro Sur</x:v>
      </x:c>
      <x:c r="C149" s="45" t="str">
        <x:f>'Ubicaciones'!B149</x:f>
        <x:v>Jesus Antonio Elguera Flores</x:v>
      </x:c>
      <x:c r="D149" s="45" t="str">
        <x:f>IF(COUNTIFS('Catalogos'!$A$2:$A$41,B149,'Catalogos'!$B$2:$B$41,C149)&gt;0,"Correcta","Revisar Región DM")</x:f>
        <x:v>Correcta</x:v>
      </x:c>
      <x:c r="E149" s="45" t="str">
        <x:f>IF(COUNTIFS('Ubicaciones'!$C$2:$C$10001,A149)=1,"Único","Duplicado")</x:f>
        <x:v>Único</x:v>
      </x:c>
      <x:c r="F149" s="45" t="str">
        <x:f>IF('Ubicaciones'!T149=1,"Ubicable",IF(OR('Ubicaciones'!E149="Abierta",'Ubicaciones'!E149="Próxima Apertura"),"Coordenadas o activa pendientes","Fuera por estatus"))</x:f>
        <x:v>Ubicable</x:v>
      </x:c>
    </x:row>
    <x:row r="150" ht="23" customHeight="1">
      <x:c r="A150" s="45" t="str">
        <x:f>'Ubicaciones'!C150</x:f>
        <x:v>43163</x:v>
      </x:c>
      <x:c r="B150" s="45" t="str">
        <x:f>'Ubicaciones'!A150</x:f>
        <x:v>Centro Sur</x:v>
      </x:c>
      <x:c r="C150" s="45" t="str">
        <x:f>'Ubicaciones'!B150</x:f>
        <x:v>Jesus Antonio Elguera Flores</x:v>
      </x:c>
      <x:c r="D150" s="45" t="str">
        <x:f>IF(COUNTIFS('Catalogos'!$A$2:$A$41,B150,'Catalogos'!$B$2:$B$41,C150)&gt;0,"Correcta","Revisar Región DM")</x:f>
        <x:v>Correcta</x:v>
      </x:c>
      <x:c r="E150" s="45" t="str">
        <x:f>IF(COUNTIFS('Ubicaciones'!$C$2:$C$10001,A150)=1,"Único","Duplicado")</x:f>
        <x:v>Único</x:v>
      </x:c>
      <x:c r="F150" s="45" t="str">
        <x:f>IF('Ubicaciones'!T150=1,"Ubicable",IF(OR('Ubicaciones'!E150="Abierta",'Ubicaciones'!E150="Próxima Apertura"),"Coordenadas o activa pendientes","Fuera por estatus"))</x:f>
        <x:v>Ubicable</x:v>
      </x:c>
    </x:row>
    <x:row r="151" ht="23" customHeight="1">
      <x:c r="A151" s="45" t="str">
        <x:f>'Ubicaciones'!C151</x:f>
        <x:v>43169</x:v>
      </x:c>
      <x:c r="B151" s="45" t="str">
        <x:f>'Ubicaciones'!A151</x:f>
        <x:v>Centro Sur</x:v>
      </x:c>
      <x:c r="C151" s="45" t="str">
        <x:f>'Ubicaciones'!B151</x:f>
        <x:v>Jesus Antonio Elguera Flores</x:v>
      </x:c>
      <x:c r="D151" s="45" t="str">
        <x:f>IF(COUNTIFS('Catalogos'!$A$2:$A$41,B151,'Catalogos'!$B$2:$B$41,C151)&gt;0,"Correcta","Revisar Región DM")</x:f>
        <x:v>Correcta</x:v>
      </x:c>
      <x:c r="E151" s="45" t="str">
        <x:f>IF(COUNTIFS('Ubicaciones'!$C$2:$C$10001,A151)=1,"Único","Duplicado")</x:f>
        <x:v>Único</x:v>
      </x:c>
      <x:c r="F151" s="45" t="str">
        <x:f>IF('Ubicaciones'!T151=1,"Ubicable",IF(OR('Ubicaciones'!E151="Abierta",'Ubicaciones'!E151="Próxima Apertura"),"Coordenadas o activa pendientes","Fuera por estatus"))</x:f>
        <x:v>Ubicable</x:v>
      </x:c>
    </x:row>
    <x:row r="152" ht="23" customHeight="1">
      <x:c r="A152" s="45" t="str">
        <x:f>'Ubicaciones'!C152</x:f>
        <x:v>38134</x:v>
      </x:c>
      <x:c r="B152" s="45" t="str">
        <x:f>'Ubicaciones'!A152</x:f>
        <x:v>Centro Sur</x:v>
      </x:c>
      <x:c r="C152" s="45" t="str">
        <x:f>'Ubicaciones'!B152</x:f>
        <x:v>Luis Alberto Quevedo Rodriguez</x:v>
      </x:c>
      <x:c r="D152" s="45" t="str">
        <x:f>IF(COUNTIFS('Catalogos'!$A$2:$A$41,B152,'Catalogos'!$B$2:$B$41,C152)&gt;0,"Correcta","Revisar Región DM")</x:f>
        <x:v>Correcta</x:v>
      </x:c>
      <x:c r="E152" s="45" t="str">
        <x:f>IF(COUNTIFS('Ubicaciones'!$C$2:$C$10001,A152)=1,"Único","Duplicado")</x:f>
        <x:v>Único</x:v>
      </x:c>
      <x:c r="F152" s="45" t="str">
        <x:f>IF('Ubicaciones'!T152=1,"Ubicable",IF(OR('Ubicaciones'!E152="Abierta",'Ubicaciones'!E152="Próxima Apertura"),"Coordenadas o activa pendientes","Fuera por estatus"))</x:f>
        <x:v>Ubicable</x:v>
      </x:c>
    </x:row>
    <x:row r="153" ht="23" customHeight="1">
      <x:c r="A153" s="45" t="str">
        <x:f>'Ubicaciones'!C153</x:f>
        <x:v>38260</x:v>
      </x:c>
      <x:c r="B153" s="45" t="str">
        <x:f>'Ubicaciones'!A153</x:f>
        <x:v>Centro Sur</x:v>
      </x:c>
      <x:c r="C153" s="45" t="str">
        <x:f>'Ubicaciones'!B153</x:f>
        <x:v>Luis Alberto Quevedo Rodriguez</x:v>
      </x:c>
      <x:c r="D153" s="45" t="str">
        <x:f>IF(COUNTIFS('Catalogos'!$A$2:$A$41,B153,'Catalogos'!$B$2:$B$41,C153)&gt;0,"Correcta","Revisar Región DM")</x:f>
        <x:v>Correcta</x:v>
      </x:c>
      <x:c r="E153" s="45" t="str">
        <x:f>IF(COUNTIFS('Ubicaciones'!$C$2:$C$10001,A153)=1,"Único","Duplicado")</x:f>
        <x:v>Único</x:v>
      </x:c>
      <x:c r="F153" s="45" t="str">
        <x:f>IF('Ubicaciones'!T153=1,"Ubicable",IF(OR('Ubicaciones'!E153="Abierta",'Ubicaciones'!E153="Próxima Apertura"),"Coordenadas o activa pendientes","Fuera por estatus"))</x:f>
        <x:v>Ubicable</x:v>
      </x:c>
    </x:row>
    <x:row r="154" ht="23" customHeight="1">
      <x:c r="A154" s="45" t="str">
        <x:f>'Ubicaciones'!C154</x:f>
        <x:v>38340</x:v>
      </x:c>
      <x:c r="B154" s="45" t="str">
        <x:f>'Ubicaciones'!A154</x:f>
        <x:v>Centro Sur</x:v>
      </x:c>
      <x:c r="C154" s="45" t="str">
        <x:f>'Ubicaciones'!B154</x:f>
        <x:v>Luis Alberto Quevedo Rodriguez</x:v>
      </x:c>
      <x:c r="D154" s="45" t="str">
        <x:f>IF(COUNTIFS('Catalogos'!$A$2:$A$41,B154,'Catalogos'!$B$2:$B$41,C154)&gt;0,"Correcta","Revisar Región DM")</x:f>
        <x:v>Correcta</x:v>
      </x:c>
      <x:c r="E154" s="45" t="str">
        <x:f>IF(COUNTIFS('Ubicaciones'!$C$2:$C$10001,A154)=1,"Único","Duplicado")</x:f>
        <x:v>Único</x:v>
      </x:c>
      <x:c r="F154" s="45" t="str">
        <x:f>IF('Ubicaciones'!T154=1,"Ubicable",IF(OR('Ubicaciones'!E154="Abierta",'Ubicaciones'!E154="Próxima Apertura"),"Coordenadas o activa pendientes","Fuera por estatus"))</x:f>
        <x:v>Ubicable</x:v>
      </x:c>
    </x:row>
    <x:row r="155" ht="23" customHeight="1">
      <x:c r="A155" s="45" t="str">
        <x:f>'Ubicaciones'!C155</x:f>
        <x:v>38464</x:v>
      </x:c>
      <x:c r="B155" s="45" t="str">
        <x:f>'Ubicaciones'!A155</x:f>
        <x:v>Centro Sur</x:v>
      </x:c>
      <x:c r="C155" s="45" t="str">
        <x:f>'Ubicaciones'!B155</x:f>
        <x:v>Luis Alberto Quevedo Rodriguez</x:v>
      </x:c>
      <x:c r="D155" s="45" t="str">
        <x:f>IF(COUNTIFS('Catalogos'!$A$2:$A$41,B155,'Catalogos'!$B$2:$B$41,C155)&gt;0,"Correcta","Revisar Región DM")</x:f>
        <x:v>Correcta</x:v>
      </x:c>
      <x:c r="E155" s="45" t="str">
        <x:f>IF(COUNTIFS('Ubicaciones'!$C$2:$C$10001,A155)=1,"Único","Duplicado")</x:f>
        <x:v>Único</x:v>
      </x:c>
      <x:c r="F155" s="45" t="str">
        <x:f>IF('Ubicaciones'!T155=1,"Ubicable",IF(OR('Ubicaciones'!E155="Abierta",'Ubicaciones'!E155="Próxima Apertura"),"Coordenadas o activa pendientes","Fuera por estatus"))</x:f>
        <x:v>Ubicable</x:v>
      </x:c>
    </x:row>
    <x:row r="156" ht="23" customHeight="1">
      <x:c r="A156" s="45" t="str">
        <x:f>'Ubicaciones'!C156</x:f>
        <x:v>38482</x:v>
      </x:c>
      <x:c r="B156" s="45" t="str">
        <x:f>'Ubicaciones'!A156</x:f>
        <x:v>Centro Sur</x:v>
      </x:c>
      <x:c r="C156" s="45" t="str">
        <x:f>'Ubicaciones'!B156</x:f>
        <x:v>Luis Alberto Quevedo Rodriguez</x:v>
      </x:c>
      <x:c r="D156" s="45" t="str">
        <x:f>IF(COUNTIFS('Catalogos'!$A$2:$A$41,B156,'Catalogos'!$B$2:$B$41,C156)&gt;0,"Correcta","Revisar Región DM")</x:f>
        <x:v>Correcta</x:v>
      </x:c>
      <x:c r="E156" s="45" t="str">
        <x:f>IF(COUNTIFS('Ubicaciones'!$C$2:$C$10001,A156)=1,"Único","Duplicado")</x:f>
        <x:v>Único</x:v>
      </x:c>
      <x:c r="F156" s="45" t="str">
        <x:f>IF('Ubicaciones'!T156=1,"Ubicable",IF(OR('Ubicaciones'!E156="Abierta",'Ubicaciones'!E156="Próxima Apertura"),"Coordenadas o activa pendientes","Fuera por estatus"))</x:f>
        <x:v>Ubicable</x:v>
      </x:c>
    </x:row>
    <x:row r="157" ht="23" customHeight="1">
      <x:c r="A157" s="45" t="str">
        <x:f>'Ubicaciones'!C157</x:f>
        <x:v>38501</x:v>
      </x:c>
      <x:c r="B157" s="45" t="str">
        <x:f>'Ubicaciones'!A157</x:f>
        <x:v>Centro Sur</x:v>
      </x:c>
      <x:c r="C157" s="45" t="str">
        <x:f>'Ubicaciones'!B157</x:f>
        <x:v>Luis Alberto Quevedo Rodriguez</x:v>
      </x:c>
      <x:c r="D157" s="45" t="str">
        <x:f>IF(COUNTIFS('Catalogos'!$A$2:$A$41,B157,'Catalogos'!$B$2:$B$41,C157)&gt;0,"Correcta","Revisar Región DM")</x:f>
        <x:v>Correcta</x:v>
      </x:c>
      <x:c r="E157" s="45" t="str">
        <x:f>IF(COUNTIFS('Ubicaciones'!$C$2:$C$10001,A157)=1,"Único","Duplicado")</x:f>
        <x:v>Único</x:v>
      </x:c>
      <x:c r="F157" s="45" t="str">
        <x:f>IF('Ubicaciones'!T157=1,"Ubicable",IF(OR('Ubicaciones'!E157="Abierta",'Ubicaciones'!E157="Próxima Apertura"),"Coordenadas o activa pendientes","Fuera por estatus"))</x:f>
        <x:v>Ubicable</x:v>
      </x:c>
    </x:row>
    <x:row r="158" ht="23" customHeight="1">
      <x:c r="A158" s="45" t="str">
        <x:f>'Ubicaciones'!C158</x:f>
        <x:v>38513</x:v>
      </x:c>
      <x:c r="B158" s="45" t="str">
        <x:f>'Ubicaciones'!A158</x:f>
        <x:v>Centro Sur</x:v>
      </x:c>
      <x:c r="C158" s="45" t="str">
        <x:f>'Ubicaciones'!B158</x:f>
        <x:v>Luis Alberto Quevedo Rodriguez</x:v>
      </x:c>
      <x:c r="D158" s="45" t="str">
        <x:f>IF(COUNTIFS('Catalogos'!$A$2:$A$41,B158,'Catalogos'!$B$2:$B$41,C158)&gt;0,"Correcta","Revisar Región DM")</x:f>
        <x:v>Correcta</x:v>
      </x:c>
      <x:c r="E158" s="45" t="str">
        <x:f>IF(COUNTIFS('Ubicaciones'!$C$2:$C$10001,A158)=1,"Único","Duplicado")</x:f>
        <x:v>Único</x:v>
      </x:c>
      <x:c r="F158" s="45" t="str">
        <x:f>IF('Ubicaciones'!T158=1,"Ubicable",IF(OR('Ubicaciones'!E158="Abierta",'Ubicaciones'!E158="Próxima Apertura"),"Coordenadas o activa pendientes","Fuera por estatus"))</x:f>
        <x:v>Ubicable</x:v>
      </x:c>
    </x:row>
    <x:row r="159" ht="23" customHeight="1">
      <x:c r="A159" s="45" t="str">
        <x:f>'Ubicaciones'!C159</x:f>
        <x:v>38526</x:v>
      </x:c>
      <x:c r="B159" s="45" t="str">
        <x:f>'Ubicaciones'!A159</x:f>
        <x:v>Centro Sur</x:v>
      </x:c>
      <x:c r="C159" s="45" t="str">
        <x:f>'Ubicaciones'!B159</x:f>
        <x:v>Luis Alberto Quevedo Rodriguez</x:v>
      </x:c>
      <x:c r="D159" s="45" t="str">
        <x:f>IF(COUNTIFS('Catalogos'!$A$2:$A$41,B159,'Catalogos'!$B$2:$B$41,C159)&gt;0,"Correcta","Revisar Región DM")</x:f>
        <x:v>Correcta</x:v>
      </x:c>
      <x:c r="E159" s="45" t="str">
        <x:f>IF(COUNTIFS('Ubicaciones'!$C$2:$C$10001,A159)=1,"Único","Duplicado")</x:f>
        <x:v>Único</x:v>
      </x:c>
      <x:c r="F159" s="45" t="str">
        <x:f>IF('Ubicaciones'!T159=1,"Ubicable",IF(OR('Ubicaciones'!E159="Abierta",'Ubicaciones'!E159="Próxima Apertura"),"Coordenadas o activa pendientes","Fuera por estatus"))</x:f>
        <x:v>Ubicable</x:v>
      </x:c>
    </x:row>
    <x:row r="160" ht="23" customHeight="1">
      <x:c r="A160" s="45" t="str">
        <x:f>'Ubicaciones'!C160</x:f>
        <x:v>38569</x:v>
      </x:c>
      <x:c r="B160" s="45" t="str">
        <x:f>'Ubicaciones'!A160</x:f>
        <x:v>Centro Sur</x:v>
      </x:c>
      <x:c r="C160" s="45" t="str">
        <x:f>'Ubicaciones'!B160</x:f>
        <x:v>Luis Alberto Quevedo Rodriguez</x:v>
      </x:c>
      <x:c r="D160" s="45" t="str">
        <x:f>IF(COUNTIFS('Catalogos'!$A$2:$A$41,B160,'Catalogos'!$B$2:$B$41,C160)&gt;0,"Correcta","Revisar Región DM")</x:f>
        <x:v>Correcta</x:v>
      </x:c>
      <x:c r="E160" s="45" t="str">
        <x:f>IF(COUNTIFS('Ubicaciones'!$C$2:$C$10001,A160)=1,"Único","Duplicado")</x:f>
        <x:v>Único</x:v>
      </x:c>
      <x:c r="F160" s="45" t="str">
        <x:f>IF('Ubicaciones'!T160=1,"Ubicable",IF(OR('Ubicaciones'!E160="Abierta",'Ubicaciones'!E160="Próxima Apertura"),"Coordenadas o activa pendientes","Fuera por estatus"))</x:f>
        <x:v>Ubicable</x:v>
      </x:c>
    </x:row>
    <x:row r="161" ht="23" customHeight="1">
      <x:c r="A161" s="45" t="str">
        <x:f>'Ubicaciones'!C161</x:f>
        <x:v>38570</x:v>
      </x:c>
      <x:c r="B161" s="45" t="str">
        <x:f>'Ubicaciones'!A161</x:f>
        <x:v>Centro Sur</x:v>
      </x:c>
      <x:c r="C161" s="45" t="str">
        <x:f>'Ubicaciones'!B161</x:f>
        <x:v>Luis Alberto Quevedo Rodriguez</x:v>
      </x:c>
      <x:c r="D161" s="45" t="str">
        <x:f>IF(COUNTIFS('Catalogos'!$A$2:$A$41,B161,'Catalogos'!$B$2:$B$41,C161)&gt;0,"Correcta","Revisar Región DM")</x:f>
        <x:v>Correcta</x:v>
      </x:c>
      <x:c r="E161" s="45" t="str">
        <x:f>IF(COUNTIFS('Ubicaciones'!$C$2:$C$10001,A161)=1,"Único","Duplicado")</x:f>
        <x:v>Único</x:v>
      </x:c>
      <x:c r="F161" s="45" t="str">
        <x:f>IF('Ubicaciones'!T161=1,"Ubicable",IF(OR('Ubicaciones'!E161="Abierta",'Ubicaciones'!E161="Próxima Apertura"),"Coordenadas o activa pendientes","Fuera por estatus"))</x:f>
        <x:v>Ubicable</x:v>
      </x:c>
    </x:row>
    <x:row r="162" ht="23" customHeight="1">
      <x:c r="A162" s="45" t="str">
        <x:f>'Ubicaciones'!C162</x:f>
        <x:v>38579</x:v>
      </x:c>
      <x:c r="B162" s="45" t="str">
        <x:f>'Ubicaciones'!A162</x:f>
        <x:v>Centro Sur</x:v>
      </x:c>
      <x:c r="C162" s="45" t="str">
        <x:f>'Ubicaciones'!B162</x:f>
        <x:v>Luis Alberto Quevedo Rodriguez</x:v>
      </x:c>
      <x:c r="D162" s="45" t="str">
        <x:f>IF(COUNTIFS('Catalogos'!$A$2:$A$41,B162,'Catalogos'!$B$2:$B$41,C162)&gt;0,"Correcta","Revisar Región DM")</x:f>
        <x:v>Correcta</x:v>
      </x:c>
      <x:c r="E162" s="45" t="str">
        <x:f>IF(COUNTIFS('Ubicaciones'!$C$2:$C$10001,A162)=1,"Único","Duplicado")</x:f>
        <x:v>Único</x:v>
      </x:c>
      <x:c r="F162" s="45" t="str">
        <x:f>IF('Ubicaciones'!T162=1,"Ubicable",IF(OR('Ubicaciones'!E162="Abierta",'Ubicaciones'!E162="Próxima Apertura"),"Coordenadas o activa pendientes","Fuera por estatus"))</x:f>
        <x:v>Ubicable</x:v>
      </x:c>
    </x:row>
    <x:row r="163" ht="23" customHeight="1">
      <x:c r="A163" s="45" t="str">
        <x:f>'Ubicaciones'!C163</x:f>
        <x:v>38619</x:v>
      </x:c>
      <x:c r="B163" s="45" t="str">
        <x:f>'Ubicaciones'!A163</x:f>
        <x:v>Centro Sur</x:v>
      </x:c>
      <x:c r="C163" s="45" t="str">
        <x:f>'Ubicaciones'!B163</x:f>
        <x:v>Luis Alberto Quevedo Rodriguez</x:v>
      </x:c>
      <x:c r="D163" s="45" t="str">
        <x:f>IF(COUNTIFS('Catalogos'!$A$2:$A$41,B163,'Catalogos'!$B$2:$B$41,C163)&gt;0,"Correcta","Revisar Región DM")</x:f>
        <x:v>Correcta</x:v>
      </x:c>
      <x:c r="E163" s="45" t="str">
        <x:f>IF(COUNTIFS('Ubicaciones'!$C$2:$C$10001,A163)=1,"Único","Duplicado")</x:f>
        <x:v>Único</x:v>
      </x:c>
      <x:c r="F163" s="45" t="str">
        <x:f>IF('Ubicaciones'!T163=1,"Ubicable",IF(OR('Ubicaciones'!E163="Abierta",'Ubicaciones'!E163="Próxima Apertura"),"Coordenadas o activa pendientes","Fuera por estatus"))</x:f>
        <x:v>Ubicable</x:v>
      </x:c>
    </x:row>
    <x:row r="164" ht="23" customHeight="1">
      <x:c r="A164" s="45" t="str">
        <x:f>'Ubicaciones'!C164</x:f>
        <x:v>38888</x:v>
      </x:c>
      <x:c r="B164" s="45" t="str">
        <x:f>'Ubicaciones'!A164</x:f>
        <x:v>Centro Sur</x:v>
      </x:c>
      <x:c r="C164" s="45" t="str">
        <x:f>'Ubicaciones'!B164</x:f>
        <x:v>Luis Alberto Quevedo Rodriguez</x:v>
      </x:c>
      <x:c r="D164" s="45" t="str">
        <x:f>IF(COUNTIFS('Catalogos'!$A$2:$A$41,B164,'Catalogos'!$B$2:$B$41,C164)&gt;0,"Correcta","Revisar Región DM")</x:f>
        <x:v>Correcta</x:v>
      </x:c>
      <x:c r="E164" s="45" t="str">
        <x:f>IF(COUNTIFS('Ubicaciones'!$C$2:$C$10001,A164)=1,"Único","Duplicado")</x:f>
        <x:v>Único</x:v>
      </x:c>
      <x:c r="F164" s="45" t="str">
        <x:f>IF('Ubicaciones'!T164=1,"Ubicable",IF(OR('Ubicaciones'!E164="Abierta",'Ubicaciones'!E164="Próxima Apertura"),"Coordenadas o activa pendientes","Fuera por estatus"))</x:f>
        <x:v>Ubicable</x:v>
      </x:c>
    </x:row>
    <x:row r="165" ht="23" customHeight="1">
      <x:c r="A165" s="45" t="str">
        <x:f>'Ubicaciones'!C165</x:f>
        <x:v>38941</x:v>
      </x:c>
      <x:c r="B165" s="45" t="str">
        <x:f>'Ubicaciones'!A165</x:f>
        <x:v>Centro Sur</x:v>
      </x:c>
      <x:c r="C165" s="45" t="str">
        <x:f>'Ubicaciones'!B165</x:f>
        <x:v>Luis Alberto Quevedo Rodriguez</x:v>
      </x:c>
      <x:c r="D165" s="45" t="str">
        <x:f>IF(COUNTIFS('Catalogos'!$A$2:$A$41,B165,'Catalogos'!$B$2:$B$41,C165)&gt;0,"Correcta","Revisar Región DM")</x:f>
        <x:v>Correcta</x:v>
      </x:c>
      <x:c r="E165" s="45" t="str">
        <x:f>IF(COUNTIFS('Ubicaciones'!$C$2:$C$10001,A165)=1,"Único","Duplicado")</x:f>
        <x:v>Único</x:v>
      </x:c>
      <x:c r="F165" s="45" t="str">
        <x:f>IF('Ubicaciones'!T165=1,"Ubicable",IF(OR('Ubicaciones'!E165="Abierta",'Ubicaciones'!E165="Próxima Apertura"),"Coordenadas o activa pendientes","Fuera por estatus"))</x:f>
        <x:v>Ubicable</x:v>
      </x:c>
    </x:row>
    <x:row r="166" ht="23" customHeight="1">
      <x:c r="A166" s="45" t="str">
        <x:f>'Ubicaciones'!C166</x:f>
        <x:v>38351</x:v>
      </x:c>
      <x:c r="B166" s="45" t="str">
        <x:f>'Ubicaciones'!A166</x:f>
        <x:v>Centro Sur</x:v>
      </x:c>
      <x:c r="C166" s="45" t="str">
        <x:f>'Ubicaciones'!B166</x:f>
        <x:v>Moni Morales</x:v>
      </x:c>
      <x:c r="D166" s="45" t="str">
        <x:f>IF(COUNTIFS('Catalogos'!$A$2:$A$41,B166,'Catalogos'!$B$2:$B$41,C166)&gt;0,"Correcta","Revisar Región DM")</x:f>
        <x:v>Correcta</x:v>
      </x:c>
      <x:c r="E166" s="45" t="str">
        <x:f>IF(COUNTIFS('Ubicaciones'!$C$2:$C$10001,A166)=1,"Único","Duplicado")</x:f>
        <x:v>Único</x:v>
      </x:c>
      <x:c r="F166" s="45" t="str">
        <x:f>IF('Ubicaciones'!T166=1,"Ubicable",IF(OR('Ubicaciones'!E166="Abierta",'Ubicaciones'!E166="Próxima Apertura"),"Coordenadas o activa pendientes","Fuera por estatus"))</x:f>
        <x:v>Ubicable</x:v>
      </x:c>
    </x:row>
    <x:row r="167" ht="23" customHeight="1">
      <x:c r="A167" s="45" t="str">
        <x:f>'Ubicaciones'!C167</x:f>
        <x:v>38375</x:v>
      </x:c>
      <x:c r="B167" s="45" t="str">
        <x:f>'Ubicaciones'!A167</x:f>
        <x:v>Centro Sur</x:v>
      </x:c>
      <x:c r="C167" s="45" t="str">
        <x:f>'Ubicaciones'!B167</x:f>
        <x:v>Moni Morales</x:v>
      </x:c>
      <x:c r="D167" s="45" t="str">
        <x:f>IF(COUNTIFS('Catalogos'!$A$2:$A$41,B167,'Catalogos'!$B$2:$B$41,C167)&gt;0,"Correcta","Revisar Región DM")</x:f>
        <x:v>Correcta</x:v>
      </x:c>
      <x:c r="E167" s="45" t="str">
        <x:f>IF(COUNTIFS('Ubicaciones'!$C$2:$C$10001,A167)=1,"Único","Duplicado")</x:f>
        <x:v>Único</x:v>
      </x:c>
      <x:c r="F167" s="45" t="str">
        <x:f>IF('Ubicaciones'!T167=1,"Ubicable",IF(OR('Ubicaciones'!E167="Abierta",'Ubicaciones'!E167="Próxima Apertura"),"Coordenadas o activa pendientes","Fuera por estatus"))</x:f>
        <x:v>Ubicable</x:v>
      </x:c>
    </x:row>
    <x:row r="168" ht="23" customHeight="1">
      <x:c r="A168" s="45" t="str">
        <x:f>'Ubicaciones'!C168</x:f>
        <x:v>38429</x:v>
      </x:c>
      <x:c r="B168" s="45" t="str">
        <x:f>'Ubicaciones'!A168</x:f>
        <x:v>Centro Sur</x:v>
      </x:c>
      <x:c r="C168" s="45" t="str">
        <x:f>'Ubicaciones'!B168</x:f>
        <x:v>Moni Morales</x:v>
      </x:c>
      <x:c r="D168" s="45" t="str">
        <x:f>IF(COUNTIFS('Catalogos'!$A$2:$A$41,B168,'Catalogos'!$B$2:$B$41,C168)&gt;0,"Correcta","Revisar Región DM")</x:f>
        <x:v>Correcta</x:v>
      </x:c>
      <x:c r="E168" s="45" t="str">
        <x:f>IF(COUNTIFS('Ubicaciones'!$C$2:$C$10001,A168)=1,"Único","Duplicado")</x:f>
        <x:v>Único</x:v>
      </x:c>
      <x:c r="F168" s="45" t="str">
        <x:f>IF('Ubicaciones'!T168=1,"Ubicable",IF(OR('Ubicaciones'!E168="Abierta",'Ubicaciones'!E168="Próxima Apertura"),"Coordenadas o activa pendientes","Fuera por estatus"))</x:f>
        <x:v>Ubicable</x:v>
      </x:c>
    </x:row>
    <x:row r="169" ht="23" customHeight="1">
      <x:c r="A169" s="45" t="str">
        <x:f>'Ubicaciones'!C169</x:f>
        <x:v>38511</x:v>
      </x:c>
      <x:c r="B169" s="45" t="str">
        <x:f>'Ubicaciones'!A169</x:f>
        <x:v>Centro Sur</x:v>
      </x:c>
      <x:c r="C169" s="45" t="str">
        <x:f>'Ubicaciones'!B169</x:f>
        <x:v>Moni Morales</x:v>
      </x:c>
      <x:c r="D169" s="45" t="str">
        <x:f>IF(COUNTIFS('Catalogos'!$A$2:$A$41,B169,'Catalogos'!$B$2:$B$41,C169)&gt;0,"Correcta","Revisar Región DM")</x:f>
        <x:v>Correcta</x:v>
      </x:c>
      <x:c r="E169" s="45" t="str">
        <x:f>IF(COUNTIFS('Ubicaciones'!$C$2:$C$10001,A169)=1,"Único","Duplicado")</x:f>
        <x:v>Único</x:v>
      </x:c>
      <x:c r="F169" s="45" t="str">
        <x:f>IF('Ubicaciones'!T169=1,"Ubicable",IF(OR('Ubicaciones'!E169="Abierta",'Ubicaciones'!E169="Próxima Apertura"),"Coordenadas o activa pendientes","Fuera por estatus"))</x:f>
        <x:v>Ubicable</x:v>
      </x:c>
    </x:row>
    <x:row r="170" ht="23" customHeight="1">
      <x:c r="A170" s="45" t="str">
        <x:f>'Ubicaciones'!C170</x:f>
        <x:v>38567</x:v>
      </x:c>
      <x:c r="B170" s="45" t="str">
        <x:f>'Ubicaciones'!A170</x:f>
        <x:v>Centro Sur</x:v>
      </x:c>
      <x:c r="C170" s="45" t="str">
        <x:f>'Ubicaciones'!B170</x:f>
        <x:v>Moni Morales</x:v>
      </x:c>
      <x:c r="D170" s="45" t="str">
        <x:f>IF(COUNTIFS('Catalogos'!$A$2:$A$41,B170,'Catalogos'!$B$2:$B$41,C170)&gt;0,"Correcta","Revisar Región DM")</x:f>
        <x:v>Correcta</x:v>
      </x:c>
      <x:c r="E170" s="45" t="str">
        <x:f>IF(COUNTIFS('Ubicaciones'!$C$2:$C$10001,A170)=1,"Único","Duplicado")</x:f>
        <x:v>Único</x:v>
      </x:c>
      <x:c r="F170" s="45" t="str">
        <x:f>IF('Ubicaciones'!T170=1,"Ubicable",IF(OR('Ubicaciones'!E170="Abierta",'Ubicaciones'!E170="Próxima Apertura"),"Coordenadas o activa pendientes","Fuera por estatus"))</x:f>
        <x:v>Ubicable</x:v>
      </x:c>
    </x:row>
    <x:row r="171" ht="23" customHeight="1">
      <x:c r="A171" s="45" t="str">
        <x:f>'Ubicaciones'!C171</x:f>
        <x:v>38678</x:v>
      </x:c>
      <x:c r="B171" s="45" t="str">
        <x:f>'Ubicaciones'!A171</x:f>
        <x:v>Centro Sur</x:v>
      </x:c>
      <x:c r="C171" s="45" t="str">
        <x:f>'Ubicaciones'!B171</x:f>
        <x:v>Moni Morales</x:v>
      </x:c>
      <x:c r="D171" s="45" t="str">
        <x:f>IF(COUNTIFS('Catalogos'!$A$2:$A$41,B171,'Catalogos'!$B$2:$B$41,C171)&gt;0,"Correcta","Revisar Región DM")</x:f>
        <x:v>Correcta</x:v>
      </x:c>
      <x:c r="E171" s="45" t="str">
        <x:f>IF(COUNTIFS('Ubicaciones'!$C$2:$C$10001,A171)=1,"Único","Duplicado")</x:f>
        <x:v>Único</x:v>
      </x:c>
      <x:c r="F171" s="45" t="str">
        <x:f>IF('Ubicaciones'!T171=1,"Ubicable",IF(OR('Ubicaciones'!E171="Abierta",'Ubicaciones'!E171="Próxima Apertura"),"Coordenadas o activa pendientes","Fuera por estatus"))</x:f>
        <x:v>Ubicable</x:v>
      </x:c>
    </x:row>
    <x:row r="172" ht="23" customHeight="1">
      <x:c r="A172" s="45" t="str">
        <x:f>'Ubicaciones'!C172</x:f>
        <x:v>38684</x:v>
      </x:c>
      <x:c r="B172" s="45" t="str">
        <x:f>'Ubicaciones'!A172</x:f>
        <x:v>Centro Sur</x:v>
      </x:c>
      <x:c r="C172" s="45" t="str">
        <x:f>'Ubicaciones'!B172</x:f>
        <x:v>Moni Morales</x:v>
      </x:c>
      <x:c r="D172" s="45" t="str">
        <x:f>IF(COUNTIFS('Catalogos'!$A$2:$A$41,B172,'Catalogos'!$B$2:$B$41,C172)&gt;0,"Correcta","Revisar Región DM")</x:f>
        <x:v>Correcta</x:v>
      </x:c>
      <x:c r="E172" s="45" t="str">
        <x:f>IF(COUNTIFS('Ubicaciones'!$C$2:$C$10001,A172)=1,"Único","Duplicado")</x:f>
        <x:v>Único</x:v>
      </x:c>
      <x:c r="F172" s="45" t="str">
        <x:f>IF('Ubicaciones'!T172=1,"Ubicable",IF(OR('Ubicaciones'!E172="Abierta",'Ubicaciones'!E172="Próxima Apertura"),"Coordenadas o activa pendientes","Fuera por estatus"))</x:f>
        <x:v>Ubicable</x:v>
      </x:c>
    </x:row>
    <x:row r="173" ht="23" customHeight="1">
      <x:c r="A173" s="45" t="str">
        <x:f>'Ubicaciones'!C173</x:f>
        <x:v>38716</x:v>
      </x:c>
      <x:c r="B173" s="45" t="str">
        <x:f>'Ubicaciones'!A173</x:f>
        <x:v>Centro Sur</x:v>
      </x:c>
      <x:c r="C173" s="45" t="str">
        <x:f>'Ubicaciones'!B173</x:f>
        <x:v>Moni Morales</x:v>
      </x:c>
      <x:c r="D173" s="45" t="str">
        <x:f>IF(COUNTIFS('Catalogos'!$A$2:$A$41,B173,'Catalogos'!$B$2:$B$41,C173)&gt;0,"Correcta","Revisar Región DM")</x:f>
        <x:v>Correcta</x:v>
      </x:c>
      <x:c r="E173" s="45" t="str">
        <x:f>IF(COUNTIFS('Ubicaciones'!$C$2:$C$10001,A173)=1,"Único","Duplicado")</x:f>
        <x:v>Único</x:v>
      </x:c>
      <x:c r="F173" s="45" t="str">
        <x:f>IF('Ubicaciones'!T173=1,"Ubicable",IF(OR('Ubicaciones'!E173="Abierta",'Ubicaciones'!E173="Próxima Apertura"),"Coordenadas o activa pendientes","Fuera por estatus"))</x:f>
        <x:v>Ubicable</x:v>
      </x:c>
    </x:row>
    <x:row r="174" ht="23" customHeight="1">
      <x:c r="A174" s="45" t="str">
        <x:f>'Ubicaciones'!C174</x:f>
        <x:v>38718</x:v>
      </x:c>
      <x:c r="B174" s="45" t="str">
        <x:f>'Ubicaciones'!A174</x:f>
        <x:v>Centro Sur</x:v>
      </x:c>
      <x:c r="C174" s="45" t="str">
        <x:f>'Ubicaciones'!B174</x:f>
        <x:v>Moni Morales</x:v>
      </x:c>
      <x:c r="D174" s="45" t="str">
        <x:f>IF(COUNTIFS('Catalogos'!$A$2:$A$41,B174,'Catalogos'!$B$2:$B$41,C174)&gt;0,"Correcta","Revisar Región DM")</x:f>
        <x:v>Correcta</x:v>
      </x:c>
      <x:c r="E174" s="45" t="str">
        <x:f>IF(COUNTIFS('Ubicaciones'!$C$2:$C$10001,A174)=1,"Único","Duplicado")</x:f>
        <x:v>Único</x:v>
      </x:c>
      <x:c r="F174" s="45" t="str">
        <x:f>IF('Ubicaciones'!T174=1,"Ubicable",IF(OR('Ubicaciones'!E174="Abierta",'Ubicaciones'!E174="Próxima Apertura"),"Coordenadas o activa pendientes","Fuera por estatus"))</x:f>
        <x:v>Ubicable</x:v>
      </x:c>
    </x:row>
    <x:row r="175" ht="23" customHeight="1">
      <x:c r="A175" s="45" t="str">
        <x:f>'Ubicaciones'!C175</x:f>
        <x:v>38996</x:v>
      </x:c>
      <x:c r="B175" s="45" t="str">
        <x:f>'Ubicaciones'!A175</x:f>
        <x:v>Centro Sur</x:v>
      </x:c>
      <x:c r="C175" s="45" t="str">
        <x:f>'Ubicaciones'!B175</x:f>
        <x:v>Moni Morales</x:v>
      </x:c>
      <x:c r="D175" s="45" t="str">
        <x:f>IF(COUNTIFS('Catalogos'!$A$2:$A$41,B175,'Catalogos'!$B$2:$B$41,C175)&gt;0,"Correcta","Revisar Región DM")</x:f>
        <x:v>Correcta</x:v>
      </x:c>
      <x:c r="E175" s="45" t="str">
        <x:f>IF(COUNTIFS('Ubicaciones'!$C$2:$C$10001,A175)=1,"Único","Duplicado")</x:f>
        <x:v>Único</x:v>
      </x:c>
      <x:c r="F175" s="45" t="str">
        <x:f>IF('Ubicaciones'!T175=1,"Ubicable",IF(OR('Ubicaciones'!E175="Abierta",'Ubicaciones'!E175="Próxima Apertura"),"Coordenadas o activa pendientes","Fuera por estatus"))</x:f>
        <x:v>Ubicable</x:v>
      </x:c>
    </x:row>
    <x:row r="176" ht="23" customHeight="1">
      <x:c r="A176" s="45" t="str">
        <x:f>'Ubicaciones'!C176</x:f>
        <x:v>43034</x:v>
      </x:c>
      <x:c r="B176" s="45" t="str">
        <x:f>'Ubicaciones'!A176</x:f>
        <x:v>Centro Sur</x:v>
      </x:c>
      <x:c r="C176" s="45" t="str">
        <x:f>'Ubicaciones'!B176</x:f>
        <x:v>Moni Morales</x:v>
      </x:c>
      <x:c r="D176" s="45" t="str">
        <x:f>IF(COUNTIFS('Catalogos'!$A$2:$A$41,B176,'Catalogos'!$B$2:$B$41,C176)&gt;0,"Correcta","Revisar Región DM")</x:f>
        <x:v>Correcta</x:v>
      </x:c>
      <x:c r="E176" s="45" t="str">
        <x:f>IF(COUNTIFS('Ubicaciones'!$C$2:$C$10001,A176)=1,"Único","Duplicado")</x:f>
        <x:v>Único</x:v>
      </x:c>
      <x:c r="F176" s="45" t="str">
        <x:f>IF('Ubicaciones'!T176=1,"Ubicable",IF(OR('Ubicaciones'!E176="Abierta",'Ubicaciones'!E176="Próxima Apertura"),"Coordenadas o activa pendientes","Fuera por estatus"))</x:f>
        <x:v>Ubicable</x:v>
      </x:c>
    </x:row>
    <x:row r="177" ht="23" customHeight="1">
      <x:c r="A177" s="45" t="str">
        <x:f>'Ubicaciones'!C177</x:f>
        <x:v>43164</x:v>
      </x:c>
      <x:c r="B177" s="45" t="str">
        <x:f>'Ubicaciones'!A177</x:f>
        <x:v>Centro Sur</x:v>
      </x:c>
      <x:c r="C177" s="45" t="str">
        <x:f>'Ubicaciones'!B177</x:f>
        <x:v>Moni Morales</x:v>
      </x:c>
      <x:c r="D177" s="45" t="str">
        <x:f>IF(COUNTIFS('Catalogos'!$A$2:$A$41,B177,'Catalogos'!$B$2:$B$41,C177)&gt;0,"Correcta","Revisar Región DM")</x:f>
        <x:v>Correcta</x:v>
      </x:c>
      <x:c r="E177" s="45" t="str">
        <x:f>IF(COUNTIFS('Ubicaciones'!$C$2:$C$10001,A177)=1,"Único","Duplicado")</x:f>
        <x:v>Único</x:v>
      </x:c>
      <x:c r="F177" s="45" t="str">
        <x:f>IF('Ubicaciones'!T177=1,"Ubicable",IF(OR('Ubicaciones'!E177="Abierta",'Ubicaciones'!E177="Próxima Apertura"),"Coordenadas o activa pendientes","Fuera por estatus"))</x:f>
        <x:v>Ubicable</x:v>
      </x:c>
    </x:row>
    <x:row r="178" ht="23" customHeight="1">
      <x:c r="A178" s="45" t="str">
        <x:f>'Ubicaciones'!C178</x:f>
        <x:v>43183</x:v>
      </x:c>
      <x:c r="B178" s="45" t="str">
        <x:f>'Ubicaciones'!A178</x:f>
        <x:v>Centro Sur</x:v>
      </x:c>
      <x:c r="C178" s="45" t="str">
        <x:f>'Ubicaciones'!B178</x:f>
        <x:v>Moni Morales</x:v>
      </x:c>
      <x:c r="D178" s="45" t="str">
        <x:f>IF(COUNTIFS('Catalogos'!$A$2:$A$41,B178,'Catalogos'!$B$2:$B$41,C178)&gt;0,"Correcta","Revisar Región DM")</x:f>
        <x:v>Correcta</x:v>
      </x:c>
      <x:c r="E178" s="45" t="str">
        <x:f>IF(COUNTIFS('Ubicaciones'!$C$2:$C$10001,A178)=1,"Único","Duplicado")</x:f>
        <x:v>Único</x:v>
      </x:c>
      <x:c r="F178" s="45" t="str">
        <x:f>IF('Ubicaciones'!T178=1,"Ubicable",IF(OR('Ubicaciones'!E178="Abierta",'Ubicaciones'!E178="Próxima Apertura"),"Coordenadas o activa pendientes","Fuera por estatus"))</x:f>
        <x:v>Ubicable</x:v>
      </x:c>
    </x:row>
    <x:row r="179" ht="23" customHeight="1">
      <x:c r="A179" s="45" t="str">
        <x:f>'Ubicaciones'!C179</x:f>
        <x:v>38140</x:v>
      </x:c>
      <x:c r="B179" s="45" t="str">
        <x:f>'Ubicaciones'!A179</x:f>
        <x:v>Centro Sur</x:v>
      </x:c>
      <x:c r="C179" s="45" t="str">
        <x:f>'Ubicaciones'!B179</x:f>
        <x:v>Sin asignación</x:v>
      </x:c>
      <x:c r="D179" s="45" t="str">
        <x:f>IF(COUNTIFS('Catalogos'!$A$2:$A$41,B179,'Catalogos'!$B$2:$B$41,C179)&gt;0,"Correcta","Revisar Región DM")</x:f>
        <x:v>Correcta</x:v>
      </x:c>
      <x:c r="E179" s="45" t="str">
        <x:f>IF(COUNTIFS('Ubicaciones'!$C$2:$C$10001,A179)=1,"Único","Duplicado")</x:f>
        <x:v>Único</x:v>
      </x:c>
      <x:c r="F179" s="45" t="str">
        <x:f>IF('Ubicaciones'!T179=1,"Ubicable",IF(OR('Ubicaciones'!E179="Abierta",'Ubicaciones'!E179="Próxima Apertura"),"Coordenadas o activa pendientes","Fuera por estatus"))</x:f>
        <x:v>Fuera por estatus</x:v>
      </x:c>
    </x:row>
    <x:row r="180" ht="23" customHeight="1">
      <x:c r="A180" s="45" t="str">
        <x:f>'Ubicaciones'!C180</x:f>
        <x:v>38856</x:v>
      </x:c>
      <x:c r="B180" s="45" t="str">
        <x:f>'Ubicaciones'!A180</x:f>
        <x:v>Centro Sur</x:v>
      </x:c>
      <x:c r="C180" s="45" t="str">
        <x:f>'Ubicaciones'!B180</x:f>
        <x:v>Sin asignación</x:v>
      </x:c>
      <x:c r="D180" s="45" t="str">
        <x:f>IF(COUNTIFS('Catalogos'!$A$2:$A$41,B180,'Catalogos'!$B$2:$B$41,C180)&gt;0,"Correcta","Revisar Región DM")</x:f>
        <x:v>Correcta</x:v>
      </x:c>
      <x:c r="E180" s="45" t="str">
        <x:f>IF(COUNTIFS('Ubicaciones'!$C$2:$C$10001,A180)=1,"Único","Duplicado")</x:f>
        <x:v>Único</x:v>
      </x:c>
      <x:c r="F180" s="45" t="str">
        <x:f>IF('Ubicaciones'!T180=1,"Ubicable",IF(OR('Ubicaciones'!E180="Abierta",'Ubicaciones'!E180="Próxima Apertura"),"Coordenadas o activa pendientes","Fuera por estatus"))</x:f>
        <x:v>Fuera por estatus</x:v>
      </x:c>
    </x:row>
    <x:row r="181" ht="23" customHeight="1">
      <x:c r="A181" s="45" t="str">
        <x:f>'Ubicaciones'!C181</x:f>
        <x:v>38103</x:v>
      </x:c>
      <x:c r="B181" s="45" t="str">
        <x:f>'Ubicaciones'!A181</x:f>
        <x:v>Centro Poniente</x:v>
      </x:c>
      <x:c r="C181" s="45" t="str">
        <x:f>'Ubicaciones'!B181</x:f>
        <x:v>Adriana Alejandra Tanus Buhler</x:v>
      </x:c>
      <x:c r="D181" s="45" t="str">
        <x:f>IF(COUNTIFS('Catalogos'!$A$2:$A$41,B181,'Catalogos'!$B$2:$B$41,C181)&gt;0,"Correcta","Revisar Región DM")</x:f>
        <x:v>Correcta</x:v>
      </x:c>
      <x:c r="E181" s="45" t="str">
        <x:f>IF(COUNTIFS('Ubicaciones'!$C$2:$C$10001,A181)=1,"Único","Duplicado")</x:f>
        <x:v>Único</x:v>
      </x:c>
      <x:c r="F181" s="45" t="str">
        <x:f>IF('Ubicaciones'!T181=1,"Ubicable",IF(OR('Ubicaciones'!E181="Abierta",'Ubicaciones'!E181="Próxima Apertura"),"Coordenadas o activa pendientes","Fuera por estatus"))</x:f>
        <x:v>Ubicable</x:v>
      </x:c>
    </x:row>
    <x:row r="182" ht="23" customHeight="1">
      <x:c r="A182" s="45" t="str">
        <x:f>'Ubicaciones'!C182</x:f>
        <x:v>38104</x:v>
      </x:c>
      <x:c r="B182" s="45" t="str">
        <x:f>'Ubicaciones'!A182</x:f>
        <x:v>Centro Poniente</x:v>
      </x:c>
      <x:c r="C182" s="45" t="str">
        <x:f>'Ubicaciones'!B182</x:f>
        <x:v>Adriana Alejandra Tanus Buhler</x:v>
      </x:c>
      <x:c r="D182" s="45" t="str">
        <x:f>IF(COUNTIFS('Catalogos'!$A$2:$A$41,B182,'Catalogos'!$B$2:$B$41,C182)&gt;0,"Correcta","Revisar Región DM")</x:f>
        <x:v>Correcta</x:v>
      </x:c>
      <x:c r="E182" s="45" t="str">
        <x:f>IF(COUNTIFS('Ubicaciones'!$C$2:$C$10001,A182)=1,"Único","Duplicado")</x:f>
        <x:v>Único</x:v>
      </x:c>
      <x:c r="F182" s="45" t="str">
        <x:f>IF('Ubicaciones'!T182=1,"Ubicable",IF(OR('Ubicaciones'!E182="Abierta",'Ubicaciones'!E182="Próxima Apertura"),"Coordenadas o activa pendientes","Fuera por estatus"))</x:f>
        <x:v>Fuera por estatus</x:v>
      </x:c>
    </x:row>
    <x:row r="183" ht="23" customHeight="1">
      <x:c r="A183" s="45" t="str">
        <x:f>'Ubicaciones'!C183</x:f>
        <x:v>38106</x:v>
      </x:c>
      <x:c r="B183" s="45" t="str">
        <x:f>'Ubicaciones'!A183</x:f>
        <x:v>Centro Poniente</x:v>
      </x:c>
      <x:c r="C183" s="45" t="str">
        <x:f>'Ubicaciones'!B183</x:f>
        <x:v>Adriana Alejandra Tanus Buhler</x:v>
      </x:c>
      <x:c r="D183" s="45" t="str">
        <x:f>IF(COUNTIFS('Catalogos'!$A$2:$A$41,B183,'Catalogos'!$B$2:$B$41,C183)&gt;0,"Correcta","Revisar Región DM")</x:f>
        <x:v>Correcta</x:v>
      </x:c>
      <x:c r="E183" s="45" t="str">
        <x:f>IF(COUNTIFS('Ubicaciones'!$C$2:$C$10001,A183)=1,"Único","Duplicado")</x:f>
        <x:v>Único</x:v>
      </x:c>
      <x:c r="F183" s="45" t="str">
        <x:f>IF('Ubicaciones'!T183=1,"Ubicable",IF(OR('Ubicaciones'!E183="Abierta",'Ubicaciones'!E183="Próxima Apertura"),"Coordenadas o activa pendientes","Fuera por estatus"))</x:f>
        <x:v>Ubicable</x:v>
      </x:c>
    </x:row>
    <x:row r="184" ht="23" customHeight="1">
      <x:c r="A184" s="45" t="str">
        <x:f>'Ubicaciones'!C184</x:f>
        <x:v>38112</x:v>
      </x:c>
      <x:c r="B184" s="45" t="str">
        <x:f>'Ubicaciones'!A184</x:f>
        <x:v>Centro Poniente</x:v>
      </x:c>
      <x:c r="C184" s="45" t="str">
        <x:f>'Ubicaciones'!B184</x:f>
        <x:v>Adriana Alejandra Tanus Buhler</x:v>
      </x:c>
      <x:c r="D184" s="45" t="str">
        <x:f>IF(COUNTIFS('Catalogos'!$A$2:$A$41,B184,'Catalogos'!$B$2:$B$41,C184)&gt;0,"Correcta","Revisar Región DM")</x:f>
        <x:v>Correcta</x:v>
      </x:c>
      <x:c r="E184" s="45" t="str">
        <x:f>IF(COUNTIFS('Ubicaciones'!$C$2:$C$10001,A184)=1,"Único","Duplicado")</x:f>
        <x:v>Único</x:v>
      </x:c>
      <x:c r="F184" s="45" t="str">
        <x:f>IF('Ubicaciones'!T184=1,"Ubicable",IF(OR('Ubicaciones'!E184="Abierta",'Ubicaciones'!E184="Próxima Apertura"),"Coordenadas o activa pendientes","Fuera por estatus"))</x:f>
        <x:v>Ubicable</x:v>
      </x:c>
    </x:row>
    <x:row r="185" ht="23" customHeight="1">
      <x:c r="A185" s="45" t="str">
        <x:f>'Ubicaciones'!C185</x:f>
        <x:v>38188</x:v>
      </x:c>
      <x:c r="B185" s="45" t="str">
        <x:f>'Ubicaciones'!A185</x:f>
        <x:v>Centro Poniente</x:v>
      </x:c>
      <x:c r="C185" s="45" t="str">
        <x:f>'Ubicaciones'!B185</x:f>
        <x:v>Adriana Alejandra Tanus Buhler</x:v>
      </x:c>
      <x:c r="D185" s="45" t="str">
        <x:f>IF(COUNTIFS('Catalogos'!$A$2:$A$41,B185,'Catalogos'!$B$2:$B$41,C185)&gt;0,"Correcta","Revisar Región DM")</x:f>
        <x:v>Correcta</x:v>
      </x:c>
      <x:c r="E185" s="45" t="str">
        <x:f>IF(COUNTIFS('Ubicaciones'!$C$2:$C$10001,A185)=1,"Único","Duplicado")</x:f>
        <x:v>Único</x:v>
      </x:c>
      <x:c r="F185" s="45" t="str">
        <x:f>IF('Ubicaciones'!T185=1,"Ubicable",IF(OR('Ubicaciones'!E185="Abierta",'Ubicaciones'!E185="Próxima Apertura"),"Coordenadas o activa pendientes","Fuera por estatus"))</x:f>
        <x:v>Ubicable</x:v>
      </x:c>
    </x:row>
    <x:row r="186" ht="23" customHeight="1">
      <x:c r="A186" s="45" t="str">
        <x:f>'Ubicaciones'!C186</x:f>
        <x:v>38227</x:v>
      </x:c>
      <x:c r="B186" s="45" t="str">
        <x:f>'Ubicaciones'!A186</x:f>
        <x:v>Centro Poniente</x:v>
      </x:c>
      <x:c r="C186" s="45" t="str">
        <x:f>'Ubicaciones'!B186</x:f>
        <x:v>Adriana Alejandra Tanus Buhler</x:v>
      </x:c>
      <x:c r="D186" s="45" t="str">
        <x:f>IF(COUNTIFS('Catalogos'!$A$2:$A$41,B186,'Catalogos'!$B$2:$B$41,C186)&gt;0,"Correcta","Revisar Región DM")</x:f>
        <x:v>Correcta</x:v>
      </x:c>
      <x:c r="E186" s="45" t="str">
        <x:f>IF(COUNTIFS('Ubicaciones'!$C$2:$C$10001,A186)=1,"Único","Duplicado")</x:f>
        <x:v>Único</x:v>
      </x:c>
      <x:c r="F186" s="45" t="str">
        <x:f>IF('Ubicaciones'!T186=1,"Ubicable",IF(OR('Ubicaciones'!E186="Abierta",'Ubicaciones'!E186="Próxima Apertura"),"Coordenadas o activa pendientes","Fuera por estatus"))</x:f>
        <x:v>Ubicable</x:v>
      </x:c>
    </x:row>
    <x:row r="187" ht="23" customHeight="1">
      <x:c r="A187" s="45" t="str">
        <x:f>'Ubicaciones'!C187</x:f>
        <x:v>38617</x:v>
      </x:c>
      <x:c r="B187" s="45" t="str">
        <x:f>'Ubicaciones'!A187</x:f>
        <x:v>Centro Poniente</x:v>
      </x:c>
      <x:c r="C187" s="45" t="str">
        <x:f>'Ubicaciones'!B187</x:f>
        <x:v>Adriana Alejandra Tanus Buhler</x:v>
      </x:c>
      <x:c r="D187" s="45" t="str">
        <x:f>IF(COUNTIFS('Catalogos'!$A$2:$A$41,B187,'Catalogos'!$B$2:$B$41,C187)&gt;0,"Correcta","Revisar Región DM")</x:f>
        <x:v>Correcta</x:v>
      </x:c>
      <x:c r="E187" s="45" t="str">
        <x:f>IF(COUNTIFS('Ubicaciones'!$C$2:$C$10001,A187)=1,"Único","Duplicado")</x:f>
        <x:v>Único</x:v>
      </x:c>
      <x:c r="F187" s="45" t="str">
        <x:f>IF('Ubicaciones'!T187=1,"Ubicable",IF(OR('Ubicaciones'!E187="Abierta",'Ubicaciones'!E187="Próxima Apertura"),"Coordenadas o activa pendientes","Fuera por estatus"))</x:f>
        <x:v>Ubicable</x:v>
      </x:c>
    </x:row>
    <x:row r="188" ht="23" customHeight="1">
      <x:c r="A188" s="45" t="str">
        <x:f>'Ubicaciones'!C188</x:f>
        <x:v>38646</x:v>
      </x:c>
      <x:c r="B188" s="45" t="str">
        <x:f>'Ubicaciones'!A188</x:f>
        <x:v>Centro Poniente</x:v>
      </x:c>
      <x:c r="C188" s="45" t="str">
        <x:f>'Ubicaciones'!B188</x:f>
        <x:v>Adriana Alejandra Tanus Buhler</x:v>
      </x:c>
      <x:c r="D188" s="45" t="str">
        <x:f>IF(COUNTIFS('Catalogos'!$A$2:$A$41,B188,'Catalogos'!$B$2:$B$41,C188)&gt;0,"Correcta","Revisar Región DM")</x:f>
        <x:v>Correcta</x:v>
      </x:c>
      <x:c r="E188" s="45" t="str">
        <x:f>IF(COUNTIFS('Ubicaciones'!$C$2:$C$10001,A188)=1,"Único","Duplicado")</x:f>
        <x:v>Único</x:v>
      </x:c>
      <x:c r="F188" s="45" t="str">
        <x:f>IF('Ubicaciones'!T188=1,"Ubicable",IF(OR('Ubicaciones'!E188="Abierta",'Ubicaciones'!E188="Próxima Apertura"),"Coordenadas o activa pendientes","Fuera por estatus"))</x:f>
        <x:v>Ubicable</x:v>
      </x:c>
    </x:row>
    <x:row r="189" ht="23" customHeight="1">
      <x:c r="A189" s="45" t="str">
        <x:f>'Ubicaciones'!C189</x:f>
        <x:v>38692</x:v>
      </x:c>
      <x:c r="B189" s="45" t="str">
        <x:f>'Ubicaciones'!A189</x:f>
        <x:v>Centro Poniente</x:v>
      </x:c>
      <x:c r="C189" s="45" t="str">
        <x:f>'Ubicaciones'!B189</x:f>
        <x:v>Adriana Alejandra Tanus Buhler</x:v>
      </x:c>
      <x:c r="D189" s="45" t="str">
        <x:f>IF(COUNTIFS('Catalogos'!$A$2:$A$41,B189,'Catalogos'!$B$2:$B$41,C189)&gt;0,"Correcta","Revisar Región DM")</x:f>
        <x:v>Correcta</x:v>
      </x:c>
      <x:c r="E189" s="45" t="str">
        <x:f>IF(COUNTIFS('Ubicaciones'!$C$2:$C$10001,A189)=1,"Único","Duplicado")</x:f>
        <x:v>Único</x:v>
      </x:c>
      <x:c r="F189" s="45" t="str">
        <x:f>IF('Ubicaciones'!T189=1,"Ubicable",IF(OR('Ubicaciones'!E189="Abierta",'Ubicaciones'!E189="Próxima Apertura"),"Coordenadas o activa pendientes","Fuera por estatus"))</x:f>
        <x:v>Ubicable</x:v>
      </x:c>
    </x:row>
    <x:row r="190" ht="23" customHeight="1">
      <x:c r="A190" s="45" t="str">
        <x:f>'Ubicaciones'!C190</x:f>
        <x:v>38730</x:v>
      </x:c>
      <x:c r="B190" s="45" t="str">
        <x:f>'Ubicaciones'!A190</x:f>
        <x:v>Centro Poniente</x:v>
      </x:c>
      <x:c r="C190" s="45" t="str">
        <x:f>'Ubicaciones'!B190</x:f>
        <x:v>Adriana Alejandra Tanus Buhler</x:v>
      </x:c>
      <x:c r="D190" s="45" t="str">
        <x:f>IF(COUNTIFS('Catalogos'!$A$2:$A$41,B190,'Catalogos'!$B$2:$B$41,C190)&gt;0,"Correcta","Revisar Región DM")</x:f>
        <x:v>Correcta</x:v>
      </x:c>
      <x:c r="E190" s="45" t="str">
        <x:f>IF(COUNTIFS('Ubicaciones'!$C$2:$C$10001,A190)=1,"Único","Duplicado")</x:f>
        <x:v>Único</x:v>
      </x:c>
      <x:c r="F190" s="45" t="str">
        <x:f>IF('Ubicaciones'!T190=1,"Ubicable",IF(OR('Ubicaciones'!E190="Abierta",'Ubicaciones'!E190="Próxima Apertura"),"Coordenadas o activa pendientes","Fuera por estatus"))</x:f>
        <x:v>Ubicable</x:v>
      </x:c>
    </x:row>
    <x:row r="191" ht="23" customHeight="1">
      <x:c r="A191" s="45" t="str">
        <x:f>'Ubicaciones'!C191</x:f>
        <x:v>38746</x:v>
      </x:c>
      <x:c r="B191" s="45" t="str">
        <x:f>'Ubicaciones'!A191</x:f>
        <x:v>Centro Poniente</x:v>
      </x:c>
      <x:c r="C191" s="45" t="str">
        <x:f>'Ubicaciones'!B191</x:f>
        <x:v>Adriana Alejandra Tanus Buhler</x:v>
      </x:c>
      <x:c r="D191" s="45" t="str">
        <x:f>IF(COUNTIFS('Catalogos'!$A$2:$A$41,B191,'Catalogos'!$B$2:$B$41,C191)&gt;0,"Correcta","Revisar Región DM")</x:f>
        <x:v>Correcta</x:v>
      </x:c>
      <x:c r="E191" s="45" t="str">
        <x:f>IF(COUNTIFS('Ubicaciones'!$C$2:$C$10001,A191)=1,"Único","Duplicado")</x:f>
        <x:v>Único</x:v>
      </x:c>
      <x:c r="F191" s="45" t="str">
        <x:f>IF('Ubicaciones'!T191=1,"Ubicable",IF(OR('Ubicaciones'!E191="Abierta",'Ubicaciones'!E191="Próxima Apertura"),"Coordenadas o activa pendientes","Fuera por estatus"))</x:f>
        <x:v>Ubicable</x:v>
      </x:c>
    </x:row>
    <x:row r="192" ht="23" customHeight="1">
      <x:c r="A192" s="45" t="str">
        <x:f>'Ubicaciones'!C192</x:f>
        <x:v>38954</x:v>
      </x:c>
      <x:c r="B192" s="45" t="str">
        <x:f>'Ubicaciones'!A192</x:f>
        <x:v>Centro Poniente</x:v>
      </x:c>
      <x:c r="C192" s="45" t="str">
        <x:f>'Ubicaciones'!B192</x:f>
        <x:v>Adriana Alejandra Tanus Buhler</x:v>
      </x:c>
      <x:c r="D192" s="45" t="str">
        <x:f>IF(COUNTIFS('Catalogos'!$A$2:$A$41,B192,'Catalogos'!$B$2:$B$41,C192)&gt;0,"Correcta","Revisar Región DM")</x:f>
        <x:v>Correcta</x:v>
      </x:c>
      <x:c r="E192" s="45" t="str">
        <x:f>IF(COUNTIFS('Ubicaciones'!$C$2:$C$10001,A192)=1,"Único","Duplicado")</x:f>
        <x:v>Único</x:v>
      </x:c>
      <x:c r="F192" s="45" t="str">
        <x:f>IF('Ubicaciones'!T192=1,"Ubicable",IF(OR('Ubicaciones'!E192="Abierta",'Ubicaciones'!E192="Próxima Apertura"),"Coordenadas o activa pendientes","Fuera por estatus"))</x:f>
        <x:v>Ubicable</x:v>
      </x:c>
    </x:row>
    <x:row r="193" ht="23" customHeight="1">
      <x:c r="A193" s="45" t="str">
        <x:f>'Ubicaciones'!C193</x:f>
        <x:v>43142</x:v>
      </x:c>
      <x:c r="B193" s="45" t="str">
        <x:f>'Ubicaciones'!A193</x:f>
        <x:v>Centro Poniente</x:v>
      </x:c>
      <x:c r="C193" s="45" t="str">
        <x:f>'Ubicaciones'!B193</x:f>
        <x:v>Adriana Alejandra Tanus Buhler</x:v>
      </x:c>
      <x:c r="D193" s="45" t="str">
        <x:f>IF(COUNTIFS('Catalogos'!$A$2:$A$41,B193,'Catalogos'!$B$2:$B$41,C193)&gt;0,"Correcta","Revisar Región DM")</x:f>
        <x:v>Correcta</x:v>
      </x:c>
      <x:c r="E193" s="45" t="str">
        <x:f>IF(COUNTIFS('Ubicaciones'!$C$2:$C$10001,A193)=1,"Único","Duplicado")</x:f>
        <x:v>Único</x:v>
      </x:c>
      <x:c r="F193" s="45" t="str">
        <x:f>IF('Ubicaciones'!T193=1,"Ubicable",IF(OR('Ubicaciones'!E193="Abierta",'Ubicaciones'!E193="Próxima Apertura"),"Coordenadas o activa pendientes","Fuera por estatus"))</x:f>
        <x:v>Ubicable</x:v>
      </x:c>
    </x:row>
    <x:row r="194" ht="23" customHeight="1">
      <x:c r="A194" s="45" t="str">
        <x:f>'Ubicaciones'!C194</x:f>
        <x:v>38233</x:v>
      </x:c>
      <x:c r="B194" s="45" t="str">
        <x:f>'Ubicaciones'!A194</x:f>
        <x:v>Centro Poniente</x:v>
      </x:c>
      <x:c r="C194" s="45" t="str">
        <x:f>'Ubicaciones'!B194</x:f>
        <x:v>Andrea Nava Guzman</x:v>
      </x:c>
      <x:c r="D194" s="45" t="str">
        <x:f>IF(COUNTIFS('Catalogos'!$A$2:$A$41,B194,'Catalogos'!$B$2:$B$41,C194)&gt;0,"Correcta","Revisar Región DM")</x:f>
        <x:v>Correcta</x:v>
      </x:c>
      <x:c r="E194" s="45" t="str">
        <x:f>IF(COUNTIFS('Ubicaciones'!$C$2:$C$10001,A194)=1,"Único","Duplicado")</x:f>
        <x:v>Único</x:v>
      </x:c>
      <x:c r="F194" s="45" t="str">
        <x:f>IF('Ubicaciones'!T194=1,"Ubicable",IF(OR('Ubicaciones'!E194="Abierta",'Ubicaciones'!E194="Próxima Apertura"),"Coordenadas o activa pendientes","Fuera por estatus"))</x:f>
        <x:v>Ubicable</x:v>
      </x:c>
    </x:row>
    <x:row r="195" ht="23" customHeight="1">
      <x:c r="A195" s="45" t="str">
        <x:f>'Ubicaciones'!C195</x:f>
        <x:v>38578</x:v>
      </x:c>
      <x:c r="B195" s="45" t="str">
        <x:f>'Ubicaciones'!A195</x:f>
        <x:v>Centro Poniente</x:v>
      </x:c>
      <x:c r="C195" s="45" t="str">
        <x:f>'Ubicaciones'!B195</x:f>
        <x:v>Andrea Nava Guzman</x:v>
      </x:c>
      <x:c r="D195" s="45" t="str">
        <x:f>IF(COUNTIFS('Catalogos'!$A$2:$A$41,B195,'Catalogos'!$B$2:$B$41,C195)&gt;0,"Correcta","Revisar Región DM")</x:f>
        <x:v>Correcta</x:v>
      </x:c>
      <x:c r="E195" s="45" t="str">
        <x:f>IF(COUNTIFS('Ubicaciones'!$C$2:$C$10001,A195)=1,"Único","Duplicado")</x:f>
        <x:v>Único</x:v>
      </x:c>
      <x:c r="F195" s="45" t="str">
        <x:f>IF('Ubicaciones'!T195=1,"Ubicable",IF(OR('Ubicaciones'!E195="Abierta",'Ubicaciones'!E195="Próxima Apertura"),"Coordenadas o activa pendientes","Fuera por estatus"))</x:f>
        <x:v>Ubicable</x:v>
      </x:c>
    </x:row>
    <x:row r="196" ht="23" customHeight="1">
      <x:c r="A196" s="45" t="str">
        <x:f>'Ubicaciones'!C196</x:f>
        <x:v>38769</x:v>
      </x:c>
      <x:c r="B196" s="45" t="str">
        <x:f>'Ubicaciones'!A196</x:f>
        <x:v>Centro Poniente</x:v>
      </x:c>
      <x:c r="C196" s="45" t="str">
        <x:f>'Ubicaciones'!B196</x:f>
        <x:v>Andrea Nava Guzman</x:v>
      </x:c>
      <x:c r="D196" s="45" t="str">
        <x:f>IF(COUNTIFS('Catalogos'!$A$2:$A$41,B196,'Catalogos'!$B$2:$B$41,C196)&gt;0,"Correcta","Revisar Región DM")</x:f>
        <x:v>Correcta</x:v>
      </x:c>
      <x:c r="E196" s="45" t="str">
        <x:f>IF(COUNTIFS('Ubicaciones'!$C$2:$C$10001,A196)=1,"Único","Duplicado")</x:f>
        <x:v>Único</x:v>
      </x:c>
      <x:c r="F196" s="45" t="str">
        <x:f>IF('Ubicaciones'!T196=1,"Ubicable",IF(OR('Ubicaciones'!E196="Abierta",'Ubicaciones'!E196="Próxima Apertura"),"Coordenadas o activa pendientes","Fuera por estatus"))</x:f>
        <x:v>Ubicable</x:v>
      </x:c>
    </x:row>
    <x:row r="197" ht="23" customHeight="1">
      <x:c r="A197" s="45" t="str">
        <x:f>'Ubicaciones'!C197</x:f>
        <x:v>38829</x:v>
      </x:c>
      <x:c r="B197" s="45" t="str">
        <x:f>'Ubicaciones'!A197</x:f>
        <x:v>Centro Poniente</x:v>
      </x:c>
      <x:c r="C197" s="45" t="str">
        <x:f>'Ubicaciones'!B197</x:f>
        <x:v>Andrea Nava Guzman</x:v>
      </x:c>
      <x:c r="D197" s="45" t="str">
        <x:f>IF(COUNTIFS('Catalogos'!$A$2:$A$41,B197,'Catalogos'!$B$2:$B$41,C197)&gt;0,"Correcta","Revisar Región DM")</x:f>
        <x:v>Correcta</x:v>
      </x:c>
      <x:c r="E197" s="45" t="str">
        <x:f>IF(COUNTIFS('Ubicaciones'!$C$2:$C$10001,A197)=1,"Único","Duplicado")</x:f>
        <x:v>Único</x:v>
      </x:c>
      <x:c r="F197" s="45" t="str">
        <x:f>IF('Ubicaciones'!T197=1,"Ubicable",IF(OR('Ubicaciones'!E197="Abierta",'Ubicaciones'!E197="Próxima Apertura"),"Coordenadas o activa pendientes","Fuera por estatus"))</x:f>
        <x:v>Ubicable</x:v>
      </x:c>
    </x:row>
    <x:row r="198" ht="23" customHeight="1">
      <x:c r="A198" s="45" t="str">
        <x:f>'Ubicaciones'!C198</x:f>
        <x:v>38847</x:v>
      </x:c>
      <x:c r="B198" s="45" t="str">
        <x:f>'Ubicaciones'!A198</x:f>
        <x:v>Centro Poniente</x:v>
      </x:c>
      <x:c r="C198" s="45" t="str">
        <x:f>'Ubicaciones'!B198</x:f>
        <x:v>Andrea Nava Guzman</x:v>
      </x:c>
      <x:c r="D198" s="45" t="str">
        <x:f>IF(COUNTIFS('Catalogos'!$A$2:$A$41,B198,'Catalogos'!$B$2:$B$41,C198)&gt;0,"Correcta","Revisar Región DM")</x:f>
        <x:v>Correcta</x:v>
      </x:c>
      <x:c r="E198" s="45" t="str">
        <x:f>IF(COUNTIFS('Ubicaciones'!$C$2:$C$10001,A198)=1,"Único","Duplicado")</x:f>
        <x:v>Único</x:v>
      </x:c>
      <x:c r="F198" s="45" t="str">
        <x:f>IF('Ubicaciones'!T198=1,"Ubicable",IF(OR('Ubicaciones'!E198="Abierta",'Ubicaciones'!E198="Próxima Apertura"),"Coordenadas o activa pendientes","Fuera por estatus"))</x:f>
        <x:v>Ubicable</x:v>
      </x:c>
    </x:row>
    <x:row r="199" ht="23" customHeight="1">
      <x:c r="A199" s="45" t="str">
        <x:f>'Ubicaciones'!C199</x:f>
        <x:v>43011</x:v>
      </x:c>
      <x:c r="B199" s="45" t="str">
        <x:f>'Ubicaciones'!A199</x:f>
        <x:v>Centro Poniente</x:v>
      </x:c>
      <x:c r="C199" s="45" t="str">
        <x:f>'Ubicaciones'!B199</x:f>
        <x:v>Andrea Nava Guzman</x:v>
      </x:c>
      <x:c r="D199" s="45" t="str">
        <x:f>IF(COUNTIFS('Catalogos'!$A$2:$A$41,B199,'Catalogos'!$B$2:$B$41,C199)&gt;0,"Correcta","Revisar Región DM")</x:f>
        <x:v>Correcta</x:v>
      </x:c>
      <x:c r="E199" s="45" t="str">
        <x:f>IF(COUNTIFS('Ubicaciones'!$C$2:$C$10001,A199)=1,"Único","Duplicado")</x:f>
        <x:v>Único</x:v>
      </x:c>
      <x:c r="F199" s="45" t="str">
        <x:f>IF('Ubicaciones'!T199=1,"Ubicable",IF(OR('Ubicaciones'!E199="Abierta",'Ubicaciones'!E199="Próxima Apertura"),"Coordenadas o activa pendientes","Fuera por estatus"))</x:f>
        <x:v>Ubicable</x:v>
      </x:c>
    </x:row>
    <x:row r="200" ht="23" customHeight="1">
      <x:c r="A200" s="45" t="str">
        <x:f>'Ubicaciones'!C200</x:f>
        <x:v>43058</x:v>
      </x:c>
      <x:c r="B200" s="45" t="str">
        <x:f>'Ubicaciones'!A200</x:f>
        <x:v>Centro Poniente</x:v>
      </x:c>
      <x:c r="C200" s="45" t="str">
        <x:f>'Ubicaciones'!B200</x:f>
        <x:v>Andrea Nava Guzman</x:v>
      </x:c>
      <x:c r="D200" s="45" t="str">
        <x:f>IF(COUNTIFS('Catalogos'!$A$2:$A$41,B200,'Catalogos'!$B$2:$B$41,C200)&gt;0,"Correcta","Revisar Región DM")</x:f>
        <x:v>Correcta</x:v>
      </x:c>
      <x:c r="E200" s="45" t="str">
        <x:f>IF(COUNTIFS('Ubicaciones'!$C$2:$C$10001,A200)=1,"Único","Duplicado")</x:f>
        <x:v>Único</x:v>
      </x:c>
      <x:c r="F200" s="45" t="str">
        <x:f>IF('Ubicaciones'!T200=1,"Ubicable",IF(OR('Ubicaciones'!E200="Abierta",'Ubicaciones'!E200="Próxima Apertura"),"Coordenadas o activa pendientes","Fuera por estatus"))</x:f>
        <x:v>Ubicable</x:v>
      </x:c>
    </x:row>
    <x:row r="201" ht="23" customHeight="1">
      <x:c r="A201" s="45" t="str">
        <x:f>'Ubicaciones'!C201</x:f>
        <x:v>43147</x:v>
      </x:c>
      <x:c r="B201" s="45" t="str">
        <x:f>'Ubicaciones'!A201</x:f>
        <x:v>Centro Poniente</x:v>
      </x:c>
      <x:c r="C201" s="45" t="str">
        <x:f>'Ubicaciones'!B201</x:f>
        <x:v>Andrea Nava Guzman</x:v>
      </x:c>
      <x:c r="D201" s="45" t="str">
        <x:f>IF(COUNTIFS('Catalogos'!$A$2:$A$41,B201,'Catalogos'!$B$2:$B$41,C201)&gt;0,"Correcta","Revisar Región DM")</x:f>
        <x:v>Correcta</x:v>
      </x:c>
      <x:c r="E201" s="45" t="str">
        <x:f>IF(COUNTIFS('Ubicaciones'!$C$2:$C$10001,A201)=1,"Único","Duplicado")</x:f>
        <x:v>Único</x:v>
      </x:c>
      <x:c r="F201" s="45" t="str">
        <x:f>IF('Ubicaciones'!T201=1,"Ubicable",IF(OR('Ubicaciones'!E201="Abierta",'Ubicaciones'!E201="Próxima Apertura"),"Coordenadas o activa pendientes","Fuera por estatus"))</x:f>
        <x:v>Ubicable</x:v>
      </x:c>
    </x:row>
    <x:row r="202" ht="23" customHeight="1">
      <x:c r="A202" s="45" t="str">
        <x:f>'Ubicaciones'!C202</x:f>
        <x:v>38126</x:v>
      </x:c>
      <x:c r="B202" s="45" t="str">
        <x:f>'Ubicaciones'!A202</x:f>
        <x:v>Centro Poniente</x:v>
      </x:c>
      <x:c r="C202" s="45" t="str">
        <x:f>'Ubicaciones'!B202</x:f>
        <x:v>Areli Anahi Lazcano Lezama</x:v>
      </x:c>
      <x:c r="D202" s="45" t="str">
        <x:f>IF(COUNTIFS('Catalogos'!$A$2:$A$41,B202,'Catalogos'!$B$2:$B$41,C202)&gt;0,"Correcta","Revisar Región DM")</x:f>
        <x:v>Correcta</x:v>
      </x:c>
      <x:c r="E202" s="45" t="str">
        <x:f>IF(COUNTIFS('Ubicaciones'!$C$2:$C$10001,A202)=1,"Único","Duplicado")</x:f>
        <x:v>Único</x:v>
      </x:c>
      <x:c r="F202" s="45" t="str">
        <x:f>IF('Ubicaciones'!T202=1,"Ubicable",IF(OR('Ubicaciones'!E202="Abierta",'Ubicaciones'!E202="Próxima Apertura"),"Coordenadas o activa pendientes","Fuera por estatus"))</x:f>
        <x:v>Ubicable</x:v>
      </x:c>
    </x:row>
    <x:row r="203" ht="23" customHeight="1">
      <x:c r="A203" s="45" t="str">
        <x:f>'Ubicaciones'!C203</x:f>
        <x:v>38179</x:v>
      </x:c>
      <x:c r="B203" s="45" t="str">
        <x:f>'Ubicaciones'!A203</x:f>
        <x:v>Centro Poniente</x:v>
      </x:c>
      <x:c r="C203" s="45" t="str">
        <x:f>'Ubicaciones'!B203</x:f>
        <x:v>Areli Anahi Lazcano Lezama</x:v>
      </x:c>
      <x:c r="D203" s="45" t="str">
        <x:f>IF(COUNTIFS('Catalogos'!$A$2:$A$41,B203,'Catalogos'!$B$2:$B$41,C203)&gt;0,"Correcta","Revisar Región DM")</x:f>
        <x:v>Correcta</x:v>
      </x:c>
      <x:c r="E203" s="45" t="str">
        <x:f>IF(COUNTIFS('Ubicaciones'!$C$2:$C$10001,A203)=1,"Único","Duplicado")</x:f>
        <x:v>Único</x:v>
      </x:c>
      <x:c r="F203" s="45" t="str">
        <x:f>IF('Ubicaciones'!T203=1,"Ubicable",IF(OR('Ubicaciones'!E203="Abierta",'Ubicaciones'!E203="Próxima Apertura"),"Coordenadas o activa pendientes","Fuera por estatus"))</x:f>
        <x:v>Ubicable</x:v>
      </x:c>
    </x:row>
    <x:row r="204" ht="23" customHeight="1">
      <x:c r="A204" s="45" t="str">
        <x:f>'Ubicaciones'!C204</x:f>
        <x:v>38185</x:v>
      </x:c>
      <x:c r="B204" s="45" t="str">
        <x:f>'Ubicaciones'!A204</x:f>
        <x:v>Centro Poniente</x:v>
      </x:c>
      <x:c r="C204" s="45" t="str">
        <x:f>'Ubicaciones'!B204</x:f>
        <x:v>Areli Anahi Lazcano Lezama</x:v>
      </x:c>
      <x:c r="D204" s="45" t="str">
        <x:f>IF(COUNTIFS('Catalogos'!$A$2:$A$41,B204,'Catalogos'!$B$2:$B$41,C204)&gt;0,"Correcta","Revisar Región DM")</x:f>
        <x:v>Correcta</x:v>
      </x:c>
      <x:c r="E204" s="45" t="str">
        <x:f>IF(COUNTIFS('Ubicaciones'!$C$2:$C$10001,A204)=1,"Único","Duplicado")</x:f>
        <x:v>Único</x:v>
      </x:c>
      <x:c r="F204" s="45" t="str">
        <x:f>IF('Ubicaciones'!T204=1,"Ubicable",IF(OR('Ubicaciones'!E204="Abierta",'Ubicaciones'!E204="Próxima Apertura"),"Coordenadas o activa pendientes","Fuera por estatus"))</x:f>
        <x:v>Ubicable</x:v>
      </x:c>
    </x:row>
    <x:row r="205" ht="23" customHeight="1">
      <x:c r="A205" s="45" t="str">
        <x:f>'Ubicaciones'!C205</x:f>
        <x:v>38292</x:v>
      </x:c>
      <x:c r="B205" s="45" t="str">
        <x:f>'Ubicaciones'!A205</x:f>
        <x:v>Centro Poniente</x:v>
      </x:c>
      <x:c r="C205" s="45" t="str">
        <x:f>'Ubicaciones'!B205</x:f>
        <x:v>Areli Anahi Lazcano Lezama</x:v>
      </x:c>
      <x:c r="D205" s="45" t="str">
        <x:f>IF(COUNTIFS('Catalogos'!$A$2:$A$41,B205,'Catalogos'!$B$2:$B$41,C205)&gt;0,"Correcta","Revisar Región DM")</x:f>
        <x:v>Correcta</x:v>
      </x:c>
      <x:c r="E205" s="45" t="str">
        <x:f>IF(COUNTIFS('Ubicaciones'!$C$2:$C$10001,A205)=1,"Único","Duplicado")</x:f>
        <x:v>Único</x:v>
      </x:c>
      <x:c r="F205" s="45" t="str">
        <x:f>IF('Ubicaciones'!T205=1,"Ubicable",IF(OR('Ubicaciones'!E205="Abierta",'Ubicaciones'!E205="Próxima Apertura"),"Coordenadas o activa pendientes","Fuera por estatus"))</x:f>
        <x:v>Ubicable</x:v>
      </x:c>
    </x:row>
    <x:row r="206" ht="23" customHeight="1">
      <x:c r="A206" s="45" t="str">
        <x:f>'Ubicaciones'!C206</x:f>
        <x:v>38439</x:v>
      </x:c>
      <x:c r="B206" s="45" t="str">
        <x:f>'Ubicaciones'!A206</x:f>
        <x:v>Centro Poniente</x:v>
      </x:c>
      <x:c r="C206" s="45" t="str">
        <x:f>'Ubicaciones'!B206</x:f>
        <x:v>Areli Anahi Lazcano Lezama</x:v>
      </x:c>
      <x:c r="D206" s="45" t="str">
        <x:f>IF(COUNTIFS('Catalogos'!$A$2:$A$41,B206,'Catalogos'!$B$2:$B$41,C206)&gt;0,"Correcta","Revisar Región DM")</x:f>
        <x:v>Correcta</x:v>
      </x:c>
      <x:c r="E206" s="45" t="str">
        <x:f>IF(COUNTIFS('Ubicaciones'!$C$2:$C$10001,A206)=1,"Único","Duplicado")</x:f>
        <x:v>Único</x:v>
      </x:c>
      <x:c r="F206" s="45" t="str">
        <x:f>IF('Ubicaciones'!T206=1,"Ubicable",IF(OR('Ubicaciones'!E206="Abierta",'Ubicaciones'!E206="Próxima Apertura"),"Coordenadas o activa pendientes","Fuera por estatus"))</x:f>
        <x:v>Ubicable</x:v>
      </x:c>
    </x:row>
    <x:row r="207" ht="23" customHeight="1">
      <x:c r="A207" s="45" t="str">
        <x:f>'Ubicaciones'!C207</x:f>
        <x:v>38452</x:v>
      </x:c>
      <x:c r="B207" s="45" t="str">
        <x:f>'Ubicaciones'!A207</x:f>
        <x:v>Centro Poniente</x:v>
      </x:c>
      <x:c r="C207" s="45" t="str">
        <x:f>'Ubicaciones'!B207</x:f>
        <x:v>Areli Anahi Lazcano Lezama</x:v>
      </x:c>
      <x:c r="D207" s="45" t="str">
        <x:f>IF(COUNTIFS('Catalogos'!$A$2:$A$41,B207,'Catalogos'!$B$2:$B$41,C207)&gt;0,"Correcta","Revisar Región DM")</x:f>
        <x:v>Correcta</x:v>
      </x:c>
      <x:c r="E207" s="45" t="str">
        <x:f>IF(COUNTIFS('Ubicaciones'!$C$2:$C$10001,A207)=1,"Único","Duplicado")</x:f>
        <x:v>Único</x:v>
      </x:c>
      <x:c r="F207" s="45" t="str">
        <x:f>IF('Ubicaciones'!T207=1,"Ubicable",IF(OR('Ubicaciones'!E207="Abierta",'Ubicaciones'!E207="Próxima Apertura"),"Coordenadas o activa pendientes","Fuera por estatus"))</x:f>
        <x:v>Ubicable</x:v>
      </x:c>
    </x:row>
    <x:row r="208" ht="23" customHeight="1">
      <x:c r="A208" s="45" t="str">
        <x:f>'Ubicaciones'!C208</x:f>
        <x:v>38466</x:v>
      </x:c>
      <x:c r="B208" s="45" t="str">
        <x:f>'Ubicaciones'!A208</x:f>
        <x:v>Centro Poniente</x:v>
      </x:c>
      <x:c r="C208" s="45" t="str">
        <x:f>'Ubicaciones'!B208</x:f>
        <x:v>Areli Anahi Lazcano Lezama</x:v>
      </x:c>
      <x:c r="D208" s="45" t="str">
        <x:f>IF(COUNTIFS('Catalogos'!$A$2:$A$41,B208,'Catalogos'!$B$2:$B$41,C208)&gt;0,"Correcta","Revisar Región DM")</x:f>
        <x:v>Correcta</x:v>
      </x:c>
      <x:c r="E208" s="45" t="str">
        <x:f>IF(COUNTIFS('Ubicaciones'!$C$2:$C$10001,A208)=1,"Único","Duplicado")</x:f>
        <x:v>Único</x:v>
      </x:c>
      <x:c r="F208" s="45" t="str">
        <x:f>IF('Ubicaciones'!T208=1,"Ubicable",IF(OR('Ubicaciones'!E208="Abierta",'Ubicaciones'!E208="Próxima Apertura"),"Coordenadas o activa pendientes","Fuera por estatus"))</x:f>
        <x:v>Ubicable</x:v>
      </x:c>
    </x:row>
    <x:row r="209" ht="23" customHeight="1">
      <x:c r="A209" s="45" t="str">
        <x:f>'Ubicaciones'!C209</x:f>
        <x:v>38553</x:v>
      </x:c>
      <x:c r="B209" s="45" t="str">
        <x:f>'Ubicaciones'!A209</x:f>
        <x:v>Centro Poniente</x:v>
      </x:c>
      <x:c r="C209" s="45" t="str">
        <x:f>'Ubicaciones'!B209</x:f>
        <x:v>Areli Anahi Lazcano Lezama</x:v>
      </x:c>
      <x:c r="D209" s="45" t="str">
        <x:f>IF(COUNTIFS('Catalogos'!$A$2:$A$41,B209,'Catalogos'!$B$2:$B$41,C209)&gt;0,"Correcta","Revisar Región DM")</x:f>
        <x:v>Correcta</x:v>
      </x:c>
      <x:c r="E209" s="45" t="str">
        <x:f>IF(COUNTIFS('Ubicaciones'!$C$2:$C$10001,A209)=1,"Único","Duplicado")</x:f>
        <x:v>Único</x:v>
      </x:c>
      <x:c r="F209" s="45" t="str">
        <x:f>IF('Ubicaciones'!T209=1,"Ubicable",IF(OR('Ubicaciones'!E209="Abierta",'Ubicaciones'!E209="Próxima Apertura"),"Coordenadas o activa pendientes","Fuera por estatus"))</x:f>
        <x:v>Ubicable</x:v>
      </x:c>
    </x:row>
    <x:row r="210" ht="23" customHeight="1">
      <x:c r="A210" s="45" t="str">
        <x:f>'Ubicaciones'!C210</x:f>
        <x:v>38568</x:v>
      </x:c>
      <x:c r="B210" s="45" t="str">
        <x:f>'Ubicaciones'!A210</x:f>
        <x:v>Centro Poniente</x:v>
      </x:c>
      <x:c r="C210" s="45" t="str">
        <x:f>'Ubicaciones'!B210</x:f>
        <x:v>Areli Anahi Lazcano Lezama</x:v>
      </x:c>
      <x:c r="D210" s="45" t="str">
        <x:f>IF(COUNTIFS('Catalogos'!$A$2:$A$41,B210,'Catalogos'!$B$2:$B$41,C210)&gt;0,"Correcta","Revisar Región DM")</x:f>
        <x:v>Correcta</x:v>
      </x:c>
      <x:c r="E210" s="45" t="str">
        <x:f>IF(COUNTIFS('Ubicaciones'!$C$2:$C$10001,A210)=1,"Único","Duplicado")</x:f>
        <x:v>Único</x:v>
      </x:c>
      <x:c r="F210" s="45" t="str">
        <x:f>IF('Ubicaciones'!T210=1,"Ubicable",IF(OR('Ubicaciones'!E210="Abierta",'Ubicaciones'!E210="Próxima Apertura"),"Coordenadas o activa pendientes","Fuera por estatus"))</x:f>
        <x:v>Ubicable</x:v>
      </x:c>
    </x:row>
    <x:row r="211" ht="23" customHeight="1">
      <x:c r="A211" s="45" t="str">
        <x:f>'Ubicaciones'!C211</x:f>
        <x:v>38799</x:v>
      </x:c>
      <x:c r="B211" s="45" t="str">
        <x:f>'Ubicaciones'!A211</x:f>
        <x:v>Centro Poniente</x:v>
      </x:c>
      <x:c r="C211" s="45" t="str">
        <x:f>'Ubicaciones'!B211</x:f>
        <x:v>Areli Anahi Lazcano Lezama</x:v>
      </x:c>
      <x:c r="D211" s="45" t="str">
        <x:f>IF(COUNTIFS('Catalogos'!$A$2:$A$41,B211,'Catalogos'!$B$2:$B$41,C211)&gt;0,"Correcta","Revisar Región DM")</x:f>
        <x:v>Correcta</x:v>
      </x:c>
      <x:c r="E211" s="45" t="str">
        <x:f>IF(COUNTIFS('Ubicaciones'!$C$2:$C$10001,A211)=1,"Único","Duplicado")</x:f>
        <x:v>Único</x:v>
      </x:c>
      <x:c r="F211" s="45" t="str">
        <x:f>IF('Ubicaciones'!T211=1,"Ubicable",IF(OR('Ubicaciones'!E211="Abierta",'Ubicaciones'!E211="Próxima Apertura"),"Coordenadas o activa pendientes","Fuera por estatus"))</x:f>
        <x:v>Ubicable</x:v>
      </x:c>
    </x:row>
    <x:row r="212" ht="23" customHeight="1">
      <x:c r="A212" s="45" t="str">
        <x:f>'Ubicaciones'!C212</x:f>
        <x:v>38815</x:v>
      </x:c>
      <x:c r="B212" s="45" t="str">
        <x:f>'Ubicaciones'!A212</x:f>
        <x:v>Centro Poniente</x:v>
      </x:c>
      <x:c r="C212" s="45" t="str">
        <x:f>'Ubicaciones'!B212</x:f>
        <x:v>Areli Anahi Lazcano Lezama</x:v>
      </x:c>
      <x:c r="D212" s="45" t="str">
        <x:f>IF(COUNTIFS('Catalogos'!$A$2:$A$41,B212,'Catalogos'!$B$2:$B$41,C212)&gt;0,"Correcta","Revisar Región DM")</x:f>
        <x:v>Correcta</x:v>
      </x:c>
      <x:c r="E212" s="45" t="str">
        <x:f>IF(COUNTIFS('Ubicaciones'!$C$2:$C$10001,A212)=1,"Único","Duplicado")</x:f>
        <x:v>Único</x:v>
      </x:c>
      <x:c r="F212" s="45" t="str">
        <x:f>IF('Ubicaciones'!T212=1,"Ubicable",IF(OR('Ubicaciones'!E212="Abierta",'Ubicaciones'!E212="Próxima Apertura"),"Coordenadas o activa pendientes","Fuera por estatus"))</x:f>
        <x:v>Ubicable</x:v>
      </x:c>
    </x:row>
    <x:row r="213" ht="23" customHeight="1">
      <x:c r="A213" s="45" t="str">
        <x:f>'Ubicaciones'!C213</x:f>
        <x:v>38918</x:v>
      </x:c>
      <x:c r="B213" s="45" t="str">
        <x:f>'Ubicaciones'!A213</x:f>
        <x:v>Centro Poniente</x:v>
      </x:c>
      <x:c r="C213" s="45" t="str">
        <x:f>'Ubicaciones'!B213</x:f>
        <x:v>Areli Anahi Lazcano Lezama</x:v>
      </x:c>
      <x:c r="D213" s="45" t="str">
        <x:f>IF(COUNTIFS('Catalogos'!$A$2:$A$41,B213,'Catalogos'!$B$2:$B$41,C213)&gt;0,"Correcta","Revisar Región DM")</x:f>
        <x:v>Correcta</x:v>
      </x:c>
      <x:c r="E213" s="45" t="str">
        <x:f>IF(COUNTIFS('Ubicaciones'!$C$2:$C$10001,A213)=1,"Único","Duplicado")</x:f>
        <x:v>Único</x:v>
      </x:c>
      <x:c r="F213" s="45" t="str">
        <x:f>IF('Ubicaciones'!T213=1,"Ubicable",IF(OR('Ubicaciones'!E213="Abierta",'Ubicaciones'!E213="Próxima Apertura"),"Coordenadas o activa pendientes","Fuera por estatus"))</x:f>
        <x:v>Ubicable</x:v>
      </x:c>
    </x:row>
    <x:row r="214" ht="23" customHeight="1">
      <x:c r="A214" s="45" t="str">
        <x:f>'Ubicaciones'!C214</x:f>
        <x:v>43107</x:v>
      </x:c>
      <x:c r="B214" s="45" t="str">
        <x:f>'Ubicaciones'!A214</x:f>
        <x:v>Centro Poniente</x:v>
      </x:c>
      <x:c r="C214" s="45" t="str">
        <x:f>'Ubicaciones'!B214</x:f>
        <x:v>Areli Anahi Lazcano Lezama</x:v>
      </x:c>
      <x:c r="D214" s="45" t="str">
        <x:f>IF(COUNTIFS('Catalogos'!$A$2:$A$41,B214,'Catalogos'!$B$2:$B$41,C214)&gt;0,"Correcta","Revisar Región DM")</x:f>
        <x:v>Correcta</x:v>
      </x:c>
      <x:c r="E214" s="45" t="str">
        <x:f>IF(COUNTIFS('Ubicaciones'!$C$2:$C$10001,A214)=1,"Único","Duplicado")</x:f>
        <x:v>Único</x:v>
      </x:c>
      <x:c r="F214" s="45" t="str">
        <x:f>IF('Ubicaciones'!T214=1,"Ubicable",IF(OR('Ubicaciones'!E214="Abierta",'Ubicaciones'!E214="Próxima Apertura"),"Coordenadas o activa pendientes","Fuera por estatus"))</x:f>
        <x:v>Ubicable</x:v>
      </x:c>
    </x:row>
    <x:row r="215" ht="23" customHeight="1">
      <x:c r="A215" s="45" t="str">
        <x:f>'Ubicaciones'!C215</x:f>
        <x:v>38138</x:v>
      </x:c>
      <x:c r="B215" s="45" t="str">
        <x:f>'Ubicaciones'!A215</x:f>
        <x:v>Centro Poniente</x:v>
      </x:c>
      <x:c r="C215" s="45" t="str">
        <x:f>'Ubicaciones'!B215</x:f>
        <x:v>Daniel Flores Maldonado</x:v>
      </x:c>
      <x:c r="D215" s="45" t="str">
        <x:f>IF(COUNTIFS('Catalogos'!$A$2:$A$41,B215,'Catalogos'!$B$2:$B$41,C215)&gt;0,"Correcta","Revisar Región DM")</x:f>
        <x:v>Correcta</x:v>
      </x:c>
      <x:c r="E215" s="45" t="str">
        <x:f>IF(COUNTIFS('Ubicaciones'!$C$2:$C$10001,A215)=1,"Único","Duplicado")</x:f>
        <x:v>Único</x:v>
      </x:c>
      <x:c r="F215" s="45" t="str">
        <x:f>IF('Ubicaciones'!T215=1,"Ubicable",IF(OR('Ubicaciones'!E215="Abierta",'Ubicaciones'!E215="Próxima Apertura"),"Coordenadas o activa pendientes","Fuera por estatus"))</x:f>
        <x:v>Ubicable</x:v>
      </x:c>
    </x:row>
    <x:row r="216" ht="23" customHeight="1">
      <x:c r="A216" s="45" t="str">
        <x:f>'Ubicaciones'!C216</x:f>
        <x:v>38141</x:v>
      </x:c>
      <x:c r="B216" s="45" t="str">
        <x:f>'Ubicaciones'!A216</x:f>
        <x:v>Centro Poniente</x:v>
      </x:c>
      <x:c r="C216" s="45" t="str">
        <x:f>'Ubicaciones'!B216</x:f>
        <x:v>Daniel Flores Maldonado</x:v>
      </x:c>
      <x:c r="D216" s="45" t="str">
        <x:f>IF(COUNTIFS('Catalogos'!$A$2:$A$41,B216,'Catalogos'!$B$2:$B$41,C216)&gt;0,"Correcta","Revisar Región DM")</x:f>
        <x:v>Correcta</x:v>
      </x:c>
      <x:c r="E216" s="45" t="str">
        <x:f>IF(COUNTIFS('Ubicaciones'!$C$2:$C$10001,A216)=1,"Único","Duplicado")</x:f>
        <x:v>Único</x:v>
      </x:c>
      <x:c r="F216" s="45" t="str">
        <x:f>IF('Ubicaciones'!T216=1,"Ubicable",IF(OR('Ubicaciones'!E216="Abierta",'Ubicaciones'!E216="Próxima Apertura"),"Coordenadas o activa pendientes","Fuera por estatus"))</x:f>
        <x:v>Ubicable</x:v>
      </x:c>
    </x:row>
    <x:row r="217" ht="23" customHeight="1">
      <x:c r="A217" s="45" t="str">
        <x:f>'Ubicaciones'!C217</x:f>
        <x:v>38319</x:v>
      </x:c>
      <x:c r="B217" s="45" t="str">
        <x:f>'Ubicaciones'!A217</x:f>
        <x:v>Centro Poniente</x:v>
      </x:c>
      <x:c r="C217" s="45" t="str">
        <x:f>'Ubicaciones'!B217</x:f>
        <x:v>Daniel Flores Maldonado</x:v>
      </x:c>
      <x:c r="D217" s="45" t="str">
        <x:f>IF(COUNTIFS('Catalogos'!$A$2:$A$41,B217,'Catalogos'!$B$2:$B$41,C217)&gt;0,"Correcta","Revisar Región DM")</x:f>
        <x:v>Correcta</x:v>
      </x:c>
      <x:c r="E217" s="45" t="str">
        <x:f>IF(COUNTIFS('Ubicaciones'!$C$2:$C$10001,A217)=1,"Único","Duplicado")</x:f>
        <x:v>Único</x:v>
      </x:c>
      <x:c r="F217" s="45" t="str">
        <x:f>IF('Ubicaciones'!T217=1,"Ubicable",IF(OR('Ubicaciones'!E217="Abierta",'Ubicaciones'!E217="Próxima Apertura"),"Coordenadas o activa pendientes","Fuera por estatus"))</x:f>
        <x:v>Ubicable</x:v>
      </x:c>
    </x:row>
    <x:row r="218" ht="23" customHeight="1">
      <x:c r="A218" s="45" t="str">
        <x:f>'Ubicaciones'!C218</x:f>
        <x:v>38441</x:v>
      </x:c>
      <x:c r="B218" s="45" t="str">
        <x:f>'Ubicaciones'!A218</x:f>
        <x:v>Centro Poniente</x:v>
      </x:c>
      <x:c r="C218" s="45" t="str">
        <x:f>'Ubicaciones'!B218</x:f>
        <x:v>Daniel Flores Maldonado</x:v>
      </x:c>
      <x:c r="D218" s="45" t="str">
        <x:f>IF(COUNTIFS('Catalogos'!$A$2:$A$41,B218,'Catalogos'!$B$2:$B$41,C218)&gt;0,"Correcta","Revisar Región DM")</x:f>
        <x:v>Correcta</x:v>
      </x:c>
      <x:c r="E218" s="45" t="str">
        <x:f>IF(COUNTIFS('Ubicaciones'!$C$2:$C$10001,A218)=1,"Único","Duplicado")</x:f>
        <x:v>Único</x:v>
      </x:c>
      <x:c r="F218" s="45" t="str">
        <x:f>IF('Ubicaciones'!T218=1,"Ubicable",IF(OR('Ubicaciones'!E218="Abierta",'Ubicaciones'!E218="Próxima Apertura"),"Coordenadas o activa pendientes","Fuera por estatus"))</x:f>
        <x:v>Ubicable</x:v>
      </x:c>
    </x:row>
    <x:row r="219" ht="23" customHeight="1">
      <x:c r="A219" s="45" t="str">
        <x:f>'Ubicaciones'!C219</x:f>
        <x:v>38485</x:v>
      </x:c>
      <x:c r="B219" s="45" t="str">
        <x:f>'Ubicaciones'!A219</x:f>
        <x:v>Centro Poniente</x:v>
      </x:c>
      <x:c r="C219" s="45" t="str">
        <x:f>'Ubicaciones'!B219</x:f>
        <x:v>Daniel Flores Maldonado</x:v>
      </x:c>
      <x:c r="D219" s="45" t="str">
        <x:f>IF(COUNTIFS('Catalogos'!$A$2:$A$41,B219,'Catalogos'!$B$2:$B$41,C219)&gt;0,"Correcta","Revisar Región DM")</x:f>
        <x:v>Correcta</x:v>
      </x:c>
      <x:c r="E219" s="45" t="str">
        <x:f>IF(COUNTIFS('Ubicaciones'!$C$2:$C$10001,A219)=1,"Único","Duplicado")</x:f>
        <x:v>Único</x:v>
      </x:c>
      <x:c r="F219" s="45" t="str">
        <x:f>IF('Ubicaciones'!T219=1,"Ubicable",IF(OR('Ubicaciones'!E219="Abierta",'Ubicaciones'!E219="Próxima Apertura"),"Coordenadas o activa pendientes","Fuera por estatus"))</x:f>
        <x:v>Ubicable</x:v>
      </x:c>
    </x:row>
    <x:row r="220" ht="23" customHeight="1">
      <x:c r="A220" s="45" t="str">
        <x:f>'Ubicaciones'!C220</x:f>
        <x:v>38547</x:v>
      </x:c>
      <x:c r="B220" s="45" t="str">
        <x:f>'Ubicaciones'!A220</x:f>
        <x:v>Centro Poniente</x:v>
      </x:c>
      <x:c r="C220" s="45" t="str">
        <x:f>'Ubicaciones'!B220</x:f>
        <x:v>Daniel Flores Maldonado</x:v>
      </x:c>
      <x:c r="D220" s="45" t="str">
        <x:f>IF(COUNTIFS('Catalogos'!$A$2:$A$41,B220,'Catalogos'!$B$2:$B$41,C220)&gt;0,"Correcta","Revisar Región DM")</x:f>
        <x:v>Correcta</x:v>
      </x:c>
      <x:c r="E220" s="45" t="str">
        <x:f>IF(COUNTIFS('Ubicaciones'!$C$2:$C$10001,A220)=1,"Único","Duplicado")</x:f>
        <x:v>Único</x:v>
      </x:c>
      <x:c r="F220" s="45" t="str">
        <x:f>IF('Ubicaciones'!T220=1,"Ubicable",IF(OR('Ubicaciones'!E220="Abierta",'Ubicaciones'!E220="Próxima Apertura"),"Coordenadas o activa pendientes","Fuera por estatus"))</x:f>
        <x:v>Ubicable</x:v>
      </x:c>
    </x:row>
    <x:row r="221" ht="23" customHeight="1">
      <x:c r="A221" s="45" t="str">
        <x:f>'Ubicaciones'!C221</x:f>
        <x:v>38668</x:v>
      </x:c>
      <x:c r="B221" s="45" t="str">
        <x:f>'Ubicaciones'!A221</x:f>
        <x:v>Centro Poniente</x:v>
      </x:c>
      <x:c r="C221" s="45" t="str">
        <x:f>'Ubicaciones'!B221</x:f>
        <x:v>Daniel Flores Maldonado</x:v>
      </x:c>
      <x:c r="D221" s="45" t="str">
        <x:f>IF(COUNTIFS('Catalogos'!$A$2:$A$41,B221,'Catalogos'!$B$2:$B$41,C221)&gt;0,"Correcta","Revisar Región DM")</x:f>
        <x:v>Correcta</x:v>
      </x:c>
      <x:c r="E221" s="45" t="str">
        <x:f>IF(COUNTIFS('Ubicaciones'!$C$2:$C$10001,A221)=1,"Único","Duplicado")</x:f>
        <x:v>Único</x:v>
      </x:c>
      <x:c r="F221" s="45" t="str">
        <x:f>IF('Ubicaciones'!T221=1,"Ubicable",IF(OR('Ubicaciones'!E221="Abierta",'Ubicaciones'!E221="Próxima Apertura"),"Coordenadas o activa pendientes","Fuera por estatus"))</x:f>
        <x:v>Ubicable</x:v>
      </x:c>
    </x:row>
    <x:row r="222" ht="23" customHeight="1">
      <x:c r="A222" s="45" t="str">
        <x:f>'Ubicaciones'!C222</x:f>
        <x:v>38841</x:v>
      </x:c>
      <x:c r="B222" s="45" t="str">
        <x:f>'Ubicaciones'!A222</x:f>
        <x:v>Centro Poniente</x:v>
      </x:c>
      <x:c r="C222" s="45" t="str">
        <x:f>'Ubicaciones'!B222</x:f>
        <x:v>Daniel Flores Maldonado</x:v>
      </x:c>
      <x:c r="D222" s="45" t="str">
        <x:f>IF(COUNTIFS('Catalogos'!$A$2:$A$41,B222,'Catalogos'!$B$2:$B$41,C222)&gt;0,"Correcta","Revisar Región DM")</x:f>
        <x:v>Correcta</x:v>
      </x:c>
      <x:c r="E222" s="45" t="str">
        <x:f>IF(COUNTIFS('Ubicaciones'!$C$2:$C$10001,A222)=1,"Único","Duplicado")</x:f>
        <x:v>Único</x:v>
      </x:c>
      <x:c r="F222" s="45" t="str">
        <x:f>IF('Ubicaciones'!T222=1,"Ubicable",IF(OR('Ubicaciones'!E222="Abierta",'Ubicaciones'!E222="Próxima Apertura"),"Coordenadas o activa pendientes","Fuera por estatus"))</x:f>
        <x:v>Ubicable</x:v>
      </x:c>
    </x:row>
    <x:row r="223" ht="23" customHeight="1">
      <x:c r="A223" s="45" t="str">
        <x:f>'Ubicaciones'!C223</x:f>
        <x:v>38896</x:v>
      </x:c>
      <x:c r="B223" s="45" t="str">
        <x:f>'Ubicaciones'!A223</x:f>
        <x:v>Centro Poniente</x:v>
      </x:c>
      <x:c r="C223" s="45" t="str">
        <x:f>'Ubicaciones'!B223</x:f>
        <x:v>Daniel Flores Maldonado</x:v>
      </x:c>
      <x:c r="D223" s="45" t="str">
        <x:f>IF(COUNTIFS('Catalogos'!$A$2:$A$41,B223,'Catalogos'!$B$2:$B$41,C223)&gt;0,"Correcta","Revisar Región DM")</x:f>
        <x:v>Correcta</x:v>
      </x:c>
      <x:c r="E223" s="45" t="str">
        <x:f>IF(COUNTIFS('Ubicaciones'!$C$2:$C$10001,A223)=1,"Único","Duplicado")</x:f>
        <x:v>Único</x:v>
      </x:c>
      <x:c r="F223" s="45" t="str">
        <x:f>IF('Ubicaciones'!T223=1,"Ubicable",IF(OR('Ubicaciones'!E223="Abierta",'Ubicaciones'!E223="Próxima Apertura"),"Coordenadas o activa pendientes","Fuera por estatus"))</x:f>
        <x:v>Ubicable</x:v>
      </x:c>
    </x:row>
    <x:row r="224" ht="23" customHeight="1">
      <x:c r="A224" s="45" t="str">
        <x:f>'Ubicaciones'!C224</x:f>
        <x:v>38957</x:v>
      </x:c>
      <x:c r="B224" s="45" t="str">
        <x:f>'Ubicaciones'!A224</x:f>
        <x:v>Centro Poniente</x:v>
      </x:c>
      <x:c r="C224" s="45" t="str">
        <x:f>'Ubicaciones'!B224</x:f>
        <x:v>Daniel Flores Maldonado</x:v>
      </x:c>
      <x:c r="D224" s="45" t="str">
        <x:f>IF(COUNTIFS('Catalogos'!$A$2:$A$41,B224,'Catalogos'!$B$2:$B$41,C224)&gt;0,"Correcta","Revisar Región DM")</x:f>
        <x:v>Correcta</x:v>
      </x:c>
      <x:c r="E224" s="45" t="str">
        <x:f>IF(COUNTIFS('Ubicaciones'!$C$2:$C$10001,A224)=1,"Único","Duplicado")</x:f>
        <x:v>Único</x:v>
      </x:c>
      <x:c r="F224" s="45" t="str">
        <x:f>IF('Ubicaciones'!T224=1,"Ubicable",IF(OR('Ubicaciones'!E224="Abierta",'Ubicaciones'!E224="Próxima Apertura"),"Coordenadas o activa pendientes","Fuera por estatus"))</x:f>
        <x:v>Ubicable</x:v>
      </x:c>
    </x:row>
    <x:row r="225" ht="23" customHeight="1">
      <x:c r="A225" s="45" t="str">
        <x:f>'Ubicaciones'!C225</x:f>
        <x:v>38987</x:v>
      </x:c>
      <x:c r="B225" s="45" t="str">
        <x:f>'Ubicaciones'!A225</x:f>
        <x:v>Centro Poniente</x:v>
      </x:c>
      <x:c r="C225" s="45" t="str">
        <x:f>'Ubicaciones'!B225</x:f>
        <x:v>Daniel Flores Maldonado</x:v>
      </x:c>
      <x:c r="D225" s="45" t="str">
        <x:f>IF(COUNTIFS('Catalogos'!$A$2:$A$41,B225,'Catalogos'!$B$2:$B$41,C225)&gt;0,"Correcta","Revisar Región DM")</x:f>
        <x:v>Correcta</x:v>
      </x:c>
      <x:c r="E225" s="45" t="str">
        <x:f>IF(COUNTIFS('Ubicaciones'!$C$2:$C$10001,A225)=1,"Único","Duplicado")</x:f>
        <x:v>Único</x:v>
      </x:c>
      <x:c r="F225" s="45" t="str">
        <x:f>IF('Ubicaciones'!T225=1,"Ubicable",IF(OR('Ubicaciones'!E225="Abierta",'Ubicaciones'!E225="Próxima Apertura"),"Coordenadas o activa pendientes","Fuera por estatus"))</x:f>
        <x:v>Ubicable</x:v>
      </x:c>
    </x:row>
    <x:row r="226" ht="23" customHeight="1">
      <x:c r="A226" s="45" t="str">
        <x:f>'Ubicaciones'!C226</x:f>
        <x:v>43059</x:v>
      </x:c>
      <x:c r="B226" s="45" t="str">
        <x:f>'Ubicaciones'!A226</x:f>
        <x:v>Centro Poniente</x:v>
      </x:c>
      <x:c r="C226" s="45" t="str">
        <x:f>'Ubicaciones'!B226</x:f>
        <x:v>Daniel Flores Maldonado</x:v>
      </x:c>
      <x:c r="D226" s="45" t="str">
        <x:f>IF(COUNTIFS('Catalogos'!$A$2:$A$41,B226,'Catalogos'!$B$2:$B$41,C226)&gt;0,"Correcta","Revisar Región DM")</x:f>
        <x:v>Correcta</x:v>
      </x:c>
      <x:c r="E226" s="45" t="str">
        <x:f>IF(COUNTIFS('Ubicaciones'!$C$2:$C$10001,A226)=1,"Único","Duplicado")</x:f>
        <x:v>Único</x:v>
      </x:c>
      <x:c r="F226" s="45" t="str">
        <x:f>IF('Ubicaciones'!T226=1,"Ubicable",IF(OR('Ubicaciones'!E226="Abierta",'Ubicaciones'!E226="Próxima Apertura"),"Coordenadas o activa pendientes","Fuera por estatus"))</x:f>
        <x:v>Ubicable</x:v>
      </x:c>
    </x:row>
    <x:row r="227" ht="23" customHeight="1">
      <x:c r="A227" s="45" t="str">
        <x:f>'Ubicaciones'!C227</x:f>
        <x:v>43068</x:v>
      </x:c>
      <x:c r="B227" s="45" t="str">
        <x:f>'Ubicaciones'!A227</x:f>
        <x:v>Centro Poniente</x:v>
      </x:c>
      <x:c r="C227" s="45" t="str">
        <x:f>'Ubicaciones'!B227</x:f>
        <x:v>Daniel Flores Maldonado</x:v>
      </x:c>
      <x:c r="D227" s="45" t="str">
        <x:f>IF(COUNTIFS('Catalogos'!$A$2:$A$41,B227,'Catalogos'!$B$2:$B$41,C227)&gt;0,"Correcta","Revisar Región DM")</x:f>
        <x:v>Correcta</x:v>
      </x:c>
      <x:c r="E227" s="45" t="str">
        <x:f>IF(COUNTIFS('Ubicaciones'!$C$2:$C$10001,A227)=1,"Único","Duplicado")</x:f>
        <x:v>Único</x:v>
      </x:c>
      <x:c r="F227" s="45" t="str">
        <x:f>IF('Ubicaciones'!T227=1,"Ubicable",IF(OR('Ubicaciones'!E227="Abierta",'Ubicaciones'!E227="Próxima Apertura"),"Coordenadas o activa pendientes","Fuera por estatus"))</x:f>
        <x:v>Ubicable</x:v>
      </x:c>
    </x:row>
    <x:row r="228" ht="23" customHeight="1">
      <x:c r="A228" s="45" t="str">
        <x:f>'Ubicaciones'!C228</x:f>
        <x:v>38122</x:v>
      </x:c>
      <x:c r="B228" s="45" t="str">
        <x:f>'Ubicaciones'!A228</x:f>
        <x:v>Centro Poniente</x:v>
      </x:c>
      <x:c r="C228" s="45" t="str">
        <x:f>'Ubicaciones'!B228</x:f>
        <x:v>Erika Julieta Contreras Aguilar</x:v>
      </x:c>
      <x:c r="D228" s="45" t="str">
        <x:f>IF(COUNTIFS('Catalogos'!$A$2:$A$41,B228,'Catalogos'!$B$2:$B$41,C228)&gt;0,"Correcta","Revisar Región DM")</x:f>
        <x:v>Correcta</x:v>
      </x:c>
      <x:c r="E228" s="45" t="str">
        <x:f>IF(COUNTIFS('Ubicaciones'!$C$2:$C$10001,A228)=1,"Único","Duplicado")</x:f>
        <x:v>Único</x:v>
      </x:c>
      <x:c r="F228" s="45" t="str">
        <x:f>IF('Ubicaciones'!T228=1,"Ubicable",IF(OR('Ubicaciones'!E228="Abierta",'Ubicaciones'!E228="Próxima Apertura"),"Coordenadas o activa pendientes","Fuera por estatus"))</x:f>
        <x:v>Ubicable</x:v>
      </x:c>
    </x:row>
    <x:row r="229" ht="23" customHeight="1">
      <x:c r="A229" s="45" t="str">
        <x:f>'Ubicaciones'!C229</x:f>
        <x:v>38148</x:v>
      </x:c>
      <x:c r="B229" s="45" t="str">
        <x:f>'Ubicaciones'!A229</x:f>
        <x:v>Centro Poniente</x:v>
      </x:c>
      <x:c r="C229" s="45" t="str">
        <x:f>'Ubicaciones'!B229</x:f>
        <x:v>Erika Julieta Contreras Aguilar</x:v>
      </x:c>
      <x:c r="D229" s="45" t="str">
        <x:f>IF(COUNTIFS('Catalogos'!$A$2:$A$41,B229,'Catalogos'!$B$2:$B$41,C229)&gt;0,"Correcta","Revisar Región DM")</x:f>
        <x:v>Correcta</x:v>
      </x:c>
      <x:c r="E229" s="45" t="str">
        <x:f>IF(COUNTIFS('Ubicaciones'!$C$2:$C$10001,A229)=1,"Único","Duplicado")</x:f>
        <x:v>Único</x:v>
      </x:c>
      <x:c r="F229" s="45" t="str">
        <x:f>IF('Ubicaciones'!T229=1,"Ubicable",IF(OR('Ubicaciones'!E229="Abierta",'Ubicaciones'!E229="Próxima Apertura"),"Coordenadas o activa pendientes","Fuera por estatus"))</x:f>
        <x:v>Ubicable</x:v>
      </x:c>
    </x:row>
    <x:row r="230" ht="23" customHeight="1">
      <x:c r="A230" s="45" t="str">
        <x:f>'Ubicaciones'!C230</x:f>
        <x:v>38150</x:v>
      </x:c>
      <x:c r="B230" s="45" t="str">
        <x:f>'Ubicaciones'!A230</x:f>
        <x:v>Centro Poniente</x:v>
      </x:c>
      <x:c r="C230" s="45" t="str">
        <x:f>'Ubicaciones'!B230</x:f>
        <x:v>Erika Julieta Contreras Aguilar</x:v>
      </x:c>
      <x:c r="D230" s="45" t="str">
        <x:f>IF(COUNTIFS('Catalogos'!$A$2:$A$41,B230,'Catalogos'!$B$2:$B$41,C230)&gt;0,"Correcta","Revisar Región DM")</x:f>
        <x:v>Correcta</x:v>
      </x:c>
      <x:c r="E230" s="45" t="str">
        <x:f>IF(COUNTIFS('Ubicaciones'!$C$2:$C$10001,A230)=1,"Único","Duplicado")</x:f>
        <x:v>Único</x:v>
      </x:c>
      <x:c r="F230" s="45" t="str">
        <x:f>IF('Ubicaciones'!T230=1,"Ubicable",IF(OR('Ubicaciones'!E230="Abierta",'Ubicaciones'!E230="Próxima Apertura"),"Coordenadas o activa pendientes","Fuera por estatus"))</x:f>
        <x:v>Ubicable</x:v>
      </x:c>
    </x:row>
    <x:row r="231" ht="23" customHeight="1">
      <x:c r="A231" s="45" t="str">
        <x:f>'Ubicaciones'!C231</x:f>
        <x:v>38189</x:v>
      </x:c>
      <x:c r="B231" s="45" t="str">
        <x:f>'Ubicaciones'!A231</x:f>
        <x:v>Centro Poniente</x:v>
      </x:c>
      <x:c r="C231" s="45" t="str">
        <x:f>'Ubicaciones'!B231</x:f>
        <x:v>Erika Julieta Contreras Aguilar</x:v>
      </x:c>
      <x:c r="D231" s="45" t="str">
        <x:f>IF(COUNTIFS('Catalogos'!$A$2:$A$41,B231,'Catalogos'!$B$2:$B$41,C231)&gt;0,"Correcta","Revisar Región DM")</x:f>
        <x:v>Correcta</x:v>
      </x:c>
      <x:c r="E231" s="45" t="str">
        <x:f>IF(COUNTIFS('Ubicaciones'!$C$2:$C$10001,A231)=1,"Único","Duplicado")</x:f>
        <x:v>Único</x:v>
      </x:c>
      <x:c r="F231" s="45" t="str">
        <x:f>IF('Ubicaciones'!T231=1,"Ubicable",IF(OR('Ubicaciones'!E231="Abierta",'Ubicaciones'!E231="Próxima Apertura"),"Coordenadas o activa pendientes","Fuera por estatus"))</x:f>
        <x:v>Ubicable</x:v>
      </x:c>
    </x:row>
    <x:row r="232" ht="23" customHeight="1">
      <x:c r="A232" s="45" t="str">
        <x:f>'Ubicaciones'!C232</x:f>
        <x:v>38225</x:v>
      </x:c>
      <x:c r="B232" s="45" t="str">
        <x:f>'Ubicaciones'!A232</x:f>
        <x:v>Centro Poniente</x:v>
      </x:c>
      <x:c r="C232" s="45" t="str">
        <x:f>'Ubicaciones'!B232</x:f>
        <x:v>Erika Julieta Contreras Aguilar</x:v>
      </x:c>
      <x:c r="D232" s="45" t="str">
        <x:f>IF(COUNTIFS('Catalogos'!$A$2:$A$41,B232,'Catalogos'!$B$2:$B$41,C232)&gt;0,"Correcta","Revisar Región DM")</x:f>
        <x:v>Correcta</x:v>
      </x:c>
      <x:c r="E232" s="45" t="str">
        <x:f>IF(COUNTIFS('Ubicaciones'!$C$2:$C$10001,A232)=1,"Único","Duplicado")</x:f>
        <x:v>Único</x:v>
      </x:c>
      <x:c r="F232" s="45" t="str">
        <x:f>IF('Ubicaciones'!T232=1,"Ubicable",IF(OR('Ubicaciones'!E232="Abierta",'Ubicaciones'!E232="Próxima Apertura"),"Coordenadas o activa pendientes","Fuera por estatus"))</x:f>
        <x:v>Ubicable</x:v>
      </x:c>
    </x:row>
    <x:row r="233" ht="23" customHeight="1">
      <x:c r="A233" s="45" t="str">
        <x:f>'Ubicaciones'!C233</x:f>
        <x:v>38361</x:v>
      </x:c>
      <x:c r="B233" s="45" t="str">
        <x:f>'Ubicaciones'!A233</x:f>
        <x:v>Centro Poniente</x:v>
      </x:c>
      <x:c r="C233" s="45" t="str">
        <x:f>'Ubicaciones'!B233</x:f>
        <x:v>Erika Julieta Contreras Aguilar</x:v>
      </x:c>
      <x:c r="D233" s="45" t="str">
        <x:f>IF(COUNTIFS('Catalogos'!$A$2:$A$41,B233,'Catalogos'!$B$2:$B$41,C233)&gt;0,"Correcta","Revisar Región DM")</x:f>
        <x:v>Correcta</x:v>
      </x:c>
      <x:c r="E233" s="45" t="str">
        <x:f>IF(COUNTIFS('Ubicaciones'!$C$2:$C$10001,A233)=1,"Único","Duplicado")</x:f>
        <x:v>Único</x:v>
      </x:c>
      <x:c r="F233" s="45" t="str">
        <x:f>IF('Ubicaciones'!T233=1,"Ubicable",IF(OR('Ubicaciones'!E233="Abierta",'Ubicaciones'!E233="Próxima Apertura"),"Coordenadas o activa pendientes","Fuera por estatus"))</x:f>
        <x:v>Ubicable</x:v>
      </x:c>
    </x:row>
    <x:row r="234" ht="23" customHeight="1">
      <x:c r="A234" s="45" t="str">
        <x:f>'Ubicaciones'!C234</x:f>
        <x:v>38414</x:v>
      </x:c>
      <x:c r="B234" s="45" t="str">
        <x:f>'Ubicaciones'!A234</x:f>
        <x:v>Centro Poniente</x:v>
      </x:c>
      <x:c r="C234" s="45" t="str">
        <x:f>'Ubicaciones'!B234</x:f>
        <x:v>Erika Julieta Contreras Aguilar</x:v>
      </x:c>
      <x:c r="D234" s="45" t="str">
        <x:f>IF(COUNTIFS('Catalogos'!$A$2:$A$41,B234,'Catalogos'!$B$2:$B$41,C234)&gt;0,"Correcta","Revisar Región DM")</x:f>
        <x:v>Correcta</x:v>
      </x:c>
      <x:c r="E234" s="45" t="str">
        <x:f>IF(COUNTIFS('Ubicaciones'!$C$2:$C$10001,A234)=1,"Único","Duplicado")</x:f>
        <x:v>Único</x:v>
      </x:c>
      <x:c r="F234" s="45" t="str">
        <x:f>IF('Ubicaciones'!T234=1,"Ubicable",IF(OR('Ubicaciones'!E234="Abierta",'Ubicaciones'!E234="Próxima Apertura"),"Coordenadas o activa pendientes","Fuera por estatus"))</x:f>
        <x:v>Ubicable</x:v>
      </x:c>
    </x:row>
    <x:row r="235" ht="23" customHeight="1">
      <x:c r="A235" s="45" t="str">
        <x:f>'Ubicaciones'!C235</x:f>
        <x:v>38438</x:v>
      </x:c>
      <x:c r="B235" s="45" t="str">
        <x:f>'Ubicaciones'!A235</x:f>
        <x:v>Centro Poniente</x:v>
      </x:c>
      <x:c r="C235" s="45" t="str">
        <x:f>'Ubicaciones'!B235</x:f>
        <x:v>Erika Julieta Contreras Aguilar</x:v>
      </x:c>
      <x:c r="D235" s="45" t="str">
        <x:f>IF(COUNTIFS('Catalogos'!$A$2:$A$41,B235,'Catalogos'!$B$2:$B$41,C235)&gt;0,"Correcta","Revisar Región DM")</x:f>
        <x:v>Correcta</x:v>
      </x:c>
      <x:c r="E235" s="45" t="str">
        <x:f>IF(COUNTIFS('Ubicaciones'!$C$2:$C$10001,A235)=1,"Único","Duplicado")</x:f>
        <x:v>Único</x:v>
      </x:c>
      <x:c r="F235" s="45" t="str">
        <x:f>IF('Ubicaciones'!T235=1,"Ubicable",IF(OR('Ubicaciones'!E235="Abierta",'Ubicaciones'!E235="Próxima Apertura"),"Coordenadas o activa pendientes","Fuera por estatus"))</x:f>
        <x:v>Ubicable</x:v>
      </x:c>
    </x:row>
    <x:row r="236" ht="23" customHeight="1">
      <x:c r="A236" s="45" t="str">
        <x:f>'Ubicaciones'!C236</x:f>
        <x:v>38508</x:v>
      </x:c>
      <x:c r="B236" s="45" t="str">
        <x:f>'Ubicaciones'!A236</x:f>
        <x:v>Centro Poniente</x:v>
      </x:c>
      <x:c r="C236" s="45" t="str">
        <x:f>'Ubicaciones'!B236</x:f>
        <x:v>Erika Julieta Contreras Aguilar</x:v>
      </x:c>
      <x:c r="D236" s="45" t="str">
        <x:f>IF(COUNTIFS('Catalogos'!$A$2:$A$41,B236,'Catalogos'!$B$2:$B$41,C236)&gt;0,"Correcta","Revisar Región DM")</x:f>
        <x:v>Correcta</x:v>
      </x:c>
      <x:c r="E236" s="45" t="str">
        <x:f>IF(COUNTIFS('Ubicaciones'!$C$2:$C$10001,A236)=1,"Único","Duplicado")</x:f>
        <x:v>Único</x:v>
      </x:c>
      <x:c r="F236" s="45" t="str">
        <x:f>IF('Ubicaciones'!T236=1,"Ubicable",IF(OR('Ubicaciones'!E236="Abierta",'Ubicaciones'!E236="Próxima Apertura"),"Coordenadas o activa pendientes","Fuera por estatus"))</x:f>
        <x:v>Ubicable</x:v>
      </x:c>
    </x:row>
    <x:row r="237" ht="23" customHeight="1">
      <x:c r="A237" s="45" t="str">
        <x:f>'Ubicaciones'!C237</x:f>
        <x:v>38534</x:v>
      </x:c>
      <x:c r="B237" s="45" t="str">
        <x:f>'Ubicaciones'!A237</x:f>
        <x:v>Centro Poniente</x:v>
      </x:c>
      <x:c r="C237" s="45" t="str">
        <x:f>'Ubicaciones'!B237</x:f>
        <x:v>Erika Julieta Contreras Aguilar</x:v>
      </x:c>
      <x:c r="D237" s="45" t="str">
        <x:f>IF(COUNTIFS('Catalogos'!$A$2:$A$41,B237,'Catalogos'!$B$2:$B$41,C237)&gt;0,"Correcta","Revisar Región DM")</x:f>
        <x:v>Correcta</x:v>
      </x:c>
      <x:c r="E237" s="45" t="str">
        <x:f>IF(COUNTIFS('Ubicaciones'!$C$2:$C$10001,A237)=1,"Único","Duplicado")</x:f>
        <x:v>Único</x:v>
      </x:c>
      <x:c r="F237" s="45" t="str">
        <x:f>IF('Ubicaciones'!T237=1,"Ubicable",IF(OR('Ubicaciones'!E237="Abierta",'Ubicaciones'!E237="Próxima Apertura"),"Coordenadas o activa pendientes","Fuera por estatus"))</x:f>
        <x:v>Ubicable</x:v>
      </x:c>
    </x:row>
    <x:row r="238" ht="23" customHeight="1">
      <x:c r="A238" s="45" t="str">
        <x:f>'Ubicaciones'!C238</x:f>
        <x:v>38607</x:v>
      </x:c>
      <x:c r="B238" s="45" t="str">
        <x:f>'Ubicaciones'!A238</x:f>
        <x:v>Centro Poniente</x:v>
      </x:c>
      <x:c r="C238" s="45" t="str">
        <x:f>'Ubicaciones'!B238</x:f>
        <x:v>Erika Julieta Contreras Aguilar</x:v>
      </x:c>
      <x:c r="D238" s="45" t="str">
        <x:f>IF(COUNTIFS('Catalogos'!$A$2:$A$41,B238,'Catalogos'!$B$2:$B$41,C238)&gt;0,"Correcta","Revisar Región DM")</x:f>
        <x:v>Correcta</x:v>
      </x:c>
      <x:c r="E238" s="45" t="str">
        <x:f>IF(COUNTIFS('Ubicaciones'!$C$2:$C$10001,A238)=1,"Único","Duplicado")</x:f>
        <x:v>Único</x:v>
      </x:c>
      <x:c r="F238" s="45" t="str">
        <x:f>IF('Ubicaciones'!T238=1,"Ubicable",IF(OR('Ubicaciones'!E238="Abierta",'Ubicaciones'!E238="Próxima Apertura"),"Coordenadas o activa pendientes","Fuera por estatus"))</x:f>
        <x:v>Ubicable</x:v>
      </x:c>
    </x:row>
    <x:row r="239" ht="23" customHeight="1">
      <x:c r="A239" s="45" t="str">
        <x:f>'Ubicaciones'!C239</x:f>
        <x:v>38633</x:v>
      </x:c>
      <x:c r="B239" s="45" t="str">
        <x:f>'Ubicaciones'!A239</x:f>
        <x:v>Centro Poniente</x:v>
      </x:c>
      <x:c r="C239" s="45" t="str">
        <x:f>'Ubicaciones'!B239</x:f>
        <x:v>Erika Julieta Contreras Aguilar</x:v>
      </x:c>
      <x:c r="D239" s="45" t="str">
        <x:f>IF(COUNTIFS('Catalogos'!$A$2:$A$41,B239,'Catalogos'!$B$2:$B$41,C239)&gt;0,"Correcta","Revisar Región DM")</x:f>
        <x:v>Correcta</x:v>
      </x:c>
      <x:c r="E239" s="45" t="str">
        <x:f>IF(COUNTIFS('Ubicaciones'!$C$2:$C$10001,A239)=1,"Único","Duplicado")</x:f>
        <x:v>Único</x:v>
      </x:c>
      <x:c r="F239" s="45" t="str">
        <x:f>IF('Ubicaciones'!T239=1,"Ubicable",IF(OR('Ubicaciones'!E239="Abierta",'Ubicaciones'!E239="Próxima Apertura"),"Coordenadas o activa pendientes","Fuera por estatus"))</x:f>
        <x:v>Ubicable</x:v>
      </x:c>
    </x:row>
    <x:row r="240" ht="23" customHeight="1">
      <x:c r="A240" s="45" t="str">
        <x:f>'Ubicaciones'!C240</x:f>
        <x:v>38704</x:v>
      </x:c>
      <x:c r="B240" s="45" t="str">
        <x:f>'Ubicaciones'!A240</x:f>
        <x:v>Centro Poniente</x:v>
      </x:c>
      <x:c r="C240" s="45" t="str">
        <x:f>'Ubicaciones'!B240</x:f>
        <x:v>Erika Julieta Contreras Aguilar</x:v>
      </x:c>
      <x:c r="D240" s="45" t="str">
        <x:f>IF(COUNTIFS('Catalogos'!$A$2:$A$41,B240,'Catalogos'!$B$2:$B$41,C240)&gt;0,"Correcta","Revisar Región DM")</x:f>
        <x:v>Correcta</x:v>
      </x:c>
      <x:c r="E240" s="45" t="str">
        <x:f>IF(COUNTIFS('Ubicaciones'!$C$2:$C$10001,A240)=1,"Único","Duplicado")</x:f>
        <x:v>Único</x:v>
      </x:c>
      <x:c r="F240" s="45" t="str">
        <x:f>IF('Ubicaciones'!T240=1,"Ubicable",IF(OR('Ubicaciones'!E240="Abierta",'Ubicaciones'!E240="Próxima Apertura"),"Coordenadas o activa pendientes","Fuera por estatus"))</x:f>
        <x:v>Ubicable</x:v>
      </x:c>
    </x:row>
    <x:row r="241" ht="23" customHeight="1">
      <x:c r="A241" s="45" t="str">
        <x:f>'Ubicaciones'!C241</x:f>
        <x:v>38747</x:v>
      </x:c>
      <x:c r="B241" s="45" t="str">
        <x:f>'Ubicaciones'!A241</x:f>
        <x:v>Centro Poniente</x:v>
      </x:c>
      <x:c r="C241" s="45" t="str">
        <x:f>'Ubicaciones'!B241</x:f>
        <x:v>Erika Julieta Contreras Aguilar</x:v>
      </x:c>
      <x:c r="D241" s="45" t="str">
        <x:f>IF(COUNTIFS('Catalogos'!$A$2:$A$41,B241,'Catalogos'!$B$2:$B$41,C241)&gt;0,"Correcta","Revisar Región DM")</x:f>
        <x:v>Correcta</x:v>
      </x:c>
      <x:c r="E241" s="45" t="str">
        <x:f>IF(COUNTIFS('Ubicaciones'!$C$2:$C$10001,A241)=1,"Único","Duplicado")</x:f>
        <x:v>Único</x:v>
      </x:c>
      <x:c r="F241" s="45" t="str">
        <x:f>IF('Ubicaciones'!T241=1,"Ubicable",IF(OR('Ubicaciones'!E241="Abierta",'Ubicaciones'!E241="Próxima Apertura"),"Coordenadas o activa pendientes","Fuera por estatus"))</x:f>
        <x:v>Ubicable</x:v>
      </x:c>
    </x:row>
    <x:row r="242" ht="23" customHeight="1">
      <x:c r="A242" s="45" t="str">
        <x:f>'Ubicaciones'!C242</x:f>
        <x:v>38749</x:v>
      </x:c>
      <x:c r="B242" s="45" t="str">
        <x:f>'Ubicaciones'!A242</x:f>
        <x:v>Centro Poniente</x:v>
      </x:c>
      <x:c r="C242" s="45" t="str">
        <x:f>'Ubicaciones'!B242</x:f>
        <x:v>Erika Julieta Contreras Aguilar</x:v>
      </x:c>
      <x:c r="D242" s="45" t="str">
        <x:f>IF(COUNTIFS('Catalogos'!$A$2:$A$41,B242,'Catalogos'!$B$2:$B$41,C242)&gt;0,"Correcta","Revisar Región DM")</x:f>
        <x:v>Correcta</x:v>
      </x:c>
      <x:c r="E242" s="45" t="str">
        <x:f>IF(COUNTIFS('Ubicaciones'!$C$2:$C$10001,A242)=1,"Único","Duplicado")</x:f>
        <x:v>Único</x:v>
      </x:c>
      <x:c r="F242" s="45" t="str">
        <x:f>IF('Ubicaciones'!T242=1,"Ubicable",IF(OR('Ubicaciones'!E242="Abierta",'Ubicaciones'!E242="Próxima Apertura"),"Coordenadas o activa pendientes","Fuera por estatus"))</x:f>
        <x:v>Ubicable</x:v>
      </x:c>
    </x:row>
    <x:row r="243" ht="23" customHeight="1">
      <x:c r="A243" s="45" t="str">
        <x:f>'Ubicaciones'!C243</x:f>
        <x:v>38158</x:v>
      </x:c>
      <x:c r="B243" s="45" t="str">
        <x:f>'Ubicaciones'!A243</x:f>
        <x:v>Centro Poniente</x:v>
      </x:c>
      <x:c r="C243" s="45" t="str">
        <x:f>'Ubicaciones'!B243</x:f>
        <x:v>José de Jesús Magos Arzaluz</x:v>
      </x:c>
      <x:c r="D243" s="45" t="str">
        <x:f>IF(COUNTIFS('Catalogos'!$A$2:$A$41,B243,'Catalogos'!$B$2:$B$41,C243)&gt;0,"Correcta","Revisar Región DM")</x:f>
        <x:v>Correcta</x:v>
      </x:c>
      <x:c r="E243" s="45" t="str">
        <x:f>IF(COUNTIFS('Ubicaciones'!$C$2:$C$10001,A243)=1,"Único","Duplicado")</x:f>
        <x:v>Único</x:v>
      </x:c>
      <x:c r="F243" s="45" t="str">
        <x:f>IF('Ubicaciones'!T243=1,"Ubicable",IF(OR('Ubicaciones'!E243="Abierta",'Ubicaciones'!E243="Próxima Apertura"),"Coordenadas o activa pendientes","Fuera por estatus"))</x:f>
        <x:v>Ubicable</x:v>
      </x:c>
    </x:row>
    <x:row r="244" ht="23" customHeight="1">
      <x:c r="A244" s="45" t="str">
        <x:f>'Ubicaciones'!C244</x:f>
        <x:v>38166</x:v>
      </x:c>
      <x:c r="B244" s="45" t="str">
        <x:f>'Ubicaciones'!A244</x:f>
        <x:v>Centro Poniente</x:v>
      </x:c>
      <x:c r="C244" s="45" t="str">
        <x:f>'Ubicaciones'!B244</x:f>
        <x:v>José de Jesús Magos Arzaluz</x:v>
      </x:c>
      <x:c r="D244" s="45" t="str">
        <x:f>IF(COUNTIFS('Catalogos'!$A$2:$A$41,B244,'Catalogos'!$B$2:$B$41,C244)&gt;0,"Correcta","Revisar Región DM")</x:f>
        <x:v>Correcta</x:v>
      </x:c>
      <x:c r="E244" s="45" t="str">
        <x:f>IF(COUNTIFS('Ubicaciones'!$C$2:$C$10001,A244)=1,"Único","Duplicado")</x:f>
        <x:v>Único</x:v>
      </x:c>
      <x:c r="F244" s="45" t="str">
        <x:f>IF('Ubicaciones'!T244=1,"Ubicable",IF(OR('Ubicaciones'!E244="Abierta",'Ubicaciones'!E244="Próxima Apertura"),"Coordenadas o activa pendientes","Fuera por estatus"))</x:f>
        <x:v>Ubicable</x:v>
      </x:c>
    </x:row>
    <x:row r="245" ht="23" customHeight="1">
      <x:c r="A245" s="45" t="str">
        <x:f>'Ubicaciones'!C245</x:f>
        <x:v>38390</x:v>
      </x:c>
      <x:c r="B245" s="45" t="str">
        <x:f>'Ubicaciones'!A245</x:f>
        <x:v>Centro Poniente</x:v>
      </x:c>
      <x:c r="C245" s="45" t="str">
        <x:f>'Ubicaciones'!B245</x:f>
        <x:v>José de Jesús Magos Arzaluz</x:v>
      </x:c>
      <x:c r="D245" s="45" t="str">
        <x:f>IF(COUNTIFS('Catalogos'!$A$2:$A$41,B245,'Catalogos'!$B$2:$B$41,C245)&gt;0,"Correcta","Revisar Región DM")</x:f>
        <x:v>Correcta</x:v>
      </x:c>
      <x:c r="E245" s="45" t="str">
        <x:f>IF(COUNTIFS('Ubicaciones'!$C$2:$C$10001,A245)=1,"Único","Duplicado")</x:f>
        <x:v>Único</x:v>
      </x:c>
      <x:c r="F245" s="45" t="str">
        <x:f>IF('Ubicaciones'!T245=1,"Ubicable",IF(OR('Ubicaciones'!E245="Abierta",'Ubicaciones'!E245="Próxima Apertura"),"Coordenadas o activa pendientes","Fuera por estatus"))</x:f>
        <x:v>Ubicable</x:v>
      </x:c>
    </x:row>
    <x:row r="246" ht="23" customHeight="1">
      <x:c r="A246" s="45" t="str">
        <x:f>'Ubicaciones'!C246</x:f>
        <x:v>38400</x:v>
      </x:c>
      <x:c r="B246" s="45" t="str">
        <x:f>'Ubicaciones'!A246</x:f>
        <x:v>Centro Poniente</x:v>
      </x:c>
      <x:c r="C246" s="45" t="str">
        <x:f>'Ubicaciones'!B246</x:f>
        <x:v>José de Jesús Magos Arzaluz</x:v>
      </x:c>
      <x:c r="D246" s="45" t="str">
        <x:f>IF(COUNTIFS('Catalogos'!$A$2:$A$41,B246,'Catalogos'!$B$2:$B$41,C246)&gt;0,"Correcta","Revisar Región DM")</x:f>
        <x:v>Correcta</x:v>
      </x:c>
      <x:c r="E246" s="45" t="str">
        <x:f>IF(COUNTIFS('Ubicaciones'!$C$2:$C$10001,A246)=1,"Único","Duplicado")</x:f>
        <x:v>Único</x:v>
      </x:c>
      <x:c r="F246" s="45" t="str">
        <x:f>IF('Ubicaciones'!T246=1,"Ubicable",IF(OR('Ubicaciones'!E246="Abierta",'Ubicaciones'!E246="Próxima Apertura"),"Coordenadas o activa pendientes","Fuera por estatus"))</x:f>
        <x:v>Ubicable</x:v>
      </x:c>
    </x:row>
    <x:row r="247" ht="23" customHeight="1">
      <x:c r="A247" s="45" t="str">
        <x:f>'Ubicaciones'!C247</x:f>
        <x:v>38445</x:v>
      </x:c>
      <x:c r="B247" s="45" t="str">
        <x:f>'Ubicaciones'!A247</x:f>
        <x:v>Centro Poniente</x:v>
      </x:c>
      <x:c r="C247" s="45" t="str">
        <x:f>'Ubicaciones'!B247</x:f>
        <x:v>José de Jesús Magos Arzaluz</x:v>
      </x:c>
      <x:c r="D247" s="45" t="str">
        <x:f>IF(COUNTIFS('Catalogos'!$A$2:$A$41,B247,'Catalogos'!$B$2:$B$41,C247)&gt;0,"Correcta","Revisar Región DM")</x:f>
        <x:v>Correcta</x:v>
      </x:c>
      <x:c r="E247" s="45" t="str">
        <x:f>IF(COUNTIFS('Ubicaciones'!$C$2:$C$10001,A247)=1,"Único","Duplicado")</x:f>
        <x:v>Único</x:v>
      </x:c>
      <x:c r="F247" s="45" t="str">
        <x:f>IF('Ubicaciones'!T247=1,"Ubicable",IF(OR('Ubicaciones'!E247="Abierta",'Ubicaciones'!E247="Próxima Apertura"),"Coordenadas o activa pendientes","Fuera por estatus"))</x:f>
        <x:v>Ubicable</x:v>
      </x:c>
    </x:row>
    <x:row r="248" ht="23" customHeight="1">
      <x:c r="A248" s="45" t="str">
        <x:f>'Ubicaciones'!C248</x:f>
        <x:v>38512</x:v>
      </x:c>
      <x:c r="B248" s="45" t="str">
        <x:f>'Ubicaciones'!A248</x:f>
        <x:v>Centro Poniente</x:v>
      </x:c>
      <x:c r="C248" s="45" t="str">
        <x:f>'Ubicaciones'!B248</x:f>
        <x:v>José de Jesús Magos Arzaluz</x:v>
      </x:c>
      <x:c r="D248" s="45" t="str">
        <x:f>IF(COUNTIFS('Catalogos'!$A$2:$A$41,B248,'Catalogos'!$B$2:$B$41,C248)&gt;0,"Correcta","Revisar Región DM")</x:f>
        <x:v>Correcta</x:v>
      </x:c>
      <x:c r="E248" s="45" t="str">
        <x:f>IF(COUNTIFS('Ubicaciones'!$C$2:$C$10001,A248)=1,"Único","Duplicado")</x:f>
        <x:v>Único</x:v>
      </x:c>
      <x:c r="F248" s="45" t="str">
        <x:f>IF('Ubicaciones'!T248=1,"Ubicable",IF(OR('Ubicaciones'!E248="Abierta",'Ubicaciones'!E248="Próxima Apertura"),"Coordenadas o activa pendientes","Fuera por estatus"))</x:f>
        <x:v>Ubicable</x:v>
      </x:c>
    </x:row>
    <x:row r="249" ht="23" customHeight="1">
      <x:c r="A249" s="45" t="str">
        <x:f>'Ubicaciones'!C249</x:f>
        <x:v>38532</x:v>
      </x:c>
      <x:c r="B249" s="45" t="str">
        <x:f>'Ubicaciones'!A249</x:f>
        <x:v>Centro Poniente</x:v>
      </x:c>
      <x:c r="C249" s="45" t="str">
        <x:f>'Ubicaciones'!B249</x:f>
        <x:v>José de Jesús Magos Arzaluz</x:v>
      </x:c>
      <x:c r="D249" s="45" t="str">
        <x:f>IF(COUNTIFS('Catalogos'!$A$2:$A$41,B249,'Catalogos'!$B$2:$B$41,C249)&gt;0,"Correcta","Revisar Región DM")</x:f>
        <x:v>Correcta</x:v>
      </x:c>
      <x:c r="E249" s="45" t="str">
        <x:f>IF(COUNTIFS('Ubicaciones'!$C$2:$C$10001,A249)=1,"Único","Duplicado")</x:f>
        <x:v>Único</x:v>
      </x:c>
      <x:c r="F249" s="45" t="str">
        <x:f>IF('Ubicaciones'!T249=1,"Ubicable",IF(OR('Ubicaciones'!E249="Abierta",'Ubicaciones'!E249="Próxima Apertura"),"Coordenadas o activa pendientes","Fuera por estatus"))</x:f>
        <x:v>Ubicable</x:v>
      </x:c>
    </x:row>
    <x:row r="250" ht="23" customHeight="1">
      <x:c r="A250" s="45" t="str">
        <x:f>'Ubicaciones'!C250</x:f>
        <x:v>38751</x:v>
      </x:c>
      <x:c r="B250" s="45" t="str">
        <x:f>'Ubicaciones'!A250</x:f>
        <x:v>Centro Poniente</x:v>
      </x:c>
      <x:c r="C250" s="45" t="str">
        <x:f>'Ubicaciones'!B250</x:f>
        <x:v>José de Jesús Magos Arzaluz</x:v>
      </x:c>
      <x:c r="D250" s="45" t="str">
        <x:f>IF(COUNTIFS('Catalogos'!$A$2:$A$41,B250,'Catalogos'!$B$2:$B$41,C250)&gt;0,"Correcta","Revisar Región DM")</x:f>
        <x:v>Correcta</x:v>
      </x:c>
      <x:c r="E250" s="45" t="str">
        <x:f>IF(COUNTIFS('Ubicaciones'!$C$2:$C$10001,A250)=1,"Único","Duplicado")</x:f>
        <x:v>Único</x:v>
      </x:c>
      <x:c r="F250" s="45" t="str">
        <x:f>IF('Ubicaciones'!T250=1,"Ubicable",IF(OR('Ubicaciones'!E250="Abierta",'Ubicaciones'!E250="Próxima Apertura"),"Coordenadas o activa pendientes","Fuera por estatus"))</x:f>
        <x:v>Ubicable</x:v>
      </x:c>
    </x:row>
    <x:row r="251" ht="23" customHeight="1">
      <x:c r="A251" s="45" t="str">
        <x:f>'Ubicaciones'!C251</x:f>
        <x:v>38755</x:v>
      </x:c>
      <x:c r="B251" s="45" t="str">
        <x:f>'Ubicaciones'!A251</x:f>
        <x:v>Centro Poniente</x:v>
      </x:c>
      <x:c r="C251" s="45" t="str">
        <x:f>'Ubicaciones'!B251</x:f>
        <x:v>José de Jesús Magos Arzaluz</x:v>
      </x:c>
      <x:c r="D251" s="45" t="str">
        <x:f>IF(COUNTIFS('Catalogos'!$A$2:$A$41,B251,'Catalogos'!$B$2:$B$41,C251)&gt;0,"Correcta","Revisar Región DM")</x:f>
        <x:v>Correcta</x:v>
      </x:c>
      <x:c r="E251" s="45" t="str">
        <x:f>IF(COUNTIFS('Ubicaciones'!$C$2:$C$10001,A251)=1,"Único","Duplicado")</x:f>
        <x:v>Único</x:v>
      </x:c>
      <x:c r="F251" s="45" t="str">
        <x:f>IF('Ubicaciones'!T251=1,"Ubicable",IF(OR('Ubicaciones'!E251="Abierta",'Ubicaciones'!E251="Próxima Apertura"),"Coordenadas o activa pendientes","Fuera por estatus"))</x:f>
        <x:v>Ubicable</x:v>
      </x:c>
    </x:row>
    <x:row r="252" ht="23" customHeight="1">
      <x:c r="A252" s="45" t="str">
        <x:f>'Ubicaciones'!C252</x:f>
        <x:v>38777</x:v>
      </x:c>
      <x:c r="B252" s="45" t="str">
        <x:f>'Ubicaciones'!A252</x:f>
        <x:v>Centro Poniente</x:v>
      </x:c>
      <x:c r="C252" s="45" t="str">
        <x:f>'Ubicaciones'!B252</x:f>
        <x:v>José de Jesús Magos Arzaluz</x:v>
      </x:c>
      <x:c r="D252" s="45" t="str">
        <x:f>IF(COUNTIFS('Catalogos'!$A$2:$A$41,B252,'Catalogos'!$B$2:$B$41,C252)&gt;0,"Correcta","Revisar Región DM")</x:f>
        <x:v>Correcta</x:v>
      </x:c>
      <x:c r="E252" s="45" t="str">
        <x:f>IF(COUNTIFS('Ubicaciones'!$C$2:$C$10001,A252)=1,"Único","Duplicado")</x:f>
        <x:v>Único</x:v>
      </x:c>
      <x:c r="F252" s="45" t="str">
        <x:f>IF('Ubicaciones'!T252=1,"Ubicable",IF(OR('Ubicaciones'!E252="Abierta",'Ubicaciones'!E252="Próxima Apertura"),"Coordenadas o activa pendientes","Fuera por estatus"))</x:f>
        <x:v>Ubicable</x:v>
      </x:c>
    </x:row>
    <x:row r="253" ht="23" customHeight="1">
      <x:c r="A253" s="45" t="str">
        <x:f>'Ubicaciones'!C253</x:f>
        <x:v>38780</x:v>
      </x:c>
      <x:c r="B253" s="45" t="str">
        <x:f>'Ubicaciones'!A253</x:f>
        <x:v>Centro Poniente</x:v>
      </x:c>
      <x:c r="C253" s="45" t="str">
        <x:f>'Ubicaciones'!B253</x:f>
        <x:v>José de Jesús Magos Arzaluz</x:v>
      </x:c>
      <x:c r="D253" s="45" t="str">
        <x:f>IF(COUNTIFS('Catalogos'!$A$2:$A$41,B253,'Catalogos'!$B$2:$B$41,C253)&gt;0,"Correcta","Revisar Región DM")</x:f>
        <x:v>Correcta</x:v>
      </x:c>
      <x:c r="E253" s="45" t="str">
        <x:f>IF(COUNTIFS('Ubicaciones'!$C$2:$C$10001,A253)=1,"Único","Duplicado")</x:f>
        <x:v>Único</x:v>
      </x:c>
      <x:c r="F253" s="45" t="str">
        <x:f>IF('Ubicaciones'!T253=1,"Ubicable",IF(OR('Ubicaciones'!E253="Abierta",'Ubicaciones'!E253="Próxima Apertura"),"Coordenadas o activa pendientes","Fuera por estatus"))</x:f>
        <x:v>Ubicable</x:v>
      </x:c>
    </x:row>
    <x:row r="254" ht="23" customHeight="1">
      <x:c r="A254" s="45" t="str">
        <x:f>'Ubicaciones'!C254</x:f>
        <x:v>38798</x:v>
      </x:c>
      <x:c r="B254" s="45" t="str">
        <x:f>'Ubicaciones'!A254</x:f>
        <x:v>Centro Poniente</x:v>
      </x:c>
      <x:c r="C254" s="45" t="str">
        <x:f>'Ubicaciones'!B254</x:f>
        <x:v>José de Jesús Magos Arzaluz</x:v>
      </x:c>
      <x:c r="D254" s="45" t="str">
        <x:f>IF(COUNTIFS('Catalogos'!$A$2:$A$41,B254,'Catalogos'!$B$2:$B$41,C254)&gt;0,"Correcta","Revisar Región DM")</x:f>
        <x:v>Correcta</x:v>
      </x:c>
      <x:c r="E254" s="45" t="str">
        <x:f>IF(COUNTIFS('Ubicaciones'!$C$2:$C$10001,A254)=1,"Único","Duplicado")</x:f>
        <x:v>Único</x:v>
      </x:c>
      <x:c r="F254" s="45" t="str">
        <x:f>IF('Ubicaciones'!T254=1,"Ubicable",IF(OR('Ubicaciones'!E254="Abierta",'Ubicaciones'!E254="Próxima Apertura"),"Coordenadas o activa pendientes","Fuera por estatus"))</x:f>
        <x:v>Ubicable</x:v>
      </x:c>
    </x:row>
    <x:row r="255" ht="23" customHeight="1">
      <x:c r="A255" s="45" t="str">
        <x:f>'Ubicaciones'!C255</x:f>
        <x:v>38810</x:v>
      </x:c>
      <x:c r="B255" s="45" t="str">
        <x:f>'Ubicaciones'!A255</x:f>
        <x:v>Centro Poniente</x:v>
      </x:c>
      <x:c r="C255" s="45" t="str">
        <x:f>'Ubicaciones'!B255</x:f>
        <x:v>José de Jesús Magos Arzaluz</x:v>
      </x:c>
      <x:c r="D255" s="45" t="str">
        <x:f>IF(COUNTIFS('Catalogos'!$A$2:$A$41,B255,'Catalogos'!$B$2:$B$41,C255)&gt;0,"Correcta","Revisar Región DM")</x:f>
        <x:v>Correcta</x:v>
      </x:c>
      <x:c r="E255" s="45" t="str">
        <x:f>IF(COUNTIFS('Ubicaciones'!$C$2:$C$10001,A255)=1,"Único","Duplicado")</x:f>
        <x:v>Único</x:v>
      </x:c>
      <x:c r="F255" s="45" t="str">
        <x:f>IF('Ubicaciones'!T255=1,"Ubicable",IF(OR('Ubicaciones'!E255="Abierta",'Ubicaciones'!E255="Próxima Apertura"),"Coordenadas o activa pendientes","Fuera por estatus"))</x:f>
        <x:v>Ubicable</x:v>
      </x:c>
    </x:row>
    <x:row r="256" ht="23" customHeight="1">
      <x:c r="A256" s="45" t="str">
        <x:f>'Ubicaciones'!C256</x:f>
        <x:v>38929</x:v>
      </x:c>
      <x:c r="B256" s="45" t="str">
        <x:f>'Ubicaciones'!A256</x:f>
        <x:v>Centro Poniente</x:v>
      </x:c>
      <x:c r="C256" s="45" t="str">
        <x:f>'Ubicaciones'!B256</x:f>
        <x:v>José de Jesús Magos Arzaluz</x:v>
      </x:c>
      <x:c r="D256" s="45" t="str">
        <x:f>IF(COUNTIFS('Catalogos'!$A$2:$A$41,B256,'Catalogos'!$B$2:$B$41,C256)&gt;0,"Correcta","Revisar Región DM")</x:f>
        <x:v>Correcta</x:v>
      </x:c>
      <x:c r="E256" s="45" t="str">
        <x:f>IF(COUNTIFS('Ubicaciones'!$C$2:$C$10001,A256)=1,"Único","Duplicado")</x:f>
        <x:v>Único</x:v>
      </x:c>
      <x:c r="F256" s="45" t="str">
        <x:f>IF('Ubicaciones'!T256=1,"Ubicable",IF(OR('Ubicaciones'!E256="Abierta",'Ubicaciones'!E256="Próxima Apertura"),"Coordenadas o activa pendientes","Fuera por estatus"))</x:f>
        <x:v>Ubicable</x:v>
      </x:c>
    </x:row>
    <x:row r="257" ht="23" customHeight="1">
      <x:c r="A257" s="45" t="str">
        <x:f>'Ubicaciones'!C257</x:f>
        <x:v>43162</x:v>
      </x:c>
      <x:c r="B257" s="45" t="str">
        <x:f>'Ubicaciones'!A257</x:f>
        <x:v>Centro Poniente</x:v>
      </x:c>
      <x:c r="C257" s="45" t="str">
        <x:f>'Ubicaciones'!B257</x:f>
        <x:v>José de Jesús Magos Arzaluz</x:v>
      </x:c>
      <x:c r="D257" s="45" t="str">
        <x:f>IF(COUNTIFS('Catalogos'!$A$2:$A$41,B257,'Catalogos'!$B$2:$B$41,C257)&gt;0,"Correcta","Revisar Región DM")</x:f>
        <x:v>Correcta</x:v>
      </x:c>
      <x:c r="E257" s="45" t="str">
        <x:f>IF(COUNTIFS('Ubicaciones'!$C$2:$C$10001,A257)=1,"Único","Duplicado")</x:f>
        <x:v>Único</x:v>
      </x:c>
      <x:c r="F257" s="45" t="str">
        <x:f>IF('Ubicaciones'!T257=1,"Ubicable",IF(OR('Ubicaciones'!E257="Abierta",'Ubicaciones'!E257="Próxima Apertura"),"Coordenadas o activa pendientes","Fuera por estatus"))</x:f>
        <x:v>Ubicable</x:v>
      </x:c>
    </x:row>
    <x:row r="258" ht="23" customHeight="1">
      <x:c r="A258" s="45" t="str">
        <x:f>'Ubicaciones'!C258</x:f>
        <x:v>38193</x:v>
      </x:c>
      <x:c r="B258" s="45" t="str">
        <x:f>'Ubicaciones'!A258</x:f>
        <x:v>Centro Poniente</x:v>
      </x:c>
      <x:c r="C258" s="45" t="str">
        <x:f>'Ubicaciones'!B258</x:f>
        <x:v>Juan Jesus Zuñiga Flores</x:v>
      </x:c>
      <x:c r="D258" s="45" t="str">
        <x:f>IF(COUNTIFS('Catalogos'!$A$2:$A$41,B258,'Catalogos'!$B$2:$B$41,C258)&gt;0,"Correcta","Revisar Región DM")</x:f>
        <x:v>Correcta</x:v>
      </x:c>
      <x:c r="E258" s="45" t="str">
        <x:f>IF(COUNTIFS('Ubicaciones'!$C$2:$C$10001,A258)=1,"Único","Duplicado")</x:f>
        <x:v>Único</x:v>
      </x:c>
      <x:c r="F258" s="45" t="str">
        <x:f>IF('Ubicaciones'!T258=1,"Ubicable",IF(OR('Ubicaciones'!E258="Abierta",'Ubicaciones'!E258="Próxima Apertura"),"Coordenadas o activa pendientes","Fuera por estatus"))</x:f>
        <x:v>Ubicable</x:v>
      </x:c>
    </x:row>
    <x:row r="259" ht="23" customHeight="1">
      <x:c r="A259" s="45" t="str">
        <x:f>'Ubicaciones'!C259</x:f>
        <x:v>38372</x:v>
      </x:c>
      <x:c r="B259" s="45" t="str">
        <x:f>'Ubicaciones'!A259</x:f>
        <x:v>Centro Poniente</x:v>
      </x:c>
      <x:c r="C259" s="45" t="str">
        <x:f>'Ubicaciones'!B259</x:f>
        <x:v>Juan Jesus Zuñiga Flores</x:v>
      </x:c>
      <x:c r="D259" s="45" t="str">
        <x:f>IF(COUNTIFS('Catalogos'!$A$2:$A$41,B259,'Catalogos'!$B$2:$B$41,C259)&gt;0,"Correcta","Revisar Región DM")</x:f>
        <x:v>Correcta</x:v>
      </x:c>
      <x:c r="E259" s="45" t="str">
        <x:f>IF(COUNTIFS('Ubicaciones'!$C$2:$C$10001,A259)=1,"Único","Duplicado")</x:f>
        <x:v>Único</x:v>
      </x:c>
      <x:c r="F259" s="45" t="str">
        <x:f>IF('Ubicaciones'!T259=1,"Ubicable",IF(OR('Ubicaciones'!E259="Abierta",'Ubicaciones'!E259="Próxima Apertura"),"Coordenadas o activa pendientes","Fuera por estatus"))</x:f>
        <x:v>Ubicable</x:v>
      </x:c>
    </x:row>
    <x:row r="260" ht="23" customHeight="1">
      <x:c r="A260" s="45" t="str">
        <x:f>'Ubicaciones'!C260</x:f>
        <x:v>38416</x:v>
      </x:c>
      <x:c r="B260" s="45" t="str">
        <x:f>'Ubicaciones'!A260</x:f>
        <x:v>Centro Poniente</x:v>
      </x:c>
      <x:c r="C260" s="45" t="str">
        <x:f>'Ubicaciones'!B260</x:f>
        <x:v>Juan Jesus Zuñiga Flores</x:v>
      </x:c>
      <x:c r="D260" s="45" t="str">
        <x:f>IF(COUNTIFS('Catalogos'!$A$2:$A$41,B260,'Catalogos'!$B$2:$B$41,C260)&gt;0,"Correcta","Revisar Región DM")</x:f>
        <x:v>Correcta</x:v>
      </x:c>
      <x:c r="E260" s="45" t="str">
        <x:f>IF(COUNTIFS('Ubicaciones'!$C$2:$C$10001,A260)=1,"Único","Duplicado")</x:f>
        <x:v>Único</x:v>
      </x:c>
      <x:c r="F260" s="45" t="str">
        <x:f>IF('Ubicaciones'!T260=1,"Ubicable",IF(OR('Ubicaciones'!E260="Abierta",'Ubicaciones'!E260="Próxima Apertura"),"Coordenadas o activa pendientes","Fuera por estatus"))</x:f>
        <x:v>Ubicable</x:v>
      </x:c>
    </x:row>
    <x:row r="261" ht="23" customHeight="1">
      <x:c r="A261" s="45" t="str">
        <x:f>'Ubicaciones'!C261</x:f>
        <x:v>38499</x:v>
      </x:c>
      <x:c r="B261" s="45" t="str">
        <x:f>'Ubicaciones'!A261</x:f>
        <x:v>Centro Poniente</x:v>
      </x:c>
      <x:c r="C261" s="45" t="str">
        <x:f>'Ubicaciones'!B261</x:f>
        <x:v>Juan Jesus Zuñiga Flores</x:v>
      </x:c>
      <x:c r="D261" s="45" t="str">
        <x:f>IF(COUNTIFS('Catalogos'!$A$2:$A$41,B261,'Catalogos'!$B$2:$B$41,C261)&gt;0,"Correcta","Revisar Región DM")</x:f>
        <x:v>Correcta</x:v>
      </x:c>
      <x:c r="E261" s="45" t="str">
        <x:f>IF(COUNTIFS('Ubicaciones'!$C$2:$C$10001,A261)=1,"Único","Duplicado")</x:f>
        <x:v>Único</x:v>
      </x:c>
      <x:c r="F261" s="45" t="str">
        <x:f>IF('Ubicaciones'!T261=1,"Ubicable",IF(OR('Ubicaciones'!E261="Abierta",'Ubicaciones'!E261="Próxima Apertura"),"Coordenadas o activa pendientes","Fuera por estatus"))</x:f>
        <x:v>Ubicable</x:v>
      </x:c>
    </x:row>
    <x:row r="262" ht="23" customHeight="1">
      <x:c r="A262" s="45" t="str">
        <x:f>'Ubicaciones'!C262</x:f>
        <x:v>38530</x:v>
      </x:c>
      <x:c r="B262" s="45" t="str">
        <x:f>'Ubicaciones'!A262</x:f>
        <x:v>Centro Poniente</x:v>
      </x:c>
      <x:c r="C262" s="45" t="str">
        <x:f>'Ubicaciones'!B262</x:f>
        <x:v>Juan Jesus Zuñiga Flores</x:v>
      </x:c>
      <x:c r="D262" s="45" t="str">
        <x:f>IF(COUNTIFS('Catalogos'!$A$2:$A$41,B262,'Catalogos'!$B$2:$B$41,C262)&gt;0,"Correcta","Revisar Región DM")</x:f>
        <x:v>Correcta</x:v>
      </x:c>
      <x:c r="E262" s="45" t="str">
        <x:f>IF(COUNTIFS('Ubicaciones'!$C$2:$C$10001,A262)=1,"Único","Duplicado")</x:f>
        <x:v>Único</x:v>
      </x:c>
      <x:c r="F262" s="45" t="str">
        <x:f>IF('Ubicaciones'!T262=1,"Ubicable",IF(OR('Ubicaciones'!E262="Abierta",'Ubicaciones'!E262="Próxima Apertura"),"Coordenadas o activa pendientes","Fuera por estatus"))</x:f>
        <x:v>Ubicable</x:v>
      </x:c>
    </x:row>
    <x:row r="263" ht="23" customHeight="1">
      <x:c r="A263" s="45" t="str">
        <x:f>'Ubicaciones'!C263</x:f>
        <x:v>38549</x:v>
      </x:c>
      <x:c r="B263" s="45" t="str">
        <x:f>'Ubicaciones'!A263</x:f>
        <x:v>Centro Poniente</x:v>
      </x:c>
      <x:c r="C263" s="45" t="str">
        <x:f>'Ubicaciones'!B263</x:f>
        <x:v>Juan Jesus Zuñiga Flores</x:v>
      </x:c>
      <x:c r="D263" s="45" t="str">
        <x:f>IF(COUNTIFS('Catalogos'!$A$2:$A$41,B263,'Catalogos'!$B$2:$B$41,C263)&gt;0,"Correcta","Revisar Región DM")</x:f>
        <x:v>Correcta</x:v>
      </x:c>
      <x:c r="E263" s="45" t="str">
        <x:f>IF(COUNTIFS('Ubicaciones'!$C$2:$C$10001,A263)=1,"Único","Duplicado")</x:f>
        <x:v>Único</x:v>
      </x:c>
      <x:c r="F263" s="45" t="str">
        <x:f>IF('Ubicaciones'!T263=1,"Ubicable",IF(OR('Ubicaciones'!E263="Abierta",'Ubicaciones'!E263="Próxima Apertura"),"Coordenadas o activa pendientes","Fuera por estatus"))</x:f>
        <x:v>Ubicable</x:v>
      </x:c>
    </x:row>
    <x:row r="264" ht="23" customHeight="1">
      <x:c r="A264" s="45" t="str">
        <x:f>'Ubicaciones'!C264</x:f>
        <x:v>38587</x:v>
      </x:c>
      <x:c r="B264" s="45" t="str">
        <x:f>'Ubicaciones'!A264</x:f>
        <x:v>Centro Poniente</x:v>
      </x:c>
      <x:c r="C264" s="45" t="str">
        <x:f>'Ubicaciones'!B264</x:f>
        <x:v>Juan Jesus Zuñiga Flores</x:v>
      </x:c>
      <x:c r="D264" s="45" t="str">
        <x:f>IF(COUNTIFS('Catalogos'!$A$2:$A$41,B264,'Catalogos'!$B$2:$B$41,C264)&gt;0,"Correcta","Revisar Región DM")</x:f>
        <x:v>Correcta</x:v>
      </x:c>
      <x:c r="E264" s="45" t="str">
        <x:f>IF(COUNTIFS('Ubicaciones'!$C$2:$C$10001,A264)=1,"Único","Duplicado")</x:f>
        <x:v>Único</x:v>
      </x:c>
      <x:c r="F264" s="45" t="str">
        <x:f>IF('Ubicaciones'!T264=1,"Ubicable",IF(OR('Ubicaciones'!E264="Abierta",'Ubicaciones'!E264="Próxima Apertura"),"Coordenadas o activa pendientes","Fuera por estatus"))</x:f>
        <x:v>Ubicable</x:v>
      </x:c>
    </x:row>
    <x:row r="265" ht="23" customHeight="1">
      <x:c r="A265" s="45" t="str">
        <x:f>'Ubicaciones'!C265</x:f>
        <x:v>38715</x:v>
      </x:c>
      <x:c r="B265" s="45" t="str">
        <x:f>'Ubicaciones'!A265</x:f>
        <x:v>Centro Poniente</x:v>
      </x:c>
      <x:c r="C265" s="45" t="str">
        <x:f>'Ubicaciones'!B265</x:f>
        <x:v>Juan Jesus Zuñiga Flores</x:v>
      </x:c>
      <x:c r="D265" s="45" t="str">
        <x:f>IF(COUNTIFS('Catalogos'!$A$2:$A$41,B265,'Catalogos'!$B$2:$B$41,C265)&gt;0,"Correcta","Revisar Región DM")</x:f>
        <x:v>Correcta</x:v>
      </x:c>
      <x:c r="E265" s="45" t="str">
        <x:f>IF(COUNTIFS('Ubicaciones'!$C$2:$C$10001,A265)=1,"Único","Duplicado")</x:f>
        <x:v>Único</x:v>
      </x:c>
      <x:c r="F265" s="45" t="str">
        <x:f>IF('Ubicaciones'!T265=1,"Ubicable",IF(OR('Ubicaciones'!E265="Abierta",'Ubicaciones'!E265="Próxima Apertura"),"Coordenadas o activa pendientes","Fuera por estatus"))</x:f>
        <x:v>Ubicable</x:v>
      </x:c>
    </x:row>
    <x:row r="266" ht="23" customHeight="1">
      <x:c r="A266" s="45" t="str">
        <x:f>'Ubicaciones'!C266</x:f>
        <x:v>38764</x:v>
      </x:c>
      <x:c r="B266" s="45" t="str">
        <x:f>'Ubicaciones'!A266</x:f>
        <x:v>Centro Poniente</x:v>
      </x:c>
      <x:c r="C266" s="45" t="str">
        <x:f>'Ubicaciones'!B266</x:f>
        <x:v>Juan Jesus Zuñiga Flores</x:v>
      </x:c>
      <x:c r="D266" s="45" t="str">
        <x:f>IF(COUNTIFS('Catalogos'!$A$2:$A$41,B266,'Catalogos'!$B$2:$B$41,C266)&gt;0,"Correcta","Revisar Región DM")</x:f>
        <x:v>Correcta</x:v>
      </x:c>
      <x:c r="E266" s="45" t="str">
        <x:f>IF(COUNTIFS('Ubicaciones'!$C$2:$C$10001,A266)=1,"Único","Duplicado")</x:f>
        <x:v>Único</x:v>
      </x:c>
      <x:c r="F266" s="45" t="str">
        <x:f>IF('Ubicaciones'!T266=1,"Ubicable",IF(OR('Ubicaciones'!E266="Abierta",'Ubicaciones'!E266="Próxima Apertura"),"Coordenadas o activa pendientes","Fuera por estatus"))</x:f>
        <x:v>Ubicable</x:v>
      </x:c>
    </x:row>
    <x:row r="267" ht="23" customHeight="1">
      <x:c r="A267" s="45" t="str">
        <x:f>'Ubicaciones'!C267</x:f>
        <x:v>38951</x:v>
      </x:c>
      <x:c r="B267" s="45" t="str">
        <x:f>'Ubicaciones'!A267</x:f>
        <x:v>Centro Poniente</x:v>
      </x:c>
      <x:c r="C267" s="45" t="str">
        <x:f>'Ubicaciones'!B267</x:f>
        <x:v>Juan Jesus Zuñiga Flores</x:v>
      </x:c>
      <x:c r="D267" s="45" t="str">
        <x:f>IF(COUNTIFS('Catalogos'!$A$2:$A$41,B267,'Catalogos'!$B$2:$B$41,C267)&gt;0,"Correcta","Revisar Región DM")</x:f>
        <x:v>Correcta</x:v>
      </x:c>
      <x:c r="E267" s="45" t="str">
        <x:f>IF(COUNTIFS('Ubicaciones'!$C$2:$C$10001,A267)=1,"Único","Duplicado")</x:f>
        <x:v>Único</x:v>
      </x:c>
      <x:c r="F267" s="45" t="str">
        <x:f>IF('Ubicaciones'!T267=1,"Ubicable",IF(OR('Ubicaciones'!E267="Abierta",'Ubicaciones'!E267="Próxima Apertura"),"Coordenadas o activa pendientes","Fuera por estatus"))</x:f>
        <x:v>Ubicable</x:v>
      </x:c>
    </x:row>
    <x:row r="268" ht="23" customHeight="1">
      <x:c r="A268" s="45" t="str">
        <x:f>'Ubicaciones'!C268</x:f>
        <x:v>43105</x:v>
      </x:c>
      <x:c r="B268" s="45" t="str">
        <x:f>'Ubicaciones'!A268</x:f>
        <x:v>Centro Poniente</x:v>
      </x:c>
      <x:c r="C268" s="45" t="str">
        <x:f>'Ubicaciones'!B268</x:f>
        <x:v>Juan Jesus Zuñiga Flores</x:v>
      </x:c>
      <x:c r="D268" s="45" t="str">
        <x:f>IF(COUNTIFS('Catalogos'!$A$2:$A$41,B268,'Catalogos'!$B$2:$B$41,C268)&gt;0,"Correcta","Revisar Región DM")</x:f>
        <x:v>Correcta</x:v>
      </x:c>
      <x:c r="E268" s="45" t="str">
        <x:f>IF(COUNTIFS('Ubicaciones'!$C$2:$C$10001,A268)=1,"Único","Duplicado")</x:f>
        <x:v>Único</x:v>
      </x:c>
      <x:c r="F268" s="45" t="str">
        <x:f>IF('Ubicaciones'!T268=1,"Ubicable",IF(OR('Ubicaciones'!E268="Abierta",'Ubicaciones'!E268="Próxima Apertura"),"Coordenadas o activa pendientes","Fuera por estatus"))</x:f>
        <x:v>Ubicable</x:v>
      </x:c>
    </x:row>
    <x:row r="269" ht="23" customHeight="1">
      <x:c r="A269" s="45" t="str">
        <x:f>'Ubicaciones'!C269</x:f>
        <x:v>38121</x:v>
      </x:c>
      <x:c r="B269" s="45" t="str">
        <x:f>'Ubicaciones'!A269</x:f>
        <x:v>Centro Poniente</x:v>
      </x:c>
      <x:c r="C269" s="45" t="str">
        <x:f>'Ubicaciones'!B269</x:f>
        <x:v>Manuel Alejandro Avila Molina</x:v>
      </x:c>
      <x:c r="D269" s="45" t="str">
        <x:f>IF(COUNTIFS('Catalogos'!$A$2:$A$41,B269,'Catalogos'!$B$2:$B$41,C269)&gt;0,"Correcta","Revisar Región DM")</x:f>
        <x:v>Correcta</x:v>
      </x:c>
      <x:c r="E269" s="45" t="str">
        <x:f>IF(COUNTIFS('Ubicaciones'!$C$2:$C$10001,A269)=1,"Único","Duplicado")</x:f>
        <x:v>Único</x:v>
      </x:c>
      <x:c r="F269" s="45" t="str">
        <x:f>IF('Ubicaciones'!T269=1,"Ubicable",IF(OR('Ubicaciones'!E269="Abierta",'Ubicaciones'!E269="Próxima Apertura"),"Coordenadas o activa pendientes","Fuera por estatus"))</x:f>
        <x:v>Ubicable</x:v>
      </x:c>
    </x:row>
    <x:row r="270" ht="23" customHeight="1">
      <x:c r="A270" s="45" t="str">
        <x:f>'Ubicaciones'!C270</x:f>
        <x:v>38366</x:v>
      </x:c>
      <x:c r="B270" s="45" t="str">
        <x:f>'Ubicaciones'!A270</x:f>
        <x:v>Centro Poniente</x:v>
      </x:c>
      <x:c r="C270" s="45" t="str">
        <x:f>'Ubicaciones'!B270</x:f>
        <x:v>Manuel Alejandro Avila Molina</x:v>
      </x:c>
      <x:c r="D270" s="45" t="str">
        <x:f>IF(COUNTIFS('Catalogos'!$A$2:$A$41,B270,'Catalogos'!$B$2:$B$41,C270)&gt;0,"Correcta","Revisar Región DM")</x:f>
        <x:v>Correcta</x:v>
      </x:c>
      <x:c r="E270" s="45" t="str">
        <x:f>IF(COUNTIFS('Ubicaciones'!$C$2:$C$10001,A270)=1,"Único","Duplicado")</x:f>
        <x:v>Único</x:v>
      </x:c>
      <x:c r="F270" s="45" t="str">
        <x:f>IF('Ubicaciones'!T270=1,"Ubicable",IF(OR('Ubicaciones'!E270="Abierta",'Ubicaciones'!E270="Próxima Apertura"),"Coordenadas o activa pendientes","Fuera por estatus"))</x:f>
        <x:v>Ubicable</x:v>
      </x:c>
    </x:row>
    <x:row r="271" ht="23" customHeight="1">
      <x:c r="A271" s="45" t="str">
        <x:f>'Ubicaciones'!C271</x:f>
        <x:v>38386</x:v>
      </x:c>
      <x:c r="B271" s="45" t="str">
        <x:f>'Ubicaciones'!A271</x:f>
        <x:v>Centro Poniente</x:v>
      </x:c>
      <x:c r="C271" s="45" t="str">
        <x:f>'Ubicaciones'!B271</x:f>
        <x:v>Manuel Alejandro Avila Molina</x:v>
      </x:c>
      <x:c r="D271" s="45" t="str">
        <x:f>IF(COUNTIFS('Catalogos'!$A$2:$A$41,B271,'Catalogos'!$B$2:$B$41,C271)&gt;0,"Correcta","Revisar Región DM")</x:f>
        <x:v>Correcta</x:v>
      </x:c>
      <x:c r="E271" s="45" t="str">
        <x:f>IF(COUNTIFS('Ubicaciones'!$C$2:$C$10001,A271)=1,"Único","Duplicado")</x:f>
        <x:v>Único</x:v>
      </x:c>
      <x:c r="F271" s="45" t="str">
        <x:f>IF('Ubicaciones'!T271=1,"Ubicable",IF(OR('Ubicaciones'!E271="Abierta",'Ubicaciones'!E271="Próxima Apertura"),"Coordenadas o activa pendientes","Fuera por estatus"))</x:f>
        <x:v>Ubicable</x:v>
      </x:c>
    </x:row>
    <x:row r="272" ht="23" customHeight="1">
      <x:c r="A272" s="45" t="str">
        <x:f>'Ubicaciones'!C272</x:f>
        <x:v>38461</x:v>
      </x:c>
      <x:c r="B272" s="45" t="str">
        <x:f>'Ubicaciones'!A272</x:f>
        <x:v>Centro Poniente</x:v>
      </x:c>
      <x:c r="C272" s="45" t="str">
        <x:f>'Ubicaciones'!B272</x:f>
        <x:v>Manuel Alejandro Avila Molina</x:v>
      </x:c>
      <x:c r="D272" s="45" t="str">
        <x:f>IF(COUNTIFS('Catalogos'!$A$2:$A$41,B272,'Catalogos'!$B$2:$B$41,C272)&gt;0,"Correcta","Revisar Región DM")</x:f>
        <x:v>Correcta</x:v>
      </x:c>
      <x:c r="E272" s="45" t="str">
        <x:f>IF(COUNTIFS('Ubicaciones'!$C$2:$C$10001,A272)=1,"Único","Duplicado")</x:f>
        <x:v>Único</x:v>
      </x:c>
      <x:c r="F272" s="45" t="str">
        <x:f>IF('Ubicaciones'!T272=1,"Ubicable",IF(OR('Ubicaciones'!E272="Abierta",'Ubicaciones'!E272="Próxima Apertura"),"Coordenadas o activa pendientes","Fuera por estatus"))</x:f>
        <x:v>Ubicable</x:v>
      </x:c>
    </x:row>
    <x:row r="273" ht="23" customHeight="1">
      <x:c r="A273" s="45" t="str">
        <x:f>'Ubicaciones'!C273</x:f>
        <x:v>38538</x:v>
      </x:c>
      <x:c r="B273" s="45" t="str">
        <x:f>'Ubicaciones'!A273</x:f>
        <x:v>Centro Poniente</x:v>
      </x:c>
      <x:c r="C273" s="45" t="str">
        <x:f>'Ubicaciones'!B273</x:f>
        <x:v>Manuel Alejandro Avila Molina</x:v>
      </x:c>
      <x:c r="D273" s="45" t="str">
        <x:f>IF(COUNTIFS('Catalogos'!$A$2:$A$41,B273,'Catalogos'!$B$2:$B$41,C273)&gt;0,"Correcta","Revisar Región DM")</x:f>
        <x:v>Correcta</x:v>
      </x:c>
      <x:c r="E273" s="45" t="str">
        <x:f>IF(COUNTIFS('Ubicaciones'!$C$2:$C$10001,A273)=1,"Único","Duplicado")</x:f>
        <x:v>Único</x:v>
      </x:c>
      <x:c r="F273" s="45" t="str">
        <x:f>IF('Ubicaciones'!T273=1,"Ubicable",IF(OR('Ubicaciones'!E273="Abierta",'Ubicaciones'!E273="Próxima Apertura"),"Coordenadas o activa pendientes","Fuera por estatus"))</x:f>
        <x:v>Ubicable</x:v>
      </x:c>
    </x:row>
    <x:row r="274" ht="23" customHeight="1">
      <x:c r="A274" s="45" t="str">
        <x:f>'Ubicaciones'!C274</x:f>
        <x:v>38644</x:v>
      </x:c>
      <x:c r="B274" s="45" t="str">
        <x:f>'Ubicaciones'!A274</x:f>
        <x:v>Centro Poniente</x:v>
      </x:c>
      <x:c r="C274" s="45" t="str">
        <x:f>'Ubicaciones'!B274</x:f>
        <x:v>Manuel Alejandro Avila Molina</x:v>
      </x:c>
      <x:c r="D274" s="45" t="str">
        <x:f>IF(COUNTIFS('Catalogos'!$A$2:$A$41,B274,'Catalogos'!$B$2:$B$41,C274)&gt;0,"Correcta","Revisar Región DM")</x:f>
        <x:v>Correcta</x:v>
      </x:c>
      <x:c r="E274" s="45" t="str">
        <x:f>IF(COUNTIFS('Ubicaciones'!$C$2:$C$10001,A274)=1,"Único","Duplicado")</x:f>
        <x:v>Único</x:v>
      </x:c>
      <x:c r="F274" s="45" t="str">
        <x:f>IF('Ubicaciones'!T274=1,"Ubicable",IF(OR('Ubicaciones'!E274="Abierta",'Ubicaciones'!E274="Próxima Apertura"),"Coordenadas o activa pendientes","Fuera por estatus"))</x:f>
        <x:v>Ubicable</x:v>
      </x:c>
    </x:row>
    <x:row r="275" ht="23" customHeight="1">
      <x:c r="A275" s="45" t="str">
        <x:f>'Ubicaciones'!C275</x:f>
        <x:v>38709</x:v>
      </x:c>
      <x:c r="B275" s="45" t="str">
        <x:f>'Ubicaciones'!A275</x:f>
        <x:v>Centro Poniente</x:v>
      </x:c>
      <x:c r="C275" s="45" t="str">
        <x:f>'Ubicaciones'!B275</x:f>
        <x:v>Manuel Alejandro Avila Molina</x:v>
      </x:c>
      <x:c r="D275" s="45" t="str">
        <x:f>IF(COUNTIFS('Catalogos'!$A$2:$A$41,B275,'Catalogos'!$B$2:$B$41,C275)&gt;0,"Correcta","Revisar Región DM")</x:f>
        <x:v>Correcta</x:v>
      </x:c>
      <x:c r="E275" s="45" t="str">
        <x:f>IF(COUNTIFS('Ubicaciones'!$C$2:$C$10001,A275)=1,"Único","Duplicado")</x:f>
        <x:v>Único</x:v>
      </x:c>
      <x:c r="F275" s="45" t="str">
        <x:f>IF('Ubicaciones'!T275=1,"Ubicable",IF(OR('Ubicaciones'!E275="Abierta",'Ubicaciones'!E275="Próxima Apertura"),"Coordenadas o activa pendientes","Fuera por estatus"))</x:f>
        <x:v>Ubicable</x:v>
      </x:c>
    </x:row>
    <x:row r="276" ht="23" customHeight="1">
      <x:c r="A276" s="45" t="str">
        <x:f>'Ubicaciones'!C276</x:f>
        <x:v>38717</x:v>
      </x:c>
      <x:c r="B276" s="45" t="str">
        <x:f>'Ubicaciones'!A276</x:f>
        <x:v>Centro Poniente</x:v>
      </x:c>
      <x:c r="C276" s="45" t="str">
        <x:f>'Ubicaciones'!B276</x:f>
        <x:v>Manuel Alejandro Avila Molina</x:v>
      </x:c>
      <x:c r="D276" s="45" t="str">
        <x:f>IF(COUNTIFS('Catalogos'!$A$2:$A$41,B276,'Catalogos'!$B$2:$B$41,C276)&gt;0,"Correcta","Revisar Región DM")</x:f>
        <x:v>Correcta</x:v>
      </x:c>
      <x:c r="E276" s="45" t="str">
        <x:f>IF(COUNTIFS('Ubicaciones'!$C$2:$C$10001,A276)=1,"Único","Duplicado")</x:f>
        <x:v>Único</x:v>
      </x:c>
      <x:c r="F276" s="45" t="str">
        <x:f>IF('Ubicaciones'!T276=1,"Ubicable",IF(OR('Ubicaciones'!E276="Abierta",'Ubicaciones'!E276="Próxima Apertura"),"Coordenadas o activa pendientes","Fuera por estatus"))</x:f>
        <x:v>Ubicable</x:v>
      </x:c>
    </x:row>
    <x:row r="277" ht="23" customHeight="1">
      <x:c r="A277" s="45" t="str">
        <x:f>'Ubicaciones'!C277</x:f>
        <x:v>38720</x:v>
      </x:c>
      <x:c r="B277" s="45" t="str">
        <x:f>'Ubicaciones'!A277</x:f>
        <x:v>Centro Poniente</x:v>
      </x:c>
      <x:c r="C277" s="45" t="str">
        <x:f>'Ubicaciones'!B277</x:f>
        <x:v>Manuel Alejandro Avila Molina</x:v>
      </x:c>
      <x:c r="D277" s="45" t="str">
        <x:f>IF(COUNTIFS('Catalogos'!$A$2:$A$41,B277,'Catalogos'!$B$2:$B$41,C277)&gt;0,"Correcta","Revisar Región DM")</x:f>
        <x:v>Correcta</x:v>
      </x:c>
      <x:c r="E277" s="45" t="str">
        <x:f>IF(COUNTIFS('Ubicaciones'!$C$2:$C$10001,A277)=1,"Único","Duplicado")</x:f>
        <x:v>Único</x:v>
      </x:c>
      <x:c r="F277" s="45" t="str">
        <x:f>IF('Ubicaciones'!T277=1,"Ubicable",IF(OR('Ubicaciones'!E277="Abierta",'Ubicaciones'!E277="Próxima Apertura"),"Coordenadas o activa pendientes","Fuera por estatus"))</x:f>
        <x:v>Ubicable</x:v>
      </x:c>
    </x:row>
    <x:row r="278" ht="23" customHeight="1">
      <x:c r="A278" s="45" t="str">
        <x:f>'Ubicaciones'!C278</x:f>
        <x:v>38722</x:v>
      </x:c>
      <x:c r="B278" s="45" t="str">
        <x:f>'Ubicaciones'!A278</x:f>
        <x:v>Centro Poniente</x:v>
      </x:c>
      <x:c r="C278" s="45" t="str">
        <x:f>'Ubicaciones'!B278</x:f>
        <x:v>Manuel Alejandro Avila Molina</x:v>
      </x:c>
      <x:c r="D278" s="45" t="str">
        <x:f>IF(COUNTIFS('Catalogos'!$A$2:$A$41,B278,'Catalogos'!$B$2:$B$41,C278)&gt;0,"Correcta","Revisar Región DM")</x:f>
        <x:v>Correcta</x:v>
      </x:c>
      <x:c r="E278" s="45" t="str">
        <x:f>IF(COUNTIFS('Ubicaciones'!$C$2:$C$10001,A278)=1,"Único","Duplicado")</x:f>
        <x:v>Único</x:v>
      </x:c>
      <x:c r="F278" s="45" t="str">
        <x:f>IF('Ubicaciones'!T278=1,"Ubicable",IF(OR('Ubicaciones'!E278="Abierta",'Ubicaciones'!E278="Próxima Apertura"),"Coordenadas o activa pendientes","Fuera por estatus"))</x:f>
        <x:v>Ubicable</x:v>
      </x:c>
    </x:row>
    <x:row r="279" ht="23" customHeight="1">
      <x:c r="A279" s="45" t="str">
        <x:f>'Ubicaciones'!C279</x:f>
        <x:v>38727</x:v>
      </x:c>
      <x:c r="B279" s="45" t="str">
        <x:f>'Ubicaciones'!A279</x:f>
        <x:v>Centro Poniente</x:v>
      </x:c>
      <x:c r="C279" s="45" t="str">
        <x:f>'Ubicaciones'!B279</x:f>
        <x:v>Manuel Alejandro Avila Molina</x:v>
      </x:c>
      <x:c r="D279" s="45" t="str">
        <x:f>IF(COUNTIFS('Catalogos'!$A$2:$A$41,B279,'Catalogos'!$B$2:$B$41,C279)&gt;0,"Correcta","Revisar Región DM")</x:f>
        <x:v>Correcta</x:v>
      </x:c>
      <x:c r="E279" s="45" t="str">
        <x:f>IF(COUNTIFS('Ubicaciones'!$C$2:$C$10001,A279)=1,"Único","Duplicado")</x:f>
        <x:v>Único</x:v>
      </x:c>
      <x:c r="F279" s="45" t="str">
        <x:f>IF('Ubicaciones'!T279=1,"Ubicable",IF(OR('Ubicaciones'!E279="Abierta",'Ubicaciones'!E279="Próxima Apertura"),"Coordenadas o activa pendientes","Fuera por estatus"))</x:f>
        <x:v>Ubicable</x:v>
      </x:c>
    </x:row>
    <x:row r="280" ht="23" customHeight="1">
      <x:c r="A280" s="45" t="str">
        <x:f>'Ubicaciones'!C280</x:f>
        <x:v>38773</x:v>
      </x:c>
      <x:c r="B280" s="45" t="str">
        <x:f>'Ubicaciones'!A280</x:f>
        <x:v>Centro Poniente</x:v>
      </x:c>
      <x:c r="C280" s="45" t="str">
        <x:f>'Ubicaciones'!B280</x:f>
        <x:v>Manuel Alejandro Avila Molina</x:v>
      </x:c>
      <x:c r="D280" s="45" t="str">
        <x:f>IF(COUNTIFS('Catalogos'!$A$2:$A$41,B280,'Catalogos'!$B$2:$B$41,C280)&gt;0,"Correcta","Revisar Región DM")</x:f>
        <x:v>Correcta</x:v>
      </x:c>
      <x:c r="E280" s="45" t="str">
        <x:f>IF(COUNTIFS('Ubicaciones'!$C$2:$C$10001,A280)=1,"Único","Duplicado")</x:f>
        <x:v>Único</x:v>
      </x:c>
      <x:c r="F280" s="45" t="str">
        <x:f>IF('Ubicaciones'!T280=1,"Ubicable",IF(OR('Ubicaciones'!E280="Abierta",'Ubicaciones'!E280="Próxima Apertura"),"Coordenadas o activa pendientes","Fuera por estatus"))</x:f>
        <x:v>Ubicable</x:v>
      </x:c>
    </x:row>
    <x:row r="281" ht="23" customHeight="1">
      <x:c r="A281" s="45" t="str">
        <x:f>'Ubicaciones'!C281</x:f>
        <x:v>43041</x:v>
      </x:c>
      <x:c r="B281" s="45" t="str">
        <x:f>'Ubicaciones'!A281</x:f>
        <x:v>Centro Poniente</x:v>
      </x:c>
      <x:c r="C281" s="45" t="str">
        <x:f>'Ubicaciones'!B281</x:f>
        <x:v>Manuel Alejandro Avila Molina</x:v>
      </x:c>
      <x:c r="D281" s="45" t="str">
        <x:f>IF(COUNTIFS('Catalogos'!$A$2:$A$41,B281,'Catalogos'!$B$2:$B$41,C281)&gt;0,"Correcta","Revisar Región DM")</x:f>
        <x:v>Correcta</x:v>
      </x:c>
      <x:c r="E281" s="45" t="str">
        <x:f>IF(COUNTIFS('Ubicaciones'!$C$2:$C$10001,A281)=1,"Único","Duplicado")</x:f>
        <x:v>Único</x:v>
      </x:c>
      <x:c r="F281" s="45" t="str">
        <x:f>IF('Ubicaciones'!T281=1,"Ubicable",IF(OR('Ubicaciones'!E281="Abierta",'Ubicaciones'!E281="Próxima Apertura"),"Coordenadas o activa pendientes","Fuera por estatus"))</x:f>
        <x:v>Ubicable</x:v>
      </x:c>
    </x:row>
    <x:row r="282" ht="23" customHeight="1">
      <x:c r="A282" s="45" t="str">
        <x:f>'Ubicaciones'!C282</x:f>
        <x:v>38135</x:v>
      </x:c>
      <x:c r="B282" s="45" t="str">
        <x:f>'Ubicaciones'!A282</x:f>
        <x:v>Centro Poniente</x:v>
      </x:c>
      <x:c r="C282" s="45" t="str">
        <x:f>'Ubicaciones'!B282</x:f>
        <x:v>Sin asignación</x:v>
      </x:c>
      <x:c r="D282" s="45" t="str">
        <x:f>IF(COUNTIFS('Catalogos'!$A$2:$A$41,B282,'Catalogos'!$B$2:$B$41,C282)&gt;0,"Correcta","Revisar Región DM")</x:f>
        <x:v>Correcta</x:v>
      </x:c>
      <x:c r="E282" s="45" t="str">
        <x:f>IF(COUNTIFS('Ubicaciones'!$C$2:$C$10001,A282)=1,"Único","Duplicado")</x:f>
        <x:v>Único</x:v>
      </x:c>
      <x:c r="F282" s="45" t="str">
        <x:f>IF('Ubicaciones'!T282=1,"Ubicable",IF(OR('Ubicaciones'!E282="Abierta",'Ubicaciones'!E282="Próxima Apertura"),"Coordenadas o activa pendientes","Fuera por estatus"))</x:f>
        <x:v>Fuera por estatus</x:v>
      </x:c>
    </x:row>
    <x:row r="283" ht="23" customHeight="1">
      <x:c r="A283" s="45" t="str">
        <x:f>'Ubicaciones'!C283</x:f>
        <x:v>38455</x:v>
      </x:c>
      <x:c r="B283" s="45" t="str">
        <x:f>'Ubicaciones'!A283</x:f>
        <x:v>Centro Poniente</x:v>
      </x:c>
      <x:c r="C283" s="45" t="str">
        <x:f>'Ubicaciones'!B283</x:f>
        <x:v>Sin asignación</x:v>
      </x:c>
      <x:c r="D283" s="45" t="str">
        <x:f>IF(COUNTIFS('Catalogos'!$A$2:$A$41,B283,'Catalogos'!$B$2:$B$41,C283)&gt;0,"Correcta","Revisar Región DM")</x:f>
        <x:v>Correcta</x:v>
      </x:c>
      <x:c r="E283" s="45" t="str">
        <x:f>IF(COUNTIFS('Ubicaciones'!$C$2:$C$10001,A283)=1,"Único","Duplicado")</x:f>
        <x:v>Único</x:v>
      </x:c>
      <x:c r="F283" s="45" t="str">
        <x:f>IF('Ubicaciones'!T283=1,"Ubicable",IF(OR('Ubicaciones'!E283="Abierta",'Ubicaciones'!E283="Próxima Apertura"),"Coordenadas o activa pendientes","Fuera por estatus"))</x:f>
        <x:v>Fuera por estatus</x:v>
      </x:c>
    </x:row>
    <x:row r="284" ht="23" customHeight="1">
      <x:c r="A284" s="45" t="str">
        <x:f>'Ubicaciones'!C284</x:f>
        <x:v>38493</x:v>
      </x:c>
      <x:c r="B284" s="45" t="str">
        <x:f>'Ubicaciones'!A284</x:f>
        <x:v>Centro Poniente</x:v>
      </x:c>
      <x:c r="C284" s="45" t="str">
        <x:f>'Ubicaciones'!B284</x:f>
        <x:v>Sin asignación</x:v>
      </x:c>
      <x:c r="D284" s="45" t="str">
        <x:f>IF(COUNTIFS('Catalogos'!$A$2:$A$41,B284,'Catalogos'!$B$2:$B$41,C284)&gt;0,"Correcta","Revisar Región DM")</x:f>
        <x:v>Correcta</x:v>
      </x:c>
      <x:c r="E284" s="45" t="str">
        <x:f>IF(COUNTIFS('Ubicaciones'!$C$2:$C$10001,A284)=1,"Único","Duplicado")</x:f>
        <x:v>Único</x:v>
      </x:c>
      <x:c r="F284" s="45" t="str">
        <x:f>IF('Ubicaciones'!T284=1,"Ubicable",IF(OR('Ubicaciones'!E284="Abierta",'Ubicaciones'!E284="Próxima Apertura"),"Coordenadas o activa pendientes","Fuera por estatus"))</x:f>
        <x:v>Fuera por estatus</x:v>
      </x:c>
    </x:row>
    <x:row r="285" ht="23" customHeight="1">
      <x:c r="A285" s="45" t="str">
        <x:f>'Ubicaciones'!C285</x:f>
        <x:v>38528</x:v>
      </x:c>
      <x:c r="B285" s="45" t="str">
        <x:f>'Ubicaciones'!A285</x:f>
        <x:v>Centro Poniente</x:v>
      </x:c>
      <x:c r="C285" s="45" t="str">
        <x:f>'Ubicaciones'!B285</x:f>
        <x:v>Sin asignación</x:v>
      </x:c>
      <x:c r="D285" s="45" t="str">
        <x:f>IF(COUNTIFS('Catalogos'!$A$2:$A$41,B285,'Catalogos'!$B$2:$B$41,C285)&gt;0,"Correcta","Revisar Región DM")</x:f>
        <x:v>Correcta</x:v>
      </x:c>
      <x:c r="E285" s="45" t="str">
        <x:f>IF(COUNTIFS('Ubicaciones'!$C$2:$C$10001,A285)=1,"Único","Duplicado")</x:f>
        <x:v>Único</x:v>
      </x:c>
      <x:c r="F285" s="45" t="str">
        <x:f>IF('Ubicaciones'!T285=1,"Ubicable",IF(OR('Ubicaciones'!E285="Abierta",'Ubicaciones'!E285="Próxima Apertura"),"Coordenadas o activa pendientes","Fuera por estatus"))</x:f>
        <x:v>Fuera por estatus</x:v>
      </x:c>
    </x:row>
    <x:row r="286" ht="23" customHeight="1">
      <x:c r="A286" s="45" t="str">
        <x:f>'Ubicaciones'!C286</x:f>
        <x:v>38772</x:v>
      </x:c>
      <x:c r="B286" s="45" t="str">
        <x:f>'Ubicaciones'!A286</x:f>
        <x:v>Centro Poniente</x:v>
      </x:c>
      <x:c r="C286" s="45" t="str">
        <x:f>'Ubicaciones'!B286</x:f>
        <x:v>Sin asignación</x:v>
      </x:c>
      <x:c r="D286" s="45" t="str">
        <x:f>IF(COUNTIFS('Catalogos'!$A$2:$A$41,B286,'Catalogos'!$B$2:$B$41,C286)&gt;0,"Correcta","Revisar Región DM")</x:f>
        <x:v>Correcta</x:v>
      </x:c>
      <x:c r="E286" s="45" t="str">
        <x:f>IF(COUNTIFS('Ubicaciones'!$C$2:$C$10001,A286)=1,"Único","Duplicado")</x:f>
        <x:v>Único</x:v>
      </x:c>
      <x:c r="F286" s="45" t="str">
        <x:f>IF('Ubicaciones'!T286=1,"Ubicable",IF(OR('Ubicaciones'!E286="Abierta",'Ubicaciones'!E286="Próxima Apertura"),"Coordenadas o activa pendientes","Fuera por estatus"))</x:f>
        <x:v>Fuera por estatus</x:v>
      </x:c>
    </x:row>
    <x:row r="287" ht="23" customHeight="1">
      <x:c r="A287" s="45" t="str">
        <x:f>'Ubicaciones'!C287</x:f>
        <x:v>38914</x:v>
      </x:c>
      <x:c r="B287" s="45" t="str">
        <x:f>'Ubicaciones'!A287</x:f>
        <x:v>Centro Poniente</x:v>
      </x:c>
      <x:c r="C287" s="45" t="str">
        <x:f>'Ubicaciones'!B287</x:f>
        <x:v>Sin asignación</x:v>
      </x:c>
      <x:c r="D287" s="45" t="str">
        <x:f>IF(COUNTIFS('Catalogos'!$A$2:$A$41,B287,'Catalogos'!$B$2:$B$41,C287)&gt;0,"Correcta","Revisar Región DM")</x:f>
        <x:v>Correcta</x:v>
      </x:c>
      <x:c r="E287" s="45" t="str">
        <x:f>IF(COUNTIFS('Ubicaciones'!$C$2:$C$10001,A287)=1,"Único","Duplicado")</x:f>
        <x:v>Único</x:v>
      </x:c>
      <x:c r="F287" s="45" t="str">
        <x:f>IF('Ubicaciones'!T287=1,"Ubicable",IF(OR('Ubicaciones'!E287="Abierta",'Ubicaciones'!E287="Próxima Apertura"),"Coordenadas o activa pendientes","Fuera por estatus"))</x:f>
        <x:v>Fuera por estatus</x:v>
      </x:c>
    </x:row>
    <x:row r="288" ht="23" customHeight="1">
      <x:c r="A288" s="45" t="str">
        <x:f>'Ubicaciones'!C288</x:f>
        <x:v>38108</x:v>
      </x:c>
      <x:c r="B288" s="45" t="str">
        <x:f>'Ubicaciones'!A288</x:f>
        <x:v>Centro Centro</x:v>
      </x:c>
      <x:c r="C288" s="45" t="str">
        <x:f>'Ubicaciones'!B288</x:f>
        <x:v>Alberto T. Aguilar Cauz</x:v>
      </x:c>
      <x:c r="D288" s="45" t="str">
        <x:f>IF(COUNTIFS('Catalogos'!$A$2:$A$41,B288,'Catalogos'!$B$2:$B$41,C288)&gt;0,"Correcta","Revisar Región DM")</x:f>
        <x:v>Correcta</x:v>
      </x:c>
      <x:c r="E288" s="45" t="str">
        <x:f>IF(COUNTIFS('Ubicaciones'!$C$2:$C$10001,A288)=1,"Único","Duplicado")</x:f>
        <x:v>Único</x:v>
      </x:c>
      <x:c r="F288" s="45" t="str">
        <x:f>IF('Ubicaciones'!T288=1,"Ubicable",IF(OR('Ubicaciones'!E288="Abierta",'Ubicaciones'!E288="Próxima Apertura"),"Coordenadas o activa pendientes","Fuera por estatus"))</x:f>
        <x:v>Ubicable</x:v>
      </x:c>
    </x:row>
    <x:row r="289" ht="23" customHeight="1">
      <x:c r="A289" s="45" t="str">
        <x:f>'Ubicaciones'!C289</x:f>
        <x:v>38110</x:v>
      </x:c>
      <x:c r="B289" s="45" t="str">
        <x:f>'Ubicaciones'!A289</x:f>
        <x:v>Centro Centro</x:v>
      </x:c>
      <x:c r="C289" s="45" t="str">
        <x:f>'Ubicaciones'!B289</x:f>
        <x:v>Alberto T. Aguilar Cauz</x:v>
      </x:c>
      <x:c r="D289" s="45" t="str">
        <x:f>IF(COUNTIFS('Catalogos'!$A$2:$A$41,B289,'Catalogos'!$B$2:$B$41,C289)&gt;0,"Correcta","Revisar Región DM")</x:f>
        <x:v>Correcta</x:v>
      </x:c>
      <x:c r="E289" s="45" t="str">
        <x:f>IF(COUNTIFS('Ubicaciones'!$C$2:$C$10001,A289)=1,"Único","Duplicado")</x:f>
        <x:v>Único</x:v>
      </x:c>
      <x:c r="F289" s="45" t="str">
        <x:f>IF('Ubicaciones'!T289=1,"Ubicable",IF(OR('Ubicaciones'!E289="Abierta",'Ubicaciones'!E289="Próxima Apertura"),"Coordenadas o activa pendientes","Fuera por estatus"))</x:f>
        <x:v>Ubicable</x:v>
      </x:c>
    </x:row>
    <x:row r="290" ht="23" customHeight="1">
      <x:c r="A290" s="45" t="str">
        <x:f>'Ubicaciones'!C290</x:f>
        <x:v>38128</x:v>
      </x:c>
      <x:c r="B290" s="45" t="str">
        <x:f>'Ubicaciones'!A290</x:f>
        <x:v>Centro Centro</x:v>
      </x:c>
      <x:c r="C290" s="45" t="str">
        <x:f>'Ubicaciones'!B290</x:f>
        <x:v>Alberto T. Aguilar Cauz</x:v>
      </x:c>
      <x:c r="D290" s="45" t="str">
        <x:f>IF(COUNTIFS('Catalogos'!$A$2:$A$41,B290,'Catalogos'!$B$2:$B$41,C290)&gt;0,"Correcta","Revisar Región DM")</x:f>
        <x:v>Correcta</x:v>
      </x:c>
      <x:c r="E290" s="45" t="str">
        <x:f>IF(COUNTIFS('Ubicaciones'!$C$2:$C$10001,A290)=1,"Único","Duplicado")</x:f>
        <x:v>Único</x:v>
      </x:c>
      <x:c r="F290" s="45" t="str">
        <x:f>IF('Ubicaciones'!T290=1,"Ubicable",IF(OR('Ubicaciones'!E290="Abierta",'Ubicaciones'!E290="Próxima Apertura"),"Coordenadas o activa pendientes","Fuera por estatus"))</x:f>
        <x:v>Ubicable</x:v>
      </x:c>
    </x:row>
    <x:row r="291" ht="23" customHeight="1">
      <x:c r="A291" s="45" t="str">
        <x:f>'Ubicaciones'!C291</x:f>
        <x:v>38187</x:v>
      </x:c>
      <x:c r="B291" s="45" t="str">
        <x:f>'Ubicaciones'!A291</x:f>
        <x:v>Centro Centro</x:v>
      </x:c>
      <x:c r="C291" s="45" t="str">
        <x:f>'Ubicaciones'!B291</x:f>
        <x:v>Alberto T. Aguilar Cauz</x:v>
      </x:c>
      <x:c r="D291" s="45" t="str">
        <x:f>IF(COUNTIFS('Catalogos'!$A$2:$A$41,B291,'Catalogos'!$B$2:$B$41,C291)&gt;0,"Correcta","Revisar Región DM")</x:f>
        <x:v>Correcta</x:v>
      </x:c>
      <x:c r="E291" s="45" t="str">
        <x:f>IF(COUNTIFS('Ubicaciones'!$C$2:$C$10001,A291)=1,"Único","Duplicado")</x:f>
        <x:v>Único</x:v>
      </x:c>
      <x:c r="F291" s="45" t="str">
        <x:f>IF('Ubicaciones'!T291=1,"Ubicable",IF(OR('Ubicaciones'!E291="Abierta",'Ubicaciones'!E291="Próxima Apertura"),"Coordenadas o activa pendientes","Fuera por estatus"))</x:f>
        <x:v>Ubicable</x:v>
      </x:c>
    </x:row>
    <x:row r="292" ht="23" customHeight="1">
      <x:c r="A292" s="45" t="str">
        <x:f>'Ubicaciones'!C292</x:f>
        <x:v>38191</x:v>
      </x:c>
      <x:c r="B292" s="45" t="str">
        <x:f>'Ubicaciones'!A292</x:f>
        <x:v>Centro Centro</x:v>
      </x:c>
      <x:c r="C292" s="45" t="str">
        <x:f>'Ubicaciones'!B292</x:f>
        <x:v>Alberto T. Aguilar Cauz</x:v>
      </x:c>
      <x:c r="D292" s="45" t="str">
        <x:f>IF(COUNTIFS('Catalogos'!$A$2:$A$41,B292,'Catalogos'!$B$2:$B$41,C292)&gt;0,"Correcta","Revisar Región DM")</x:f>
        <x:v>Correcta</x:v>
      </x:c>
      <x:c r="E292" s="45" t="str">
        <x:f>IF(COUNTIFS('Ubicaciones'!$C$2:$C$10001,A292)=1,"Único","Duplicado")</x:f>
        <x:v>Único</x:v>
      </x:c>
      <x:c r="F292" s="45" t="str">
        <x:f>IF('Ubicaciones'!T292=1,"Ubicable",IF(OR('Ubicaciones'!E292="Abierta",'Ubicaciones'!E292="Próxima Apertura"),"Coordenadas o activa pendientes","Fuera por estatus"))</x:f>
        <x:v>Ubicable</x:v>
      </x:c>
    </x:row>
    <x:row r="293" ht="23" customHeight="1">
      <x:c r="A293" s="45" t="str">
        <x:f>'Ubicaciones'!C293</x:f>
        <x:v>38220</x:v>
      </x:c>
      <x:c r="B293" s="45" t="str">
        <x:f>'Ubicaciones'!A293</x:f>
        <x:v>Centro Centro</x:v>
      </x:c>
      <x:c r="C293" s="45" t="str">
        <x:f>'Ubicaciones'!B293</x:f>
        <x:v>Alberto T. Aguilar Cauz</x:v>
      </x:c>
      <x:c r="D293" s="45" t="str">
        <x:f>IF(COUNTIFS('Catalogos'!$A$2:$A$41,B293,'Catalogos'!$B$2:$B$41,C293)&gt;0,"Correcta","Revisar Región DM")</x:f>
        <x:v>Correcta</x:v>
      </x:c>
      <x:c r="E293" s="45" t="str">
        <x:f>IF(COUNTIFS('Ubicaciones'!$C$2:$C$10001,A293)=1,"Único","Duplicado")</x:f>
        <x:v>Único</x:v>
      </x:c>
      <x:c r="F293" s="45" t="str">
        <x:f>IF('Ubicaciones'!T293=1,"Ubicable",IF(OR('Ubicaciones'!E293="Abierta",'Ubicaciones'!E293="Próxima Apertura"),"Coordenadas o activa pendientes","Fuera por estatus"))</x:f>
        <x:v>Ubicable</x:v>
      </x:c>
    </x:row>
    <x:row r="294" ht="23" customHeight="1">
      <x:c r="A294" s="45" t="str">
        <x:f>'Ubicaciones'!C294</x:f>
        <x:v>38382</x:v>
      </x:c>
      <x:c r="B294" s="45" t="str">
        <x:f>'Ubicaciones'!A294</x:f>
        <x:v>Centro Centro</x:v>
      </x:c>
      <x:c r="C294" s="45" t="str">
        <x:f>'Ubicaciones'!B294</x:f>
        <x:v>Alberto T. Aguilar Cauz</x:v>
      </x:c>
      <x:c r="D294" s="45" t="str">
        <x:f>IF(COUNTIFS('Catalogos'!$A$2:$A$41,B294,'Catalogos'!$B$2:$B$41,C294)&gt;0,"Correcta","Revisar Región DM")</x:f>
        <x:v>Correcta</x:v>
      </x:c>
      <x:c r="E294" s="45" t="str">
        <x:f>IF(COUNTIFS('Ubicaciones'!$C$2:$C$10001,A294)=1,"Único","Duplicado")</x:f>
        <x:v>Único</x:v>
      </x:c>
      <x:c r="F294" s="45" t="str">
        <x:f>IF('Ubicaciones'!T294=1,"Ubicable",IF(OR('Ubicaciones'!E294="Abierta",'Ubicaciones'!E294="Próxima Apertura"),"Coordenadas o activa pendientes","Fuera por estatus"))</x:f>
        <x:v>Ubicable</x:v>
      </x:c>
    </x:row>
    <x:row r="295" ht="23" customHeight="1">
      <x:c r="A295" s="45" t="str">
        <x:f>'Ubicaciones'!C295</x:f>
        <x:v>38415</x:v>
      </x:c>
      <x:c r="B295" s="45" t="str">
        <x:f>'Ubicaciones'!A295</x:f>
        <x:v>Centro Centro</x:v>
      </x:c>
      <x:c r="C295" s="45" t="str">
        <x:f>'Ubicaciones'!B295</x:f>
        <x:v>Alberto T. Aguilar Cauz</x:v>
      </x:c>
      <x:c r="D295" s="45" t="str">
        <x:f>IF(COUNTIFS('Catalogos'!$A$2:$A$41,B295,'Catalogos'!$B$2:$B$41,C295)&gt;0,"Correcta","Revisar Región DM")</x:f>
        <x:v>Correcta</x:v>
      </x:c>
      <x:c r="E295" s="45" t="str">
        <x:f>IF(COUNTIFS('Ubicaciones'!$C$2:$C$10001,A295)=1,"Único","Duplicado")</x:f>
        <x:v>Único</x:v>
      </x:c>
      <x:c r="F295" s="45" t="str">
        <x:f>IF('Ubicaciones'!T295=1,"Ubicable",IF(OR('Ubicaciones'!E295="Abierta",'Ubicaciones'!E295="Próxima Apertura"),"Coordenadas o activa pendientes","Fuera por estatus"))</x:f>
        <x:v>Ubicable</x:v>
      </x:c>
    </x:row>
    <x:row r="296" ht="23" customHeight="1">
      <x:c r="A296" s="45" t="str">
        <x:f>'Ubicaciones'!C296</x:f>
        <x:v>38481</x:v>
      </x:c>
      <x:c r="B296" s="45" t="str">
        <x:f>'Ubicaciones'!A296</x:f>
        <x:v>Centro Centro</x:v>
      </x:c>
      <x:c r="C296" s="45" t="str">
        <x:f>'Ubicaciones'!B296</x:f>
        <x:v>Alberto T. Aguilar Cauz</x:v>
      </x:c>
      <x:c r="D296" s="45" t="str">
        <x:f>IF(COUNTIFS('Catalogos'!$A$2:$A$41,B296,'Catalogos'!$B$2:$B$41,C296)&gt;0,"Correcta","Revisar Región DM")</x:f>
        <x:v>Correcta</x:v>
      </x:c>
      <x:c r="E296" s="45" t="str">
        <x:f>IF(COUNTIFS('Ubicaciones'!$C$2:$C$10001,A296)=1,"Único","Duplicado")</x:f>
        <x:v>Único</x:v>
      </x:c>
      <x:c r="F296" s="45" t="str">
        <x:f>IF('Ubicaciones'!T296=1,"Ubicable",IF(OR('Ubicaciones'!E296="Abierta",'Ubicaciones'!E296="Próxima Apertura"),"Coordenadas o activa pendientes","Fuera por estatus"))</x:f>
        <x:v>Ubicable</x:v>
      </x:c>
    </x:row>
    <x:row r="297" ht="23" customHeight="1">
      <x:c r="A297" s="45" t="str">
        <x:f>'Ubicaciones'!C297</x:f>
        <x:v>38522</x:v>
      </x:c>
      <x:c r="B297" s="45" t="str">
        <x:f>'Ubicaciones'!A297</x:f>
        <x:v>Centro Centro</x:v>
      </x:c>
      <x:c r="C297" s="45" t="str">
        <x:f>'Ubicaciones'!B297</x:f>
        <x:v>Alberto T. Aguilar Cauz</x:v>
      </x:c>
      <x:c r="D297" s="45" t="str">
        <x:f>IF(COUNTIFS('Catalogos'!$A$2:$A$41,B297,'Catalogos'!$B$2:$B$41,C297)&gt;0,"Correcta","Revisar Región DM")</x:f>
        <x:v>Correcta</x:v>
      </x:c>
      <x:c r="E297" s="45" t="str">
        <x:f>IF(COUNTIFS('Ubicaciones'!$C$2:$C$10001,A297)=1,"Único","Duplicado")</x:f>
        <x:v>Único</x:v>
      </x:c>
      <x:c r="F297" s="45" t="str">
        <x:f>IF('Ubicaciones'!T297=1,"Ubicable",IF(OR('Ubicaciones'!E297="Abierta",'Ubicaciones'!E297="Próxima Apertura"),"Coordenadas o activa pendientes","Fuera por estatus"))</x:f>
        <x:v>Ubicable</x:v>
      </x:c>
    </x:row>
    <x:row r="298" ht="23" customHeight="1">
      <x:c r="A298" s="45" t="str">
        <x:f>'Ubicaciones'!C298</x:f>
        <x:v>38541</x:v>
      </x:c>
      <x:c r="B298" s="45" t="str">
        <x:f>'Ubicaciones'!A298</x:f>
        <x:v>Centro Centro</x:v>
      </x:c>
      <x:c r="C298" s="45" t="str">
        <x:f>'Ubicaciones'!B298</x:f>
        <x:v>Alberto T. Aguilar Cauz</x:v>
      </x:c>
      <x:c r="D298" s="45" t="str">
        <x:f>IF(COUNTIFS('Catalogos'!$A$2:$A$41,B298,'Catalogos'!$B$2:$B$41,C298)&gt;0,"Correcta","Revisar Región DM")</x:f>
        <x:v>Correcta</x:v>
      </x:c>
      <x:c r="E298" s="45" t="str">
        <x:f>IF(COUNTIFS('Ubicaciones'!$C$2:$C$10001,A298)=1,"Único","Duplicado")</x:f>
        <x:v>Único</x:v>
      </x:c>
      <x:c r="F298" s="45" t="str">
        <x:f>IF('Ubicaciones'!T298=1,"Ubicable",IF(OR('Ubicaciones'!E298="Abierta",'Ubicaciones'!E298="Próxima Apertura"),"Coordenadas o activa pendientes","Fuera por estatus"))</x:f>
        <x:v>Ubicable</x:v>
      </x:c>
    </x:row>
    <x:row r="299" ht="23" customHeight="1">
      <x:c r="A299" s="45" t="str">
        <x:f>'Ubicaciones'!C299</x:f>
        <x:v>38597</x:v>
      </x:c>
      <x:c r="B299" s="45" t="str">
        <x:f>'Ubicaciones'!A299</x:f>
        <x:v>Centro Centro</x:v>
      </x:c>
      <x:c r="C299" s="45" t="str">
        <x:f>'Ubicaciones'!B299</x:f>
        <x:v>Alberto T. Aguilar Cauz</x:v>
      </x:c>
      <x:c r="D299" s="45" t="str">
        <x:f>IF(COUNTIFS('Catalogos'!$A$2:$A$41,B299,'Catalogos'!$B$2:$B$41,C299)&gt;0,"Correcta","Revisar Región DM")</x:f>
        <x:v>Correcta</x:v>
      </x:c>
      <x:c r="E299" s="45" t="str">
        <x:f>IF(COUNTIFS('Ubicaciones'!$C$2:$C$10001,A299)=1,"Único","Duplicado")</x:f>
        <x:v>Único</x:v>
      </x:c>
      <x:c r="F299" s="45" t="str">
        <x:f>IF('Ubicaciones'!T299=1,"Ubicable",IF(OR('Ubicaciones'!E299="Abierta",'Ubicaciones'!E299="Próxima Apertura"),"Coordenadas o activa pendientes","Fuera por estatus"))</x:f>
        <x:v>Ubicable</x:v>
      </x:c>
    </x:row>
    <x:row r="300" ht="23" customHeight="1">
      <x:c r="A300" s="45" t="str">
        <x:f>'Ubicaciones'!C300</x:f>
        <x:v>38627</x:v>
      </x:c>
      <x:c r="B300" s="45" t="str">
        <x:f>'Ubicaciones'!A300</x:f>
        <x:v>Centro Centro</x:v>
      </x:c>
      <x:c r="C300" s="45" t="str">
        <x:f>'Ubicaciones'!B300</x:f>
        <x:v>Alberto T. Aguilar Cauz</x:v>
      </x:c>
      <x:c r="D300" s="45" t="str">
        <x:f>IF(COUNTIFS('Catalogos'!$A$2:$A$41,B300,'Catalogos'!$B$2:$B$41,C300)&gt;0,"Correcta","Revisar Región DM")</x:f>
        <x:v>Correcta</x:v>
      </x:c>
      <x:c r="E300" s="45" t="str">
        <x:f>IF(COUNTIFS('Ubicaciones'!$C$2:$C$10001,A300)=1,"Único","Duplicado")</x:f>
        <x:v>Único</x:v>
      </x:c>
      <x:c r="F300" s="45" t="str">
        <x:f>IF('Ubicaciones'!T300=1,"Ubicable",IF(OR('Ubicaciones'!E300="Abierta",'Ubicaciones'!E300="Próxima Apertura"),"Coordenadas o activa pendientes","Fuera por estatus"))</x:f>
        <x:v>Ubicable</x:v>
      </x:c>
    </x:row>
    <x:row r="301" ht="23" customHeight="1">
      <x:c r="A301" s="45" t="str">
        <x:f>'Ubicaciones'!C301</x:f>
        <x:v>38109</x:v>
      </x:c>
      <x:c r="B301" s="45" t="str">
        <x:f>'Ubicaciones'!A301</x:f>
        <x:v>Centro Centro</x:v>
      </x:c>
      <x:c r="C301" s="45" t="str">
        <x:f>'Ubicaciones'!B301</x:f>
        <x:v>Carlos Saldaña Avila</x:v>
      </x:c>
      <x:c r="D301" s="45" t="str">
        <x:f>IF(COUNTIFS('Catalogos'!$A$2:$A$41,B301,'Catalogos'!$B$2:$B$41,C301)&gt;0,"Correcta","Revisar Región DM")</x:f>
        <x:v>Correcta</x:v>
      </x:c>
      <x:c r="E301" s="45" t="str">
        <x:f>IF(COUNTIFS('Ubicaciones'!$C$2:$C$10001,A301)=1,"Único","Duplicado")</x:f>
        <x:v>Único</x:v>
      </x:c>
      <x:c r="F301" s="45" t="str">
        <x:f>IF('Ubicaciones'!T301=1,"Ubicable",IF(OR('Ubicaciones'!E301="Abierta",'Ubicaciones'!E301="Próxima Apertura"),"Coordenadas o activa pendientes","Fuera por estatus"))</x:f>
        <x:v>Ubicable</x:v>
      </x:c>
    </x:row>
    <x:row r="302" ht="23" customHeight="1">
      <x:c r="A302" s="45" t="str">
        <x:f>'Ubicaciones'!C302</x:f>
        <x:v>38344</x:v>
      </x:c>
      <x:c r="B302" s="45" t="str">
        <x:f>'Ubicaciones'!A302</x:f>
        <x:v>Centro Centro</x:v>
      </x:c>
      <x:c r="C302" s="45" t="str">
        <x:f>'Ubicaciones'!B302</x:f>
        <x:v>Carlos Saldaña Avila</x:v>
      </x:c>
      <x:c r="D302" s="45" t="str">
        <x:f>IF(COUNTIFS('Catalogos'!$A$2:$A$41,B302,'Catalogos'!$B$2:$B$41,C302)&gt;0,"Correcta","Revisar Región DM")</x:f>
        <x:v>Correcta</x:v>
      </x:c>
      <x:c r="E302" s="45" t="str">
        <x:f>IF(COUNTIFS('Ubicaciones'!$C$2:$C$10001,A302)=1,"Único","Duplicado")</x:f>
        <x:v>Único</x:v>
      </x:c>
      <x:c r="F302" s="45" t="str">
        <x:f>IF('Ubicaciones'!T302=1,"Ubicable",IF(OR('Ubicaciones'!E302="Abierta",'Ubicaciones'!E302="Próxima Apertura"),"Coordenadas o activa pendientes","Fuera por estatus"))</x:f>
        <x:v>Ubicable</x:v>
      </x:c>
    </x:row>
    <x:row r="303" ht="23" customHeight="1">
      <x:c r="A303" s="45" t="str">
        <x:f>'Ubicaciones'!C303</x:f>
        <x:v>38378</x:v>
      </x:c>
      <x:c r="B303" s="45" t="str">
        <x:f>'Ubicaciones'!A303</x:f>
        <x:v>Centro Centro</x:v>
      </x:c>
      <x:c r="C303" s="45" t="str">
        <x:f>'Ubicaciones'!B303</x:f>
        <x:v>Carlos Saldaña Avila</x:v>
      </x:c>
      <x:c r="D303" s="45" t="str">
        <x:f>IF(COUNTIFS('Catalogos'!$A$2:$A$41,B303,'Catalogos'!$B$2:$B$41,C303)&gt;0,"Correcta","Revisar Región DM")</x:f>
        <x:v>Correcta</x:v>
      </x:c>
      <x:c r="E303" s="45" t="str">
        <x:f>IF(COUNTIFS('Ubicaciones'!$C$2:$C$10001,A303)=1,"Único","Duplicado")</x:f>
        <x:v>Único</x:v>
      </x:c>
      <x:c r="F303" s="45" t="str">
        <x:f>IF('Ubicaciones'!T303=1,"Ubicable",IF(OR('Ubicaciones'!E303="Abierta",'Ubicaciones'!E303="Próxima Apertura"),"Coordenadas o activa pendientes","Fuera por estatus"))</x:f>
        <x:v>Ubicable</x:v>
      </x:c>
    </x:row>
    <x:row r="304" ht="23" customHeight="1">
      <x:c r="A304" s="45" t="str">
        <x:f>'Ubicaciones'!C304</x:f>
        <x:v>38423</x:v>
      </x:c>
      <x:c r="B304" s="45" t="str">
        <x:f>'Ubicaciones'!A304</x:f>
        <x:v>Centro Centro</x:v>
      </x:c>
      <x:c r="C304" s="45" t="str">
        <x:f>'Ubicaciones'!B304</x:f>
        <x:v>Carlos Saldaña Avila</x:v>
      </x:c>
      <x:c r="D304" s="45" t="str">
        <x:f>IF(COUNTIFS('Catalogos'!$A$2:$A$41,B304,'Catalogos'!$B$2:$B$41,C304)&gt;0,"Correcta","Revisar Región DM")</x:f>
        <x:v>Correcta</x:v>
      </x:c>
      <x:c r="E304" s="45" t="str">
        <x:f>IF(COUNTIFS('Ubicaciones'!$C$2:$C$10001,A304)=1,"Único","Duplicado")</x:f>
        <x:v>Único</x:v>
      </x:c>
      <x:c r="F304" s="45" t="str">
        <x:f>IF('Ubicaciones'!T304=1,"Ubicable",IF(OR('Ubicaciones'!E304="Abierta",'Ubicaciones'!E304="Próxima Apertura"),"Coordenadas o activa pendientes","Fuera por estatus"))</x:f>
        <x:v>Ubicable</x:v>
      </x:c>
    </x:row>
    <x:row r="305" ht="23" customHeight="1">
      <x:c r="A305" s="45" t="str">
        <x:f>'Ubicaciones'!C305</x:f>
        <x:v>38498</x:v>
      </x:c>
      <x:c r="B305" s="45" t="str">
        <x:f>'Ubicaciones'!A305</x:f>
        <x:v>Centro Centro</x:v>
      </x:c>
      <x:c r="C305" s="45" t="str">
        <x:f>'Ubicaciones'!B305</x:f>
        <x:v>Carlos Saldaña Avila</x:v>
      </x:c>
      <x:c r="D305" s="45" t="str">
        <x:f>IF(COUNTIFS('Catalogos'!$A$2:$A$41,B305,'Catalogos'!$B$2:$B$41,C305)&gt;0,"Correcta","Revisar Región DM")</x:f>
        <x:v>Correcta</x:v>
      </x:c>
      <x:c r="E305" s="45" t="str">
        <x:f>IF(COUNTIFS('Ubicaciones'!$C$2:$C$10001,A305)=1,"Único","Duplicado")</x:f>
        <x:v>Único</x:v>
      </x:c>
      <x:c r="F305" s="45" t="str">
        <x:f>IF('Ubicaciones'!T305=1,"Ubicable",IF(OR('Ubicaciones'!E305="Abierta",'Ubicaciones'!E305="Próxima Apertura"),"Coordenadas o activa pendientes","Fuera por estatus"))</x:f>
        <x:v>Ubicable</x:v>
      </x:c>
    </x:row>
    <x:row r="306" ht="23" customHeight="1">
      <x:c r="A306" s="45" t="str">
        <x:f>'Ubicaciones'!C306</x:f>
        <x:v>38504</x:v>
      </x:c>
      <x:c r="B306" s="45" t="str">
        <x:f>'Ubicaciones'!A306</x:f>
        <x:v>Centro Centro</x:v>
      </x:c>
      <x:c r="C306" s="45" t="str">
        <x:f>'Ubicaciones'!B306</x:f>
        <x:v>Carlos Saldaña Avila</x:v>
      </x:c>
      <x:c r="D306" s="45" t="str">
        <x:f>IF(COUNTIFS('Catalogos'!$A$2:$A$41,B306,'Catalogos'!$B$2:$B$41,C306)&gt;0,"Correcta","Revisar Región DM")</x:f>
        <x:v>Correcta</x:v>
      </x:c>
      <x:c r="E306" s="45" t="str">
        <x:f>IF(COUNTIFS('Ubicaciones'!$C$2:$C$10001,A306)=1,"Único","Duplicado")</x:f>
        <x:v>Único</x:v>
      </x:c>
      <x:c r="F306" s="45" t="str">
        <x:f>IF('Ubicaciones'!T306=1,"Ubicable",IF(OR('Ubicaciones'!E306="Abierta",'Ubicaciones'!E306="Próxima Apertura"),"Coordenadas o activa pendientes","Fuera por estatus"))</x:f>
        <x:v>Ubicable</x:v>
      </x:c>
    </x:row>
    <x:row r="307" ht="23" customHeight="1">
      <x:c r="A307" s="45" t="str">
        <x:f>'Ubicaciones'!C307</x:f>
        <x:v>38635</x:v>
      </x:c>
      <x:c r="B307" s="45" t="str">
        <x:f>'Ubicaciones'!A307</x:f>
        <x:v>Centro Centro</x:v>
      </x:c>
      <x:c r="C307" s="45" t="str">
        <x:f>'Ubicaciones'!B307</x:f>
        <x:v>Carlos Saldaña Avila</x:v>
      </x:c>
      <x:c r="D307" s="45" t="str">
        <x:f>IF(COUNTIFS('Catalogos'!$A$2:$A$41,B307,'Catalogos'!$B$2:$B$41,C307)&gt;0,"Correcta","Revisar Región DM")</x:f>
        <x:v>Correcta</x:v>
      </x:c>
      <x:c r="E307" s="45" t="str">
        <x:f>IF(COUNTIFS('Ubicaciones'!$C$2:$C$10001,A307)=1,"Único","Duplicado")</x:f>
        <x:v>Único</x:v>
      </x:c>
      <x:c r="F307" s="45" t="str">
        <x:f>IF('Ubicaciones'!T307=1,"Ubicable",IF(OR('Ubicaciones'!E307="Abierta",'Ubicaciones'!E307="Próxima Apertura"),"Coordenadas o activa pendientes","Fuera por estatus"))</x:f>
        <x:v>Ubicable</x:v>
      </x:c>
    </x:row>
    <x:row r="308" ht="23" customHeight="1">
      <x:c r="A308" s="45" t="str">
        <x:f>'Ubicaciones'!C308</x:f>
        <x:v>38858</x:v>
      </x:c>
      <x:c r="B308" s="45" t="str">
        <x:f>'Ubicaciones'!A308</x:f>
        <x:v>Centro Centro</x:v>
      </x:c>
      <x:c r="C308" s="45" t="str">
        <x:f>'Ubicaciones'!B308</x:f>
        <x:v>Carlos Saldaña Avila</x:v>
      </x:c>
      <x:c r="D308" s="45" t="str">
        <x:f>IF(COUNTIFS('Catalogos'!$A$2:$A$41,B308,'Catalogos'!$B$2:$B$41,C308)&gt;0,"Correcta","Revisar Región DM")</x:f>
        <x:v>Correcta</x:v>
      </x:c>
      <x:c r="E308" s="45" t="str">
        <x:f>IF(COUNTIFS('Ubicaciones'!$C$2:$C$10001,A308)=1,"Único","Duplicado")</x:f>
        <x:v>Único</x:v>
      </x:c>
      <x:c r="F308" s="45" t="str">
        <x:f>IF('Ubicaciones'!T308=1,"Ubicable",IF(OR('Ubicaciones'!E308="Abierta",'Ubicaciones'!E308="Próxima Apertura"),"Coordenadas o activa pendientes","Fuera por estatus"))</x:f>
        <x:v>Ubicable</x:v>
      </x:c>
    </x:row>
    <x:row r="309" ht="23" customHeight="1">
      <x:c r="A309" s="45" t="str">
        <x:f>'Ubicaciones'!C309</x:f>
        <x:v>38101</x:v>
      </x:c>
      <x:c r="B309" s="45" t="str">
        <x:f>'Ubicaciones'!A309</x:f>
        <x:v>Centro Centro</x:v>
      </x:c>
      <x:c r="C309" s="45" t="str">
        <x:f>'Ubicaciones'!B309</x:f>
        <x:v>Guadalupe Ibarra Martinez</x:v>
      </x:c>
      <x:c r="D309" s="45" t="str">
        <x:f>IF(COUNTIFS('Catalogos'!$A$2:$A$41,B309,'Catalogos'!$B$2:$B$41,C309)&gt;0,"Correcta","Revisar Región DM")</x:f>
        <x:v>Correcta</x:v>
      </x:c>
      <x:c r="E309" s="45" t="str">
        <x:f>IF(COUNTIFS('Ubicaciones'!$C$2:$C$10001,A309)=1,"Único","Duplicado")</x:f>
        <x:v>Único</x:v>
      </x:c>
      <x:c r="F309" s="45" t="str">
        <x:f>IF('Ubicaciones'!T309=1,"Ubicable",IF(OR('Ubicaciones'!E309="Abierta",'Ubicaciones'!E309="Próxima Apertura"),"Coordenadas o activa pendientes","Fuera por estatus"))</x:f>
        <x:v>Ubicable</x:v>
      </x:c>
    </x:row>
    <x:row r="310" ht="23" customHeight="1">
      <x:c r="A310" s="45" t="str">
        <x:f>'Ubicaciones'!C310</x:f>
        <x:v>38240</x:v>
      </x:c>
      <x:c r="B310" s="45" t="str">
        <x:f>'Ubicaciones'!A310</x:f>
        <x:v>Centro Centro</x:v>
      </x:c>
      <x:c r="C310" s="45" t="str">
        <x:f>'Ubicaciones'!B310</x:f>
        <x:v>Guadalupe Ibarra Martinez</x:v>
      </x:c>
      <x:c r="D310" s="45" t="str">
        <x:f>IF(COUNTIFS('Catalogos'!$A$2:$A$41,B310,'Catalogos'!$B$2:$B$41,C310)&gt;0,"Correcta","Revisar Región DM")</x:f>
        <x:v>Correcta</x:v>
      </x:c>
      <x:c r="E310" s="45" t="str">
        <x:f>IF(COUNTIFS('Ubicaciones'!$C$2:$C$10001,A310)=1,"Único","Duplicado")</x:f>
        <x:v>Único</x:v>
      </x:c>
      <x:c r="F310" s="45" t="str">
        <x:f>IF('Ubicaciones'!T310=1,"Ubicable",IF(OR('Ubicaciones'!E310="Abierta",'Ubicaciones'!E310="Próxima Apertura"),"Coordenadas o activa pendientes","Fuera por estatus"))</x:f>
        <x:v>Fuera por estatus</x:v>
      </x:c>
    </x:row>
    <x:row r="311" ht="23" customHeight="1">
      <x:c r="A311" s="45" t="str">
        <x:f>'Ubicaciones'!C311</x:f>
        <x:v>38272</x:v>
      </x:c>
      <x:c r="B311" s="45" t="str">
        <x:f>'Ubicaciones'!A311</x:f>
        <x:v>Centro Centro</x:v>
      </x:c>
      <x:c r="C311" s="45" t="str">
        <x:f>'Ubicaciones'!B311</x:f>
        <x:v>Guadalupe Ibarra Martinez</x:v>
      </x:c>
      <x:c r="D311" s="45" t="str">
        <x:f>IF(COUNTIFS('Catalogos'!$A$2:$A$41,B311,'Catalogos'!$B$2:$B$41,C311)&gt;0,"Correcta","Revisar Región DM")</x:f>
        <x:v>Correcta</x:v>
      </x:c>
      <x:c r="E311" s="45" t="str">
        <x:f>IF(COUNTIFS('Ubicaciones'!$C$2:$C$10001,A311)=1,"Único","Duplicado")</x:f>
        <x:v>Único</x:v>
      </x:c>
      <x:c r="F311" s="45" t="str">
        <x:f>IF('Ubicaciones'!T311=1,"Ubicable",IF(OR('Ubicaciones'!E311="Abierta",'Ubicaciones'!E311="Próxima Apertura"),"Coordenadas o activa pendientes","Fuera por estatus"))</x:f>
        <x:v>Ubicable</x:v>
      </x:c>
    </x:row>
    <x:row r="312" ht="23" customHeight="1">
      <x:c r="A312" s="45" t="str">
        <x:f>'Ubicaciones'!C312</x:f>
        <x:v>38285</x:v>
      </x:c>
      <x:c r="B312" s="45" t="str">
        <x:f>'Ubicaciones'!A312</x:f>
        <x:v>Centro Centro</x:v>
      </x:c>
      <x:c r="C312" s="45" t="str">
        <x:f>'Ubicaciones'!B312</x:f>
        <x:v>Guadalupe Ibarra Martinez</x:v>
      </x:c>
      <x:c r="D312" s="45" t="str">
        <x:f>IF(COUNTIFS('Catalogos'!$A$2:$A$41,B312,'Catalogos'!$B$2:$B$41,C312)&gt;0,"Correcta","Revisar Región DM")</x:f>
        <x:v>Correcta</x:v>
      </x:c>
      <x:c r="E312" s="45" t="str">
        <x:f>IF(COUNTIFS('Ubicaciones'!$C$2:$C$10001,A312)=1,"Único","Duplicado")</x:f>
        <x:v>Único</x:v>
      </x:c>
      <x:c r="F312" s="45" t="str">
        <x:f>IF('Ubicaciones'!T312=1,"Ubicable",IF(OR('Ubicaciones'!E312="Abierta",'Ubicaciones'!E312="Próxima Apertura"),"Coordenadas o activa pendientes","Fuera por estatus"))</x:f>
        <x:v>Ubicable</x:v>
      </x:c>
    </x:row>
    <x:row r="313" ht="23" customHeight="1">
      <x:c r="A313" s="45" t="str">
        <x:f>'Ubicaciones'!C313</x:f>
        <x:v>38291</x:v>
      </x:c>
      <x:c r="B313" s="45" t="str">
        <x:f>'Ubicaciones'!A313</x:f>
        <x:v>Centro Centro</x:v>
      </x:c>
      <x:c r="C313" s="45" t="str">
        <x:f>'Ubicaciones'!B313</x:f>
        <x:v>Guadalupe Ibarra Martinez</x:v>
      </x:c>
      <x:c r="D313" s="45" t="str">
        <x:f>IF(COUNTIFS('Catalogos'!$A$2:$A$41,B313,'Catalogos'!$B$2:$B$41,C313)&gt;0,"Correcta","Revisar Región DM")</x:f>
        <x:v>Correcta</x:v>
      </x:c>
      <x:c r="E313" s="45" t="str">
        <x:f>IF(COUNTIFS('Ubicaciones'!$C$2:$C$10001,A313)=1,"Único","Duplicado")</x:f>
        <x:v>Único</x:v>
      </x:c>
      <x:c r="F313" s="45" t="str">
        <x:f>IF('Ubicaciones'!T313=1,"Ubicable",IF(OR('Ubicaciones'!E313="Abierta",'Ubicaciones'!E313="Próxima Apertura"),"Coordenadas o activa pendientes","Fuera por estatus"))</x:f>
        <x:v>Ubicable</x:v>
      </x:c>
    </x:row>
    <x:row r="314" ht="23" customHeight="1">
      <x:c r="A314" s="45" t="str">
        <x:f>'Ubicaciones'!C314</x:f>
        <x:v>38389</x:v>
      </x:c>
      <x:c r="B314" s="45" t="str">
        <x:f>'Ubicaciones'!A314</x:f>
        <x:v>Centro Centro</x:v>
      </x:c>
      <x:c r="C314" s="45" t="str">
        <x:f>'Ubicaciones'!B314</x:f>
        <x:v>Guadalupe Ibarra Martinez</x:v>
      </x:c>
      <x:c r="D314" s="45" t="str">
        <x:f>IF(COUNTIFS('Catalogos'!$A$2:$A$41,B314,'Catalogos'!$B$2:$B$41,C314)&gt;0,"Correcta","Revisar Región DM")</x:f>
        <x:v>Correcta</x:v>
      </x:c>
      <x:c r="E314" s="45" t="str">
        <x:f>IF(COUNTIFS('Ubicaciones'!$C$2:$C$10001,A314)=1,"Único","Duplicado")</x:f>
        <x:v>Único</x:v>
      </x:c>
      <x:c r="F314" s="45" t="str">
        <x:f>IF('Ubicaciones'!T314=1,"Ubicable",IF(OR('Ubicaciones'!E314="Abierta",'Ubicaciones'!E314="Próxima Apertura"),"Coordenadas o activa pendientes","Fuera por estatus"))</x:f>
        <x:v>Ubicable</x:v>
      </x:c>
    </x:row>
    <x:row r="315" ht="23" customHeight="1">
      <x:c r="A315" s="45" t="str">
        <x:f>'Ubicaciones'!C315</x:f>
        <x:v>38404</x:v>
      </x:c>
      <x:c r="B315" s="45" t="str">
        <x:f>'Ubicaciones'!A315</x:f>
        <x:v>Centro Centro</x:v>
      </x:c>
      <x:c r="C315" s="45" t="str">
        <x:f>'Ubicaciones'!B315</x:f>
        <x:v>Guadalupe Ibarra Martinez</x:v>
      </x:c>
      <x:c r="D315" s="45" t="str">
        <x:f>IF(COUNTIFS('Catalogos'!$A$2:$A$41,B315,'Catalogos'!$B$2:$B$41,C315)&gt;0,"Correcta","Revisar Región DM")</x:f>
        <x:v>Correcta</x:v>
      </x:c>
      <x:c r="E315" s="45" t="str">
        <x:f>IF(COUNTIFS('Ubicaciones'!$C$2:$C$10001,A315)=1,"Único","Duplicado")</x:f>
        <x:v>Único</x:v>
      </x:c>
      <x:c r="F315" s="45" t="str">
        <x:f>IF('Ubicaciones'!T315=1,"Ubicable",IF(OR('Ubicaciones'!E315="Abierta",'Ubicaciones'!E315="Próxima Apertura"),"Coordenadas o activa pendientes","Fuera por estatus"))</x:f>
        <x:v>Ubicable</x:v>
      </x:c>
    </x:row>
    <x:row r="316" ht="23" customHeight="1">
      <x:c r="A316" s="45" t="str">
        <x:f>'Ubicaciones'!C316</x:f>
        <x:v>38422</x:v>
      </x:c>
      <x:c r="B316" s="45" t="str">
        <x:f>'Ubicaciones'!A316</x:f>
        <x:v>Centro Centro</x:v>
      </x:c>
      <x:c r="C316" s="45" t="str">
        <x:f>'Ubicaciones'!B316</x:f>
        <x:v>Guadalupe Ibarra Martinez</x:v>
      </x:c>
      <x:c r="D316" s="45" t="str">
        <x:f>IF(COUNTIFS('Catalogos'!$A$2:$A$41,B316,'Catalogos'!$B$2:$B$41,C316)&gt;0,"Correcta","Revisar Región DM")</x:f>
        <x:v>Correcta</x:v>
      </x:c>
      <x:c r="E316" s="45" t="str">
        <x:f>IF(COUNTIFS('Ubicaciones'!$C$2:$C$10001,A316)=1,"Único","Duplicado")</x:f>
        <x:v>Único</x:v>
      </x:c>
      <x:c r="F316" s="45" t="str">
        <x:f>IF('Ubicaciones'!T316=1,"Ubicable",IF(OR('Ubicaciones'!E316="Abierta",'Ubicaciones'!E316="Próxima Apertura"),"Coordenadas o activa pendientes","Fuera por estatus"))</x:f>
        <x:v>Ubicable</x:v>
      </x:c>
    </x:row>
    <x:row r="317" ht="23" customHeight="1">
      <x:c r="A317" s="45" t="str">
        <x:f>'Ubicaciones'!C317</x:f>
        <x:v>38433</x:v>
      </x:c>
      <x:c r="B317" s="45" t="str">
        <x:f>'Ubicaciones'!A317</x:f>
        <x:v>Centro Centro</x:v>
      </x:c>
      <x:c r="C317" s="45" t="str">
        <x:f>'Ubicaciones'!B317</x:f>
        <x:v>Guadalupe Ibarra Martinez</x:v>
      </x:c>
      <x:c r="D317" s="45" t="str">
        <x:f>IF(COUNTIFS('Catalogos'!$A$2:$A$41,B317,'Catalogos'!$B$2:$B$41,C317)&gt;0,"Correcta","Revisar Región DM")</x:f>
        <x:v>Correcta</x:v>
      </x:c>
      <x:c r="E317" s="45" t="str">
        <x:f>IF(COUNTIFS('Ubicaciones'!$C$2:$C$10001,A317)=1,"Único","Duplicado")</x:f>
        <x:v>Único</x:v>
      </x:c>
      <x:c r="F317" s="45" t="str">
        <x:f>IF('Ubicaciones'!T317=1,"Ubicable",IF(OR('Ubicaciones'!E317="Abierta",'Ubicaciones'!E317="Próxima Apertura"),"Coordenadas o activa pendientes","Fuera por estatus"))</x:f>
        <x:v>Ubicable</x:v>
      </x:c>
    </x:row>
    <x:row r="318" ht="23" customHeight="1">
      <x:c r="A318" s="45" t="str">
        <x:f>'Ubicaciones'!C318</x:f>
        <x:v>38555</x:v>
      </x:c>
      <x:c r="B318" s="45" t="str">
        <x:f>'Ubicaciones'!A318</x:f>
        <x:v>Centro Centro</x:v>
      </x:c>
      <x:c r="C318" s="45" t="str">
        <x:f>'Ubicaciones'!B318</x:f>
        <x:v>Guadalupe Ibarra Martinez</x:v>
      </x:c>
      <x:c r="D318" s="45" t="str">
        <x:f>IF(COUNTIFS('Catalogos'!$A$2:$A$41,B318,'Catalogos'!$B$2:$B$41,C318)&gt;0,"Correcta","Revisar Región DM")</x:f>
        <x:v>Correcta</x:v>
      </x:c>
      <x:c r="E318" s="45" t="str">
        <x:f>IF(COUNTIFS('Ubicaciones'!$C$2:$C$10001,A318)=1,"Único","Duplicado")</x:f>
        <x:v>Único</x:v>
      </x:c>
      <x:c r="F318" s="45" t="str">
        <x:f>IF('Ubicaciones'!T318=1,"Ubicable",IF(OR('Ubicaciones'!E318="Abierta",'Ubicaciones'!E318="Próxima Apertura"),"Coordenadas o activa pendientes","Fuera por estatus"))</x:f>
        <x:v>Ubicable</x:v>
      </x:c>
    </x:row>
    <x:row r="319" ht="23" customHeight="1">
      <x:c r="A319" s="45" t="str">
        <x:f>'Ubicaciones'!C319</x:f>
        <x:v>38613</x:v>
      </x:c>
      <x:c r="B319" s="45" t="str">
        <x:f>'Ubicaciones'!A319</x:f>
        <x:v>Centro Centro</x:v>
      </x:c>
      <x:c r="C319" s="45" t="str">
        <x:f>'Ubicaciones'!B319</x:f>
        <x:v>Guadalupe Ibarra Martinez</x:v>
      </x:c>
      <x:c r="D319" s="45" t="str">
        <x:f>IF(COUNTIFS('Catalogos'!$A$2:$A$41,B319,'Catalogos'!$B$2:$B$41,C319)&gt;0,"Correcta","Revisar Región DM")</x:f>
        <x:v>Correcta</x:v>
      </x:c>
      <x:c r="E319" s="45" t="str">
        <x:f>IF(COUNTIFS('Ubicaciones'!$C$2:$C$10001,A319)=1,"Único","Duplicado")</x:f>
        <x:v>Único</x:v>
      </x:c>
      <x:c r="F319" s="45" t="str">
        <x:f>IF('Ubicaciones'!T319=1,"Ubicable",IF(OR('Ubicaciones'!E319="Abierta",'Ubicaciones'!E319="Próxima Apertura"),"Coordenadas o activa pendientes","Fuera por estatus"))</x:f>
        <x:v>Fuera por estatus</x:v>
      </x:c>
    </x:row>
    <x:row r="320" ht="23" customHeight="1">
      <x:c r="A320" s="45" t="str">
        <x:f>'Ubicaciones'!C320</x:f>
        <x:v>38654</x:v>
      </x:c>
      <x:c r="B320" s="45" t="str">
        <x:f>'Ubicaciones'!A320</x:f>
        <x:v>Centro Centro</x:v>
      </x:c>
      <x:c r="C320" s="45" t="str">
        <x:f>'Ubicaciones'!B320</x:f>
        <x:v>Guadalupe Ibarra Martinez</x:v>
      </x:c>
      <x:c r="D320" s="45" t="str">
        <x:f>IF(COUNTIFS('Catalogos'!$A$2:$A$41,B320,'Catalogos'!$B$2:$B$41,C320)&gt;0,"Correcta","Revisar Región DM")</x:f>
        <x:v>Correcta</x:v>
      </x:c>
      <x:c r="E320" s="45" t="str">
        <x:f>IF(COUNTIFS('Ubicaciones'!$C$2:$C$10001,A320)=1,"Único","Duplicado")</x:f>
        <x:v>Único</x:v>
      </x:c>
      <x:c r="F320" s="45" t="str">
        <x:f>IF('Ubicaciones'!T320=1,"Ubicable",IF(OR('Ubicaciones'!E320="Abierta",'Ubicaciones'!E320="Próxima Apertura"),"Coordenadas o activa pendientes","Fuera por estatus"))</x:f>
        <x:v>Ubicable</x:v>
      </x:c>
    </x:row>
    <x:row r="321" ht="23" customHeight="1">
      <x:c r="A321" s="45" t="str">
        <x:f>'Ubicaciones'!C321</x:f>
        <x:v>38681</x:v>
      </x:c>
      <x:c r="B321" s="45" t="str">
        <x:f>'Ubicaciones'!A321</x:f>
        <x:v>Centro Centro</x:v>
      </x:c>
      <x:c r="C321" s="45" t="str">
        <x:f>'Ubicaciones'!B321</x:f>
        <x:v>Guadalupe Ibarra Martinez</x:v>
      </x:c>
      <x:c r="D321" s="45" t="str">
        <x:f>IF(COUNTIFS('Catalogos'!$A$2:$A$41,B321,'Catalogos'!$B$2:$B$41,C321)&gt;0,"Correcta","Revisar Región DM")</x:f>
        <x:v>Correcta</x:v>
      </x:c>
      <x:c r="E321" s="45" t="str">
        <x:f>IF(COUNTIFS('Ubicaciones'!$C$2:$C$10001,A321)=1,"Único","Duplicado")</x:f>
        <x:v>Único</x:v>
      </x:c>
      <x:c r="F321" s="45" t="str">
        <x:f>IF('Ubicaciones'!T321=1,"Ubicable",IF(OR('Ubicaciones'!E321="Abierta",'Ubicaciones'!E321="Próxima Apertura"),"Coordenadas o activa pendientes","Fuera por estatus"))</x:f>
        <x:v>Ubicable</x:v>
      </x:c>
    </x:row>
    <x:row r="322" ht="23" customHeight="1">
      <x:c r="A322" s="45" t="str">
        <x:f>'Ubicaciones'!C322</x:f>
        <x:v>43188</x:v>
      </x:c>
      <x:c r="B322" s="45" t="str">
        <x:f>'Ubicaciones'!A322</x:f>
        <x:v>Centro Centro</x:v>
      </x:c>
      <x:c r="C322" s="45" t="str">
        <x:f>'Ubicaciones'!B322</x:f>
        <x:v>Guadalupe Ibarra Martinez</x:v>
      </x:c>
      <x:c r="D322" s="45" t="str">
        <x:f>IF(COUNTIFS('Catalogos'!$A$2:$A$41,B322,'Catalogos'!$B$2:$B$41,C322)&gt;0,"Correcta","Revisar Región DM")</x:f>
        <x:v>Correcta</x:v>
      </x:c>
      <x:c r="E322" s="45" t="str">
        <x:f>IF(COUNTIFS('Ubicaciones'!$C$2:$C$10001,A322)=1,"Único","Duplicado")</x:f>
        <x:v>Único</x:v>
      </x:c>
      <x:c r="F322" s="45" t="str">
        <x:f>IF('Ubicaciones'!T322=1,"Ubicable",IF(OR('Ubicaciones'!E322="Abierta",'Ubicaciones'!E322="Próxima Apertura"),"Coordenadas o activa pendientes","Fuera por estatus"))</x:f>
        <x:v>Ubicable</x:v>
      </x:c>
    </x:row>
    <x:row r="323" ht="23" customHeight="1">
      <x:c r="A323" s="45" t="str">
        <x:f>'Ubicaciones'!C323</x:f>
        <x:v>43248</x:v>
      </x:c>
      <x:c r="B323" s="45" t="str">
        <x:f>'Ubicaciones'!A323</x:f>
        <x:v>Centro Centro</x:v>
      </x:c>
      <x:c r="C323" s="45" t="str">
        <x:f>'Ubicaciones'!B323</x:f>
        <x:v>Guadalupe Ibarra Martinez</x:v>
      </x:c>
      <x:c r="D323" s="45" t="str">
        <x:f>IF(COUNTIFS('Catalogos'!$A$2:$A$41,B323,'Catalogos'!$B$2:$B$41,C323)&gt;0,"Correcta","Revisar Región DM")</x:f>
        <x:v>Correcta</x:v>
      </x:c>
      <x:c r="E323" s="45" t="str">
        <x:f>IF(COUNTIFS('Ubicaciones'!$C$2:$C$10001,A323)=1,"Único","Duplicado")</x:f>
        <x:v>Único</x:v>
      </x:c>
      <x:c r="F323" s="45" t="str">
        <x:f>IF('Ubicaciones'!T323=1,"Ubicable",IF(OR('Ubicaciones'!E323="Abierta",'Ubicaciones'!E323="Próxima Apertura"),"Coordenadas o activa pendientes","Fuera por estatus"))</x:f>
        <x:v>Ubicable</x:v>
      </x:c>
    </x:row>
    <x:row r="324" ht="23" customHeight="1">
      <x:c r="A324" s="45" t="str">
        <x:f>'Ubicaciones'!C324</x:f>
        <x:v>38111</x:v>
      </x:c>
      <x:c r="B324" s="45" t="str">
        <x:f>'Ubicaciones'!A324</x:f>
        <x:v>Centro Centro</x:v>
      </x:c>
      <x:c r="C324" s="45" t="str">
        <x:f>'Ubicaciones'!B324</x:f>
        <x:v>Luis Manuel Neri Saldana</x:v>
      </x:c>
      <x:c r="D324" s="45" t="str">
        <x:f>IF(COUNTIFS('Catalogos'!$A$2:$A$41,B324,'Catalogos'!$B$2:$B$41,C324)&gt;0,"Correcta","Revisar Región DM")</x:f>
        <x:v>Correcta</x:v>
      </x:c>
      <x:c r="E324" s="45" t="str">
        <x:f>IF(COUNTIFS('Ubicaciones'!$C$2:$C$10001,A324)=1,"Único","Duplicado")</x:f>
        <x:v>Único</x:v>
      </x:c>
      <x:c r="F324" s="45" t="str">
        <x:f>IF('Ubicaciones'!T324=1,"Ubicable",IF(OR('Ubicaciones'!E324="Abierta",'Ubicaciones'!E324="Próxima Apertura"),"Coordenadas o activa pendientes","Fuera por estatus"))</x:f>
        <x:v>Ubicable</x:v>
      </x:c>
    </x:row>
    <x:row r="325" ht="23" customHeight="1">
      <x:c r="A325" s="45" t="str">
        <x:f>'Ubicaciones'!C325</x:f>
        <x:v>38118</x:v>
      </x:c>
      <x:c r="B325" s="45" t="str">
        <x:f>'Ubicaciones'!A325</x:f>
        <x:v>Centro Centro</x:v>
      </x:c>
      <x:c r="C325" s="45" t="str">
        <x:f>'Ubicaciones'!B325</x:f>
        <x:v>Luis Manuel Neri Saldana</x:v>
      </x:c>
      <x:c r="D325" s="45" t="str">
        <x:f>IF(COUNTIFS('Catalogos'!$A$2:$A$41,B325,'Catalogos'!$B$2:$B$41,C325)&gt;0,"Correcta","Revisar Región DM")</x:f>
        <x:v>Correcta</x:v>
      </x:c>
      <x:c r="E325" s="45" t="str">
        <x:f>IF(COUNTIFS('Ubicaciones'!$C$2:$C$10001,A325)=1,"Único","Duplicado")</x:f>
        <x:v>Único</x:v>
      </x:c>
      <x:c r="F325" s="45" t="str">
        <x:f>IF('Ubicaciones'!T325=1,"Ubicable",IF(OR('Ubicaciones'!E325="Abierta",'Ubicaciones'!E325="Próxima Apertura"),"Coordenadas o activa pendientes","Fuera por estatus"))</x:f>
        <x:v>Ubicable</x:v>
      </x:c>
    </x:row>
    <x:row r="326" ht="23" customHeight="1">
      <x:c r="A326" s="45" t="str">
        <x:f>'Ubicaciones'!C326</x:f>
        <x:v>38194</x:v>
      </x:c>
      <x:c r="B326" s="45" t="str">
        <x:f>'Ubicaciones'!A326</x:f>
        <x:v>Centro Centro</x:v>
      </x:c>
      <x:c r="C326" s="45" t="str">
        <x:f>'Ubicaciones'!B326</x:f>
        <x:v>Luis Manuel Neri Saldana</x:v>
      </x:c>
      <x:c r="D326" s="45" t="str">
        <x:f>IF(COUNTIFS('Catalogos'!$A$2:$A$41,B326,'Catalogos'!$B$2:$B$41,C326)&gt;0,"Correcta","Revisar Región DM")</x:f>
        <x:v>Correcta</x:v>
      </x:c>
      <x:c r="E326" s="45" t="str">
        <x:f>IF(COUNTIFS('Ubicaciones'!$C$2:$C$10001,A326)=1,"Único","Duplicado")</x:f>
        <x:v>Único</x:v>
      </x:c>
      <x:c r="F326" s="45" t="str">
        <x:f>IF('Ubicaciones'!T326=1,"Ubicable",IF(OR('Ubicaciones'!E326="Abierta",'Ubicaciones'!E326="Próxima Apertura"),"Coordenadas o activa pendientes","Fuera por estatus"))</x:f>
        <x:v>Ubicable</x:v>
      </x:c>
    </x:row>
    <x:row r="327" ht="23" customHeight="1">
      <x:c r="A327" s="45" t="str">
        <x:f>'Ubicaciones'!C327</x:f>
        <x:v>38219</x:v>
      </x:c>
      <x:c r="B327" s="45" t="str">
        <x:f>'Ubicaciones'!A327</x:f>
        <x:v>Centro Centro</x:v>
      </x:c>
      <x:c r="C327" s="45" t="str">
        <x:f>'Ubicaciones'!B327</x:f>
        <x:v>Luis Manuel Neri Saldana</x:v>
      </x:c>
      <x:c r="D327" s="45" t="str">
        <x:f>IF(COUNTIFS('Catalogos'!$A$2:$A$41,B327,'Catalogos'!$B$2:$B$41,C327)&gt;0,"Correcta","Revisar Región DM")</x:f>
        <x:v>Correcta</x:v>
      </x:c>
      <x:c r="E327" s="45" t="str">
        <x:f>IF(COUNTIFS('Ubicaciones'!$C$2:$C$10001,A327)=1,"Único","Duplicado")</x:f>
        <x:v>Único</x:v>
      </x:c>
      <x:c r="F327" s="45" t="str">
        <x:f>IF('Ubicaciones'!T327=1,"Ubicable",IF(OR('Ubicaciones'!E327="Abierta",'Ubicaciones'!E327="Próxima Apertura"),"Coordenadas o activa pendientes","Fuera por estatus"))</x:f>
        <x:v>Ubicable</x:v>
      </x:c>
    </x:row>
    <x:row r="328" ht="23" customHeight="1">
      <x:c r="A328" s="45" t="str">
        <x:f>'Ubicaciones'!C328</x:f>
        <x:v>38349</x:v>
      </x:c>
      <x:c r="B328" s="45" t="str">
        <x:f>'Ubicaciones'!A328</x:f>
        <x:v>Centro Centro</x:v>
      </x:c>
      <x:c r="C328" s="45" t="str">
        <x:f>'Ubicaciones'!B328</x:f>
        <x:v>Luis Manuel Neri Saldana</x:v>
      </x:c>
      <x:c r="D328" s="45" t="str">
        <x:f>IF(COUNTIFS('Catalogos'!$A$2:$A$41,B328,'Catalogos'!$B$2:$B$41,C328)&gt;0,"Correcta","Revisar Región DM")</x:f>
        <x:v>Correcta</x:v>
      </x:c>
      <x:c r="E328" s="45" t="str">
        <x:f>IF(COUNTIFS('Ubicaciones'!$C$2:$C$10001,A328)=1,"Único","Duplicado")</x:f>
        <x:v>Único</x:v>
      </x:c>
      <x:c r="F328" s="45" t="str">
        <x:f>IF('Ubicaciones'!T328=1,"Ubicable",IF(OR('Ubicaciones'!E328="Abierta",'Ubicaciones'!E328="Próxima Apertura"),"Coordenadas o activa pendientes","Fuera por estatus"))</x:f>
        <x:v>Ubicable</x:v>
      </x:c>
    </x:row>
    <x:row r="329" ht="23" customHeight="1">
      <x:c r="A329" s="45" t="str">
        <x:f>'Ubicaciones'!C329</x:f>
        <x:v>38399</x:v>
      </x:c>
      <x:c r="B329" s="45" t="str">
        <x:f>'Ubicaciones'!A329</x:f>
        <x:v>Centro Centro</x:v>
      </x:c>
      <x:c r="C329" s="45" t="str">
        <x:f>'Ubicaciones'!B329</x:f>
        <x:v>Luis Manuel Neri Saldana</x:v>
      </x:c>
      <x:c r="D329" s="45" t="str">
        <x:f>IF(COUNTIFS('Catalogos'!$A$2:$A$41,B329,'Catalogos'!$B$2:$B$41,C329)&gt;0,"Correcta","Revisar Región DM")</x:f>
        <x:v>Correcta</x:v>
      </x:c>
      <x:c r="E329" s="45" t="str">
        <x:f>IF(COUNTIFS('Ubicaciones'!$C$2:$C$10001,A329)=1,"Único","Duplicado")</x:f>
        <x:v>Único</x:v>
      </x:c>
      <x:c r="F329" s="45" t="str">
        <x:f>IF('Ubicaciones'!T329=1,"Ubicable",IF(OR('Ubicaciones'!E329="Abierta",'Ubicaciones'!E329="Próxima Apertura"),"Coordenadas o activa pendientes","Fuera por estatus"))</x:f>
        <x:v>Ubicable</x:v>
      </x:c>
    </x:row>
    <x:row r="330" ht="23" customHeight="1">
      <x:c r="A330" s="45" t="str">
        <x:f>'Ubicaciones'!C330</x:f>
        <x:v>38405</x:v>
      </x:c>
      <x:c r="B330" s="45" t="str">
        <x:f>'Ubicaciones'!A330</x:f>
        <x:v>Centro Centro</x:v>
      </x:c>
      <x:c r="C330" s="45" t="str">
        <x:f>'Ubicaciones'!B330</x:f>
        <x:v>Luis Manuel Neri Saldana</x:v>
      </x:c>
      <x:c r="D330" s="45" t="str">
        <x:f>IF(COUNTIFS('Catalogos'!$A$2:$A$41,B330,'Catalogos'!$B$2:$B$41,C330)&gt;0,"Correcta","Revisar Región DM")</x:f>
        <x:v>Correcta</x:v>
      </x:c>
      <x:c r="E330" s="45" t="str">
        <x:f>IF(COUNTIFS('Ubicaciones'!$C$2:$C$10001,A330)=1,"Único","Duplicado")</x:f>
        <x:v>Único</x:v>
      </x:c>
      <x:c r="F330" s="45" t="str">
        <x:f>IF('Ubicaciones'!T330=1,"Ubicable",IF(OR('Ubicaciones'!E330="Abierta",'Ubicaciones'!E330="Próxima Apertura"),"Coordenadas o activa pendientes","Fuera por estatus"))</x:f>
        <x:v>Ubicable</x:v>
      </x:c>
    </x:row>
    <x:row r="331" ht="23" customHeight="1">
      <x:c r="A331" s="45" t="str">
        <x:f>'Ubicaciones'!C331</x:f>
        <x:v>38470</x:v>
      </x:c>
      <x:c r="B331" s="45" t="str">
        <x:f>'Ubicaciones'!A331</x:f>
        <x:v>Centro Centro</x:v>
      </x:c>
      <x:c r="C331" s="45" t="str">
        <x:f>'Ubicaciones'!B331</x:f>
        <x:v>Luis Manuel Neri Saldana</x:v>
      </x:c>
      <x:c r="D331" s="45" t="str">
        <x:f>IF(COUNTIFS('Catalogos'!$A$2:$A$41,B331,'Catalogos'!$B$2:$B$41,C331)&gt;0,"Correcta","Revisar Región DM")</x:f>
        <x:v>Correcta</x:v>
      </x:c>
      <x:c r="E331" s="45" t="str">
        <x:f>IF(COUNTIFS('Ubicaciones'!$C$2:$C$10001,A331)=1,"Único","Duplicado")</x:f>
        <x:v>Único</x:v>
      </x:c>
      <x:c r="F331" s="45" t="str">
        <x:f>IF('Ubicaciones'!T331=1,"Ubicable",IF(OR('Ubicaciones'!E331="Abierta",'Ubicaciones'!E331="Próxima Apertura"),"Coordenadas o activa pendientes","Fuera por estatus"))</x:f>
        <x:v>Ubicable</x:v>
      </x:c>
    </x:row>
    <x:row r="332" ht="23" customHeight="1">
      <x:c r="A332" s="45" t="str">
        <x:f>'Ubicaciones'!C332</x:f>
        <x:v>38557</x:v>
      </x:c>
      <x:c r="B332" s="45" t="str">
        <x:f>'Ubicaciones'!A332</x:f>
        <x:v>Centro Centro</x:v>
      </x:c>
      <x:c r="C332" s="45" t="str">
        <x:f>'Ubicaciones'!B332</x:f>
        <x:v>Luis Manuel Neri Saldana</x:v>
      </x:c>
      <x:c r="D332" s="45" t="str">
        <x:f>IF(COUNTIFS('Catalogos'!$A$2:$A$41,B332,'Catalogos'!$B$2:$B$41,C332)&gt;0,"Correcta","Revisar Región DM")</x:f>
        <x:v>Correcta</x:v>
      </x:c>
      <x:c r="E332" s="45" t="str">
        <x:f>IF(COUNTIFS('Ubicaciones'!$C$2:$C$10001,A332)=1,"Único","Duplicado")</x:f>
        <x:v>Único</x:v>
      </x:c>
      <x:c r="F332" s="45" t="str">
        <x:f>IF('Ubicaciones'!T332=1,"Ubicable",IF(OR('Ubicaciones'!E332="Abierta",'Ubicaciones'!E332="Próxima Apertura"),"Coordenadas o activa pendientes","Fuera por estatus"))</x:f>
        <x:v>Ubicable</x:v>
      </x:c>
    </x:row>
    <x:row r="333" ht="23" customHeight="1">
      <x:c r="A333" s="45" t="str">
        <x:f>'Ubicaciones'!C333</x:f>
        <x:v>38581</x:v>
      </x:c>
      <x:c r="B333" s="45" t="str">
        <x:f>'Ubicaciones'!A333</x:f>
        <x:v>Centro Centro</x:v>
      </x:c>
      <x:c r="C333" s="45" t="str">
        <x:f>'Ubicaciones'!B333</x:f>
        <x:v>Luis Manuel Neri Saldana</x:v>
      </x:c>
      <x:c r="D333" s="45" t="str">
        <x:f>IF(COUNTIFS('Catalogos'!$A$2:$A$41,B333,'Catalogos'!$B$2:$B$41,C333)&gt;0,"Correcta","Revisar Región DM")</x:f>
        <x:v>Correcta</x:v>
      </x:c>
      <x:c r="E333" s="45" t="str">
        <x:f>IF(COUNTIFS('Ubicaciones'!$C$2:$C$10001,A333)=1,"Único","Duplicado")</x:f>
        <x:v>Único</x:v>
      </x:c>
      <x:c r="F333" s="45" t="str">
        <x:f>IF('Ubicaciones'!T333=1,"Ubicable",IF(OR('Ubicaciones'!E333="Abierta",'Ubicaciones'!E333="Próxima Apertura"),"Coordenadas o activa pendientes","Fuera por estatus"))</x:f>
        <x:v>Ubicable</x:v>
      </x:c>
    </x:row>
    <x:row r="334" ht="23" customHeight="1">
      <x:c r="A334" s="45" t="str">
        <x:f>'Ubicaciones'!C334</x:f>
        <x:v>38600</x:v>
      </x:c>
      <x:c r="B334" s="45" t="str">
        <x:f>'Ubicaciones'!A334</x:f>
        <x:v>Centro Centro</x:v>
      </x:c>
      <x:c r="C334" s="45" t="str">
        <x:f>'Ubicaciones'!B334</x:f>
        <x:v>Luis Manuel Neri Saldana</x:v>
      </x:c>
      <x:c r="D334" s="45" t="str">
        <x:f>IF(COUNTIFS('Catalogos'!$A$2:$A$41,B334,'Catalogos'!$B$2:$B$41,C334)&gt;0,"Correcta","Revisar Región DM")</x:f>
        <x:v>Correcta</x:v>
      </x:c>
      <x:c r="E334" s="45" t="str">
        <x:f>IF(COUNTIFS('Ubicaciones'!$C$2:$C$10001,A334)=1,"Único","Duplicado")</x:f>
        <x:v>Único</x:v>
      </x:c>
      <x:c r="F334" s="45" t="str">
        <x:f>IF('Ubicaciones'!T334=1,"Ubicable",IF(OR('Ubicaciones'!E334="Abierta",'Ubicaciones'!E334="Próxima Apertura"),"Coordenadas o activa pendientes","Fuera por estatus"))</x:f>
        <x:v>Ubicable</x:v>
      </x:c>
    </x:row>
    <x:row r="335" ht="23" customHeight="1">
      <x:c r="A335" s="45" t="str">
        <x:f>'Ubicaciones'!C335</x:f>
        <x:v>38612</x:v>
      </x:c>
      <x:c r="B335" s="45" t="str">
        <x:f>'Ubicaciones'!A335</x:f>
        <x:v>Centro Centro</x:v>
      </x:c>
      <x:c r="C335" s="45" t="str">
        <x:f>'Ubicaciones'!B335</x:f>
        <x:v>Luis Manuel Neri Saldana</x:v>
      </x:c>
      <x:c r="D335" s="45" t="str">
        <x:f>IF(COUNTIFS('Catalogos'!$A$2:$A$41,B335,'Catalogos'!$B$2:$B$41,C335)&gt;0,"Correcta","Revisar Región DM")</x:f>
        <x:v>Correcta</x:v>
      </x:c>
      <x:c r="E335" s="45" t="str">
        <x:f>IF(COUNTIFS('Ubicaciones'!$C$2:$C$10001,A335)=1,"Único","Duplicado")</x:f>
        <x:v>Único</x:v>
      </x:c>
      <x:c r="F335" s="45" t="str">
        <x:f>IF('Ubicaciones'!T335=1,"Ubicable",IF(OR('Ubicaciones'!E335="Abierta",'Ubicaciones'!E335="Próxima Apertura"),"Coordenadas o activa pendientes","Fuera por estatus"))</x:f>
        <x:v>Ubicable</x:v>
      </x:c>
    </x:row>
    <x:row r="336" ht="23" customHeight="1">
      <x:c r="A336" s="45" t="str">
        <x:f>'Ubicaciones'!C336</x:f>
        <x:v>38676</x:v>
      </x:c>
      <x:c r="B336" s="45" t="str">
        <x:f>'Ubicaciones'!A336</x:f>
        <x:v>Centro Centro</x:v>
      </x:c>
      <x:c r="C336" s="45" t="str">
        <x:f>'Ubicaciones'!B336</x:f>
        <x:v>Luis Manuel Neri Saldana</x:v>
      </x:c>
      <x:c r="D336" s="45" t="str">
        <x:f>IF(COUNTIFS('Catalogos'!$A$2:$A$41,B336,'Catalogos'!$B$2:$B$41,C336)&gt;0,"Correcta","Revisar Región DM")</x:f>
        <x:v>Correcta</x:v>
      </x:c>
      <x:c r="E336" s="45" t="str">
        <x:f>IF(COUNTIFS('Ubicaciones'!$C$2:$C$10001,A336)=1,"Único","Duplicado")</x:f>
        <x:v>Único</x:v>
      </x:c>
      <x:c r="F336" s="45" t="str">
        <x:f>IF('Ubicaciones'!T336=1,"Ubicable",IF(OR('Ubicaciones'!E336="Abierta",'Ubicaciones'!E336="Próxima Apertura"),"Coordenadas o activa pendientes","Fuera por estatus"))</x:f>
        <x:v>Ubicable</x:v>
      </x:c>
    </x:row>
    <x:row r="337" ht="23" customHeight="1">
      <x:c r="A337" s="45" t="str">
        <x:f>'Ubicaciones'!C337</x:f>
        <x:v>38982</x:v>
      </x:c>
      <x:c r="B337" s="45" t="str">
        <x:f>'Ubicaciones'!A337</x:f>
        <x:v>Centro Centro</x:v>
      </x:c>
      <x:c r="C337" s="45" t="str">
        <x:f>'Ubicaciones'!B337</x:f>
        <x:v>Luis Manuel Neri Saldana</x:v>
      </x:c>
      <x:c r="D337" s="45" t="str">
        <x:f>IF(COUNTIFS('Catalogos'!$A$2:$A$41,B337,'Catalogos'!$B$2:$B$41,C337)&gt;0,"Correcta","Revisar Región DM")</x:f>
        <x:v>Correcta</x:v>
      </x:c>
      <x:c r="E337" s="45" t="str">
        <x:f>IF(COUNTIFS('Ubicaciones'!$C$2:$C$10001,A337)=1,"Único","Duplicado")</x:f>
        <x:v>Único</x:v>
      </x:c>
      <x:c r="F337" s="45" t="str">
        <x:f>IF('Ubicaciones'!T337=1,"Ubicable",IF(OR('Ubicaciones'!E337="Abierta",'Ubicaciones'!E337="Próxima Apertura"),"Coordenadas o activa pendientes","Fuera por estatus"))</x:f>
        <x:v>Ubicable</x:v>
      </x:c>
    </x:row>
    <x:row r="338" ht="23" customHeight="1">
      <x:c r="A338" s="45" t="str">
        <x:f>'Ubicaciones'!C338</x:f>
        <x:v>43045</x:v>
      </x:c>
      <x:c r="B338" s="45" t="str">
        <x:f>'Ubicaciones'!A338</x:f>
        <x:v>Centro Centro</x:v>
      </x:c>
      <x:c r="C338" s="45" t="str">
        <x:f>'Ubicaciones'!B338</x:f>
        <x:v>Luis Manuel Neri Saldana</x:v>
      </x:c>
      <x:c r="D338" s="45" t="str">
        <x:f>IF(COUNTIFS('Catalogos'!$A$2:$A$41,B338,'Catalogos'!$B$2:$B$41,C338)&gt;0,"Correcta","Revisar Región DM")</x:f>
        <x:v>Correcta</x:v>
      </x:c>
      <x:c r="E338" s="45" t="str">
        <x:f>IF(COUNTIFS('Ubicaciones'!$C$2:$C$10001,A338)=1,"Único","Duplicado")</x:f>
        <x:v>Único</x:v>
      </x:c>
      <x:c r="F338" s="45" t="str">
        <x:f>IF('Ubicaciones'!T338=1,"Ubicable",IF(OR('Ubicaciones'!E338="Abierta",'Ubicaciones'!E338="Próxima Apertura"),"Coordenadas o activa pendientes","Fuera por estatus"))</x:f>
        <x:v>Ubicable</x:v>
      </x:c>
    </x:row>
    <x:row r="339" ht="23" customHeight="1">
      <x:c r="A339" s="45" t="str">
        <x:f>'Ubicaciones'!C339</x:f>
        <x:v>38151</x:v>
      </x:c>
      <x:c r="B339" s="45" t="str">
        <x:f>'Ubicaciones'!A339</x:f>
        <x:v>Centro Centro</x:v>
      </x:c>
      <x:c r="C339" s="45" t="str">
        <x:f>'Ubicaciones'!B339</x:f>
        <x:v>Maria Anallely Sanchez Garcia</x:v>
      </x:c>
      <x:c r="D339" s="45" t="str">
        <x:f>IF(COUNTIFS('Catalogos'!$A$2:$A$41,B339,'Catalogos'!$B$2:$B$41,C339)&gt;0,"Correcta","Revisar Región DM")</x:f>
        <x:v>Correcta</x:v>
      </x:c>
      <x:c r="E339" s="45" t="str">
        <x:f>IF(COUNTIFS('Ubicaciones'!$C$2:$C$10001,A339)=1,"Único","Duplicado")</x:f>
        <x:v>Único</x:v>
      </x:c>
      <x:c r="F339" s="45" t="str">
        <x:f>IF('Ubicaciones'!T339=1,"Ubicable",IF(OR('Ubicaciones'!E339="Abierta",'Ubicaciones'!E339="Próxima Apertura"),"Coordenadas o activa pendientes","Fuera por estatus"))</x:f>
        <x:v>Ubicable</x:v>
      </x:c>
    </x:row>
    <x:row r="340" ht="23" customHeight="1">
      <x:c r="A340" s="45" t="str">
        <x:f>'Ubicaciones'!C340</x:f>
        <x:v>38167</x:v>
      </x:c>
      <x:c r="B340" s="45" t="str">
        <x:f>'Ubicaciones'!A340</x:f>
        <x:v>Centro Centro</x:v>
      </x:c>
      <x:c r="C340" s="45" t="str">
        <x:f>'Ubicaciones'!B340</x:f>
        <x:v>Maria Anallely Sanchez Garcia</x:v>
      </x:c>
      <x:c r="D340" s="45" t="str">
        <x:f>IF(COUNTIFS('Catalogos'!$A$2:$A$41,B340,'Catalogos'!$B$2:$B$41,C340)&gt;0,"Correcta","Revisar Región DM")</x:f>
        <x:v>Correcta</x:v>
      </x:c>
      <x:c r="E340" s="45" t="str">
        <x:f>IF(COUNTIFS('Ubicaciones'!$C$2:$C$10001,A340)=1,"Único","Duplicado")</x:f>
        <x:v>Único</x:v>
      </x:c>
      <x:c r="F340" s="45" t="str">
        <x:f>IF('Ubicaciones'!T340=1,"Ubicable",IF(OR('Ubicaciones'!E340="Abierta",'Ubicaciones'!E340="Próxima Apertura"),"Coordenadas o activa pendientes","Fuera por estatus"))</x:f>
        <x:v>Ubicable</x:v>
      </x:c>
    </x:row>
    <x:row r="341" ht="23" customHeight="1">
      <x:c r="A341" s="45" t="str">
        <x:f>'Ubicaciones'!C341</x:f>
        <x:v>38168</x:v>
      </x:c>
      <x:c r="B341" s="45" t="str">
        <x:f>'Ubicaciones'!A341</x:f>
        <x:v>Centro Centro</x:v>
      </x:c>
      <x:c r="C341" s="45" t="str">
        <x:f>'Ubicaciones'!B341</x:f>
        <x:v>Maria Anallely Sanchez Garcia</x:v>
      </x:c>
      <x:c r="D341" s="45" t="str">
        <x:f>IF(COUNTIFS('Catalogos'!$A$2:$A$41,B341,'Catalogos'!$B$2:$B$41,C341)&gt;0,"Correcta","Revisar Región DM")</x:f>
        <x:v>Correcta</x:v>
      </x:c>
      <x:c r="E341" s="45" t="str">
        <x:f>IF(COUNTIFS('Ubicaciones'!$C$2:$C$10001,A341)=1,"Único","Duplicado")</x:f>
        <x:v>Único</x:v>
      </x:c>
      <x:c r="F341" s="45" t="str">
        <x:f>IF('Ubicaciones'!T341=1,"Ubicable",IF(OR('Ubicaciones'!E341="Abierta",'Ubicaciones'!E341="Próxima Apertura"),"Coordenadas o activa pendientes","Fuera por estatus"))</x:f>
        <x:v>Fuera por estatus</x:v>
      </x:c>
    </x:row>
    <x:row r="342" ht="23" customHeight="1">
      <x:c r="A342" s="45" t="str">
        <x:f>'Ubicaciones'!C342</x:f>
        <x:v>38171</x:v>
      </x:c>
      <x:c r="B342" s="45" t="str">
        <x:f>'Ubicaciones'!A342</x:f>
        <x:v>Centro Centro</x:v>
      </x:c>
      <x:c r="C342" s="45" t="str">
        <x:f>'Ubicaciones'!B342</x:f>
        <x:v>Maria Anallely Sanchez Garcia</x:v>
      </x:c>
      <x:c r="D342" s="45" t="str">
        <x:f>IF(COUNTIFS('Catalogos'!$A$2:$A$41,B342,'Catalogos'!$B$2:$B$41,C342)&gt;0,"Correcta","Revisar Región DM")</x:f>
        <x:v>Correcta</x:v>
      </x:c>
      <x:c r="E342" s="45" t="str">
        <x:f>IF(COUNTIFS('Ubicaciones'!$C$2:$C$10001,A342)=1,"Único","Duplicado")</x:f>
        <x:v>Único</x:v>
      </x:c>
      <x:c r="F342" s="45" t="str">
        <x:f>IF('Ubicaciones'!T342=1,"Ubicable",IF(OR('Ubicaciones'!E342="Abierta",'Ubicaciones'!E342="Próxima Apertura"),"Coordenadas o activa pendientes","Fuera por estatus"))</x:f>
        <x:v>Ubicable</x:v>
      </x:c>
    </x:row>
    <x:row r="343" ht="23" customHeight="1">
      <x:c r="A343" s="45" t="str">
        <x:f>'Ubicaciones'!C343</x:f>
        <x:v>38182</x:v>
      </x:c>
      <x:c r="B343" s="45" t="str">
        <x:f>'Ubicaciones'!A343</x:f>
        <x:v>Centro Centro</x:v>
      </x:c>
      <x:c r="C343" s="45" t="str">
        <x:f>'Ubicaciones'!B343</x:f>
        <x:v>Maria Anallely Sanchez Garcia</x:v>
      </x:c>
      <x:c r="D343" s="45" t="str">
        <x:f>IF(COUNTIFS('Catalogos'!$A$2:$A$41,B343,'Catalogos'!$B$2:$B$41,C343)&gt;0,"Correcta","Revisar Región DM")</x:f>
        <x:v>Correcta</x:v>
      </x:c>
      <x:c r="E343" s="45" t="str">
        <x:f>IF(COUNTIFS('Ubicaciones'!$C$2:$C$10001,A343)=1,"Único","Duplicado")</x:f>
        <x:v>Único</x:v>
      </x:c>
      <x:c r="F343" s="45" t="str">
        <x:f>IF('Ubicaciones'!T343=1,"Ubicable",IF(OR('Ubicaciones'!E343="Abierta",'Ubicaciones'!E343="Próxima Apertura"),"Coordenadas o activa pendientes","Fuera por estatus"))</x:f>
        <x:v>Ubicable</x:v>
      </x:c>
    </x:row>
    <x:row r="344" ht="23" customHeight="1">
      <x:c r="A344" s="45" t="str">
        <x:f>'Ubicaciones'!C344</x:f>
        <x:v>38297</x:v>
      </x:c>
      <x:c r="B344" s="45" t="str">
        <x:f>'Ubicaciones'!A344</x:f>
        <x:v>Centro Centro</x:v>
      </x:c>
      <x:c r="C344" s="45" t="str">
        <x:f>'Ubicaciones'!B344</x:f>
        <x:v>Maria Anallely Sanchez Garcia</x:v>
      </x:c>
      <x:c r="D344" s="45" t="str">
        <x:f>IF(COUNTIFS('Catalogos'!$A$2:$A$41,B344,'Catalogos'!$B$2:$B$41,C344)&gt;0,"Correcta","Revisar Región DM")</x:f>
        <x:v>Correcta</x:v>
      </x:c>
      <x:c r="E344" s="45" t="str">
        <x:f>IF(COUNTIFS('Ubicaciones'!$C$2:$C$10001,A344)=1,"Único","Duplicado")</x:f>
        <x:v>Único</x:v>
      </x:c>
      <x:c r="F344" s="45" t="str">
        <x:f>IF('Ubicaciones'!T344=1,"Ubicable",IF(OR('Ubicaciones'!E344="Abierta",'Ubicaciones'!E344="Próxima Apertura"),"Coordenadas o activa pendientes","Fuera por estatus"))</x:f>
        <x:v>Ubicable</x:v>
      </x:c>
    </x:row>
    <x:row r="345" ht="23" customHeight="1">
      <x:c r="A345" s="45" t="str">
        <x:f>'Ubicaciones'!C345</x:f>
        <x:v>38298</x:v>
      </x:c>
      <x:c r="B345" s="45" t="str">
        <x:f>'Ubicaciones'!A345</x:f>
        <x:v>Centro Centro</x:v>
      </x:c>
      <x:c r="C345" s="45" t="str">
        <x:f>'Ubicaciones'!B345</x:f>
        <x:v>Maria Anallely Sanchez Garcia</x:v>
      </x:c>
      <x:c r="D345" s="45" t="str">
        <x:f>IF(COUNTIFS('Catalogos'!$A$2:$A$41,B345,'Catalogos'!$B$2:$B$41,C345)&gt;0,"Correcta","Revisar Región DM")</x:f>
        <x:v>Correcta</x:v>
      </x:c>
      <x:c r="E345" s="45" t="str">
        <x:f>IF(COUNTIFS('Ubicaciones'!$C$2:$C$10001,A345)=1,"Único","Duplicado")</x:f>
        <x:v>Único</x:v>
      </x:c>
      <x:c r="F345" s="45" t="str">
        <x:f>IF('Ubicaciones'!T345=1,"Ubicable",IF(OR('Ubicaciones'!E345="Abierta",'Ubicaciones'!E345="Próxima Apertura"),"Coordenadas o activa pendientes","Fuera por estatus"))</x:f>
        <x:v>Ubicable</x:v>
      </x:c>
    </x:row>
    <x:row r="346" ht="23" customHeight="1">
      <x:c r="A346" s="45" t="str">
        <x:f>'Ubicaciones'!C346</x:f>
        <x:v>38299</x:v>
      </x:c>
      <x:c r="B346" s="45" t="str">
        <x:f>'Ubicaciones'!A346</x:f>
        <x:v>Centro Centro</x:v>
      </x:c>
      <x:c r="C346" s="45" t="str">
        <x:f>'Ubicaciones'!B346</x:f>
        <x:v>Maria Anallely Sanchez Garcia</x:v>
      </x:c>
      <x:c r="D346" s="45" t="str">
        <x:f>IF(COUNTIFS('Catalogos'!$A$2:$A$41,B346,'Catalogos'!$B$2:$B$41,C346)&gt;0,"Correcta","Revisar Región DM")</x:f>
        <x:v>Correcta</x:v>
      </x:c>
      <x:c r="E346" s="45" t="str">
        <x:f>IF(COUNTIFS('Ubicaciones'!$C$2:$C$10001,A346)=1,"Único","Duplicado")</x:f>
        <x:v>Único</x:v>
      </x:c>
      <x:c r="F346" s="45" t="str">
        <x:f>IF('Ubicaciones'!T346=1,"Ubicable",IF(OR('Ubicaciones'!E346="Abierta",'Ubicaciones'!E346="Próxima Apertura"),"Coordenadas o activa pendientes","Fuera por estatus"))</x:f>
        <x:v>Ubicable</x:v>
      </x:c>
    </x:row>
    <x:row r="347" ht="23" customHeight="1">
      <x:c r="A347" s="45" t="str">
        <x:f>'Ubicaciones'!C347</x:f>
        <x:v>38652</x:v>
      </x:c>
      <x:c r="B347" s="45" t="str">
        <x:f>'Ubicaciones'!A347</x:f>
        <x:v>Centro Centro</x:v>
      </x:c>
      <x:c r="C347" s="45" t="str">
        <x:f>'Ubicaciones'!B347</x:f>
        <x:v>Maria Anallely Sanchez Garcia</x:v>
      </x:c>
      <x:c r="D347" s="45" t="str">
        <x:f>IF(COUNTIFS('Catalogos'!$A$2:$A$41,B347,'Catalogos'!$B$2:$B$41,C347)&gt;0,"Correcta","Revisar Región DM")</x:f>
        <x:v>Correcta</x:v>
      </x:c>
      <x:c r="E347" s="45" t="str">
        <x:f>IF(COUNTIFS('Ubicaciones'!$C$2:$C$10001,A347)=1,"Único","Duplicado")</x:f>
        <x:v>Único</x:v>
      </x:c>
      <x:c r="F347" s="45" t="str">
        <x:f>IF('Ubicaciones'!T347=1,"Ubicable",IF(OR('Ubicaciones'!E347="Abierta",'Ubicaciones'!E347="Próxima Apertura"),"Coordenadas o activa pendientes","Fuera por estatus"))</x:f>
        <x:v>Fuera por estatus</x:v>
      </x:c>
    </x:row>
    <x:row r="348" ht="23" customHeight="1">
      <x:c r="A348" s="45" t="str">
        <x:f>'Ubicaciones'!C348</x:f>
        <x:v>38653</x:v>
      </x:c>
      <x:c r="B348" s="45" t="str">
        <x:f>'Ubicaciones'!A348</x:f>
        <x:v>Centro Centro</x:v>
      </x:c>
      <x:c r="C348" s="45" t="str">
        <x:f>'Ubicaciones'!B348</x:f>
        <x:v>Maria Anallely Sanchez Garcia</x:v>
      </x:c>
      <x:c r="D348" s="45" t="str">
        <x:f>IF(COUNTIFS('Catalogos'!$A$2:$A$41,B348,'Catalogos'!$B$2:$B$41,C348)&gt;0,"Correcta","Revisar Región DM")</x:f>
        <x:v>Correcta</x:v>
      </x:c>
      <x:c r="E348" s="45" t="str">
        <x:f>IF(COUNTIFS('Ubicaciones'!$C$2:$C$10001,A348)=1,"Único","Duplicado")</x:f>
        <x:v>Único</x:v>
      </x:c>
      <x:c r="F348" s="45" t="str">
        <x:f>IF('Ubicaciones'!T348=1,"Ubicable",IF(OR('Ubicaciones'!E348="Abierta",'Ubicaciones'!E348="Próxima Apertura"),"Coordenadas o activa pendientes","Fuera por estatus"))</x:f>
        <x:v>Ubicable</x:v>
      </x:c>
    </x:row>
    <x:row r="349" ht="23" customHeight="1">
      <x:c r="A349" s="45" t="str">
        <x:f>'Ubicaciones'!C349</x:f>
        <x:v>38795</x:v>
      </x:c>
      <x:c r="B349" s="45" t="str">
        <x:f>'Ubicaciones'!A349</x:f>
        <x:v>Centro Centro</x:v>
      </x:c>
      <x:c r="C349" s="45" t="str">
        <x:f>'Ubicaciones'!B349</x:f>
        <x:v>Maria Anallely Sanchez Garcia</x:v>
      </x:c>
      <x:c r="D349" s="45" t="str">
        <x:f>IF(COUNTIFS('Catalogos'!$A$2:$A$41,B349,'Catalogos'!$B$2:$B$41,C349)&gt;0,"Correcta","Revisar Región DM")</x:f>
        <x:v>Correcta</x:v>
      </x:c>
      <x:c r="E349" s="45" t="str">
        <x:f>IF(COUNTIFS('Ubicaciones'!$C$2:$C$10001,A349)=1,"Único","Duplicado")</x:f>
        <x:v>Único</x:v>
      </x:c>
      <x:c r="F349" s="45" t="str">
        <x:f>IF('Ubicaciones'!T349=1,"Ubicable",IF(OR('Ubicaciones'!E349="Abierta",'Ubicaciones'!E349="Próxima Apertura"),"Coordenadas o activa pendientes","Fuera por estatus"))</x:f>
        <x:v>Ubicable</x:v>
      </x:c>
    </x:row>
    <x:row r="350" ht="23" customHeight="1">
      <x:c r="A350" s="45" t="str">
        <x:f>'Ubicaciones'!C350</x:f>
        <x:v>38796</x:v>
      </x:c>
      <x:c r="B350" s="45" t="str">
        <x:f>'Ubicaciones'!A350</x:f>
        <x:v>Centro Centro</x:v>
      </x:c>
      <x:c r="C350" s="45" t="str">
        <x:f>'Ubicaciones'!B350</x:f>
        <x:v>Maria Anallely Sanchez Garcia</x:v>
      </x:c>
      <x:c r="D350" s="45" t="str">
        <x:f>IF(COUNTIFS('Catalogos'!$A$2:$A$41,B350,'Catalogos'!$B$2:$B$41,C350)&gt;0,"Correcta","Revisar Región DM")</x:f>
        <x:v>Correcta</x:v>
      </x:c>
      <x:c r="E350" s="45" t="str">
        <x:f>IF(COUNTIFS('Ubicaciones'!$C$2:$C$10001,A350)=1,"Único","Duplicado")</x:f>
        <x:v>Único</x:v>
      </x:c>
      <x:c r="F350" s="45" t="str">
        <x:f>IF('Ubicaciones'!T350=1,"Ubicable",IF(OR('Ubicaciones'!E350="Abierta",'Ubicaciones'!E350="Próxima Apertura"),"Coordenadas o activa pendientes","Fuera por estatus"))</x:f>
        <x:v>Ubicable</x:v>
      </x:c>
    </x:row>
    <x:row r="351" ht="23" customHeight="1">
      <x:c r="A351" s="45" t="str">
        <x:f>'Ubicaciones'!C351</x:f>
        <x:v>38803</x:v>
      </x:c>
      <x:c r="B351" s="45" t="str">
        <x:f>'Ubicaciones'!A351</x:f>
        <x:v>Centro Centro</x:v>
      </x:c>
      <x:c r="C351" s="45" t="str">
        <x:f>'Ubicaciones'!B351</x:f>
        <x:v>Maria Anallely Sanchez Garcia</x:v>
      </x:c>
      <x:c r="D351" s="45" t="str">
        <x:f>IF(COUNTIFS('Catalogos'!$A$2:$A$41,B351,'Catalogos'!$B$2:$B$41,C351)&gt;0,"Correcta","Revisar Región DM")</x:f>
        <x:v>Correcta</x:v>
      </x:c>
      <x:c r="E351" s="45" t="str">
        <x:f>IF(COUNTIFS('Ubicaciones'!$C$2:$C$10001,A351)=1,"Único","Duplicado")</x:f>
        <x:v>Único</x:v>
      </x:c>
      <x:c r="F351" s="45" t="str">
        <x:f>IF('Ubicaciones'!T351=1,"Ubicable",IF(OR('Ubicaciones'!E351="Abierta",'Ubicaciones'!E351="Próxima Apertura"),"Coordenadas o activa pendientes","Fuera por estatus"))</x:f>
        <x:v>Ubicable</x:v>
      </x:c>
    </x:row>
    <x:row r="352" ht="23" customHeight="1">
      <x:c r="A352" s="45" t="str">
        <x:f>'Ubicaciones'!C352</x:f>
        <x:v>38906</x:v>
      </x:c>
      <x:c r="B352" s="45" t="str">
        <x:f>'Ubicaciones'!A352</x:f>
        <x:v>Centro Centro</x:v>
      </x:c>
      <x:c r="C352" s="45" t="str">
        <x:f>'Ubicaciones'!B352</x:f>
        <x:v>Maria Anallely Sanchez Garcia</x:v>
      </x:c>
      <x:c r="D352" s="45" t="str">
        <x:f>IF(COUNTIFS('Catalogos'!$A$2:$A$41,B352,'Catalogos'!$B$2:$B$41,C352)&gt;0,"Correcta","Revisar Región DM")</x:f>
        <x:v>Correcta</x:v>
      </x:c>
      <x:c r="E352" s="45" t="str">
        <x:f>IF(COUNTIFS('Ubicaciones'!$C$2:$C$10001,A352)=1,"Único","Duplicado")</x:f>
        <x:v>Único</x:v>
      </x:c>
      <x:c r="F352" s="45" t="str">
        <x:f>IF('Ubicaciones'!T352=1,"Ubicable",IF(OR('Ubicaciones'!E352="Abierta",'Ubicaciones'!E352="Próxima Apertura"),"Coordenadas o activa pendientes","Fuera por estatus"))</x:f>
        <x:v>Ubicable</x:v>
      </x:c>
    </x:row>
    <x:row r="353" ht="23" customHeight="1">
      <x:c r="A353" s="45" t="str">
        <x:f>'Ubicaciones'!C353</x:f>
        <x:v>38943</x:v>
      </x:c>
      <x:c r="B353" s="45" t="str">
        <x:f>'Ubicaciones'!A353</x:f>
        <x:v>Centro Centro</x:v>
      </x:c>
      <x:c r="C353" s="45" t="str">
        <x:f>'Ubicaciones'!B353</x:f>
        <x:v>Maria Anallely Sanchez Garcia</x:v>
      </x:c>
      <x:c r="D353" s="45" t="str">
        <x:f>IF(COUNTIFS('Catalogos'!$A$2:$A$41,B353,'Catalogos'!$B$2:$B$41,C353)&gt;0,"Correcta","Revisar Región DM")</x:f>
        <x:v>Correcta</x:v>
      </x:c>
      <x:c r="E353" s="45" t="str">
        <x:f>IF(COUNTIFS('Ubicaciones'!$C$2:$C$10001,A353)=1,"Único","Duplicado")</x:f>
        <x:v>Único</x:v>
      </x:c>
      <x:c r="F353" s="45" t="str">
        <x:f>IF('Ubicaciones'!T353=1,"Ubicable",IF(OR('Ubicaciones'!E353="Abierta",'Ubicaciones'!E353="Próxima Apertura"),"Coordenadas o activa pendientes","Fuera por estatus"))</x:f>
        <x:v>Ubicable</x:v>
      </x:c>
    </x:row>
    <x:row r="354" ht="23" customHeight="1">
      <x:c r="A354" s="45" t="str">
        <x:f>'Ubicaciones'!C354</x:f>
        <x:v>38173</x:v>
      </x:c>
      <x:c r="B354" s="45" t="str">
        <x:f>'Ubicaciones'!A354</x:f>
        <x:v>Centro Centro</x:v>
      </x:c>
      <x:c r="C354" s="45" t="str">
        <x:f>'Ubicaciones'!B354</x:f>
        <x:v>Nora Caracas Saldaña</x:v>
      </x:c>
      <x:c r="D354" s="45" t="str">
        <x:f>IF(COUNTIFS('Catalogos'!$A$2:$A$41,B354,'Catalogos'!$B$2:$B$41,C354)&gt;0,"Correcta","Revisar Región DM")</x:f>
        <x:v>Correcta</x:v>
      </x:c>
      <x:c r="E354" s="45" t="str">
        <x:f>IF(COUNTIFS('Ubicaciones'!$C$2:$C$10001,A354)=1,"Único","Duplicado")</x:f>
        <x:v>Único</x:v>
      </x:c>
      <x:c r="F354" s="45" t="str">
        <x:f>IF('Ubicaciones'!T354=1,"Ubicable",IF(OR('Ubicaciones'!E354="Abierta",'Ubicaciones'!E354="Próxima Apertura"),"Coordenadas o activa pendientes","Fuera por estatus"))</x:f>
        <x:v>Ubicable</x:v>
      </x:c>
    </x:row>
    <x:row r="355" ht="23" customHeight="1">
      <x:c r="A355" s="45" t="str">
        <x:f>'Ubicaciones'!C355</x:f>
        <x:v>38312</x:v>
      </x:c>
      <x:c r="B355" s="45" t="str">
        <x:f>'Ubicaciones'!A355</x:f>
        <x:v>Centro Centro</x:v>
      </x:c>
      <x:c r="C355" s="45" t="str">
        <x:f>'Ubicaciones'!B355</x:f>
        <x:v>Nora Caracas Saldaña</x:v>
      </x:c>
      <x:c r="D355" s="45" t="str">
        <x:f>IF(COUNTIFS('Catalogos'!$A$2:$A$41,B355,'Catalogos'!$B$2:$B$41,C355)&gt;0,"Correcta","Revisar Región DM")</x:f>
        <x:v>Correcta</x:v>
      </x:c>
      <x:c r="E355" s="45" t="str">
        <x:f>IF(COUNTIFS('Ubicaciones'!$C$2:$C$10001,A355)=1,"Único","Duplicado")</x:f>
        <x:v>Único</x:v>
      </x:c>
      <x:c r="F355" s="45" t="str">
        <x:f>IF('Ubicaciones'!T355=1,"Ubicable",IF(OR('Ubicaciones'!E355="Abierta",'Ubicaciones'!E355="Próxima Apertura"),"Coordenadas o activa pendientes","Fuera por estatus"))</x:f>
        <x:v>Ubicable</x:v>
      </x:c>
    </x:row>
    <x:row r="356" ht="23" customHeight="1">
      <x:c r="A356" s="45" t="str">
        <x:f>'Ubicaciones'!C356</x:f>
        <x:v>38432</x:v>
      </x:c>
      <x:c r="B356" s="45" t="str">
        <x:f>'Ubicaciones'!A356</x:f>
        <x:v>Centro Centro</x:v>
      </x:c>
      <x:c r="C356" s="45" t="str">
        <x:f>'Ubicaciones'!B356</x:f>
        <x:v>Nora Caracas Saldaña</x:v>
      </x:c>
      <x:c r="D356" s="45" t="str">
        <x:f>IF(COUNTIFS('Catalogos'!$A$2:$A$41,B356,'Catalogos'!$B$2:$B$41,C356)&gt;0,"Correcta","Revisar Región DM")</x:f>
        <x:v>Correcta</x:v>
      </x:c>
      <x:c r="E356" s="45" t="str">
        <x:f>IF(COUNTIFS('Ubicaciones'!$C$2:$C$10001,A356)=1,"Único","Duplicado")</x:f>
        <x:v>Único</x:v>
      </x:c>
      <x:c r="F356" s="45" t="str">
        <x:f>IF('Ubicaciones'!T356=1,"Ubicable",IF(OR('Ubicaciones'!E356="Abierta",'Ubicaciones'!E356="Próxima Apertura"),"Coordenadas o activa pendientes","Fuera por estatus"))</x:f>
        <x:v>Ubicable</x:v>
      </x:c>
    </x:row>
    <x:row r="357" ht="23" customHeight="1">
      <x:c r="A357" s="45" t="str">
        <x:f>'Ubicaciones'!C357</x:f>
        <x:v>38440</x:v>
      </x:c>
      <x:c r="B357" s="45" t="str">
        <x:f>'Ubicaciones'!A357</x:f>
        <x:v>Centro Centro</x:v>
      </x:c>
      <x:c r="C357" s="45" t="str">
        <x:f>'Ubicaciones'!B357</x:f>
        <x:v>Nora Caracas Saldaña</x:v>
      </x:c>
      <x:c r="D357" s="45" t="str">
        <x:f>IF(COUNTIFS('Catalogos'!$A$2:$A$41,B357,'Catalogos'!$B$2:$B$41,C357)&gt;0,"Correcta","Revisar Región DM")</x:f>
        <x:v>Correcta</x:v>
      </x:c>
      <x:c r="E357" s="45" t="str">
        <x:f>IF(COUNTIFS('Ubicaciones'!$C$2:$C$10001,A357)=1,"Único","Duplicado")</x:f>
        <x:v>Único</x:v>
      </x:c>
      <x:c r="F357" s="45" t="str">
        <x:f>IF('Ubicaciones'!T357=1,"Ubicable",IF(OR('Ubicaciones'!E357="Abierta",'Ubicaciones'!E357="Próxima Apertura"),"Coordenadas o activa pendientes","Fuera por estatus"))</x:f>
        <x:v>Ubicable</x:v>
      </x:c>
    </x:row>
    <x:row r="358" ht="23" customHeight="1">
      <x:c r="A358" s="45" t="str">
        <x:f>'Ubicaciones'!C358</x:f>
        <x:v>38483</x:v>
      </x:c>
      <x:c r="B358" s="45" t="str">
        <x:f>'Ubicaciones'!A358</x:f>
        <x:v>Centro Centro</x:v>
      </x:c>
      <x:c r="C358" s="45" t="str">
        <x:f>'Ubicaciones'!B358</x:f>
        <x:v>Nora Caracas Saldaña</x:v>
      </x:c>
      <x:c r="D358" s="45" t="str">
        <x:f>IF(COUNTIFS('Catalogos'!$A$2:$A$41,B358,'Catalogos'!$B$2:$B$41,C358)&gt;0,"Correcta","Revisar Región DM")</x:f>
        <x:v>Correcta</x:v>
      </x:c>
      <x:c r="E358" s="45" t="str">
        <x:f>IF(COUNTIFS('Ubicaciones'!$C$2:$C$10001,A358)=1,"Único","Duplicado")</x:f>
        <x:v>Único</x:v>
      </x:c>
      <x:c r="F358" s="45" t="str">
        <x:f>IF('Ubicaciones'!T358=1,"Ubicable",IF(OR('Ubicaciones'!E358="Abierta",'Ubicaciones'!E358="Próxima Apertura"),"Coordenadas o activa pendientes","Fuera por estatus"))</x:f>
        <x:v>Ubicable</x:v>
      </x:c>
    </x:row>
    <x:row r="359" ht="23" customHeight="1">
      <x:c r="A359" s="45" t="str">
        <x:f>'Ubicaciones'!C359</x:f>
        <x:v>38554</x:v>
      </x:c>
      <x:c r="B359" s="45" t="str">
        <x:f>'Ubicaciones'!A359</x:f>
        <x:v>Centro Centro</x:v>
      </x:c>
      <x:c r="C359" s="45" t="str">
        <x:f>'Ubicaciones'!B359</x:f>
        <x:v>Nora Caracas Saldaña</x:v>
      </x:c>
      <x:c r="D359" s="45" t="str">
        <x:f>IF(COUNTIFS('Catalogos'!$A$2:$A$41,B359,'Catalogos'!$B$2:$B$41,C359)&gt;0,"Correcta","Revisar Región DM")</x:f>
        <x:v>Correcta</x:v>
      </x:c>
      <x:c r="E359" s="45" t="str">
        <x:f>IF(COUNTIFS('Ubicaciones'!$C$2:$C$10001,A359)=1,"Único","Duplicado")</x:f>
        <x:v>Único</x:v>
      </x:c>
      <x:c r="F359" s="45" t="str">
        <x:f>IF('Ubicaciones'!T359=1,"Ubicable",IF(OR('Ubicaciones'!E359="Abierta",'Ubicaciones'!E359="Próxima Apertura"),"Coordenadas o activa pendientes","Fuera por estatus"))</x:f>
        <x:v>Ubicable</x:v>
      </x:c>
    </x:row>
    <x:row r="360" ht="23" customHeight="1">
      <x:c r="A360" s="45" t="str">
        <x:f>'Ubicaciones'!C360</x:f>
        <x:v>38556</x:v>
      </x:c>
      <x:c r="B360" s="45" t="str">
        <x:f>'Ubicaciones'!A360</x:f>
        <x:v>Centro Centro</x:v>
      </x:c>
      <x:c r="C360" s="45" t="str">
        <x:f>'Ubicaciones'!B360</x:f>
        <x:v>Nora Caracas Saldaña</x:v>
      </x:c>
      <x:c r="D360" s="45" t="str">
        <x:f>IF(COUNTIFS('Catalogos'!$A$2:$A$41,B360,'Catalogos'!$B$2:$B$41,C360)&gt;0,"Correcta","Revisar Región DM")</x:f>
        <x:v>Correcta</x:v>
      </x:c>
      <x:c r="E360" s="45" t="str">
        <x:f>IF(COUNTIFS('Ubicaciones'!$C$2:$C$10001,A360)=1,"Único","Duplicado")</x:f>
        <x:v>Único</x:v>
      </x:c>
      <x:c r="F360" s="45" t="str">
        <x:f>IF('Ubicaciones'!T360=1,"Ubicable",IF(OR('Ubicaciones'!E360="Abierta",'Ubicaciones'!E360="Próxima Apertura"),"Coordenadas o activa pendientes","Fuera por estatus"))</x:f>
        <x:v>Ubicable</x:v>
      </x:c>
    </x:row>
    <x:row r="361" ht="23" customHeight="1">
      <x:c r="A361" s="45" t="str">
        <x:f>'Ubicaciones'!C361</x:f>
        <x:v>38558</x:v>
      </x:c>
      <x:c r="B361" s="45" t="str">
        <x:f>'Ubicaciones'!A361</x:f>
        <x:v>Centro Centro</x:v>
      </x:c>
      <x:c r="C361" s="45" t="str">
        <x:f>'Ubicaciones'!B361</x:f>
        <x:v>Nora Caracas Saldaña</x:v>
      </x:c>
      <x:c r="D361" s="45" t="str">
        <x:f>IF(COUNTIFS('Catalogos'!$A$2:$A$41,B361,'Catalogos'!$B$2:$B$41,C361)&gt;0,"Correcta","Revisar Región DM")</x:f>
        <x:v>Correcta</x:v>
      </x:c>
      <x:c r="E361" s="45" t="str">
        <x:f>IF(COUNTIFS('Ubicaciones'!$C$2:$C$10001,A361)=1,"Único","Duplicado")</x:f>
        <x:v>Único</x:v>
      </x:c>
      <x:c r="F361" s="45" t="str">
        <x:f>IF('Ubicaciones'!T361=1,"Ubicable",IF(OR('Ubicaciones'!E361="Abierta",'Ubicaciones'!E361="Próxima Apertura"),"Coordenadas o activa pendientes","Fuera por estatus"))</x:f>
        <x:v>Ubicable</x:v>
      </x:c>
    </x:row>
    <x:row r="362" ht="23" customHeight="1">
      <x:c r="A362" s="45" t="str">
        <x:f>'Ubicaciones'!C362</x:f>
        <x:v>38602</x:v>
      </x:c>
      <x:c r="B362" s="45" t="str">
        <x:f>'Ubicaciones'!A362</x:f>
        <x:v>Centro Centro</x:v>
      </x:c>
      <x:c r="C362" s="45" t="str">
        <x:f>'Ubicaciones'!B362</x:f>
        <x:v>Nora Caracas Saldaña</x:v>
      </x:c>
      <x:c r="D362" s="45" t="str">
        <x:f>IF(COUNTIFS('Catalogos'!$A$2:$A$41,B362,'Catalogos'!$B$2:$B$41,C362)&gt;0,"Correcta","Revisar Región DM")</x:f>
        <x:v>Correcta</x:v>
      </x:c>
      <x:c r="E362" s="45" t="str">
        <x:f>IF(COUNTIFS('Ubicaciones'!$C$2:$C$10001,A362)=1,"Único","Duplicado")</x:f>
        <x:v>Único</x:v>
      </x:c>
      <x:c r="F362" s="45" t="str">
        <x:f>IF('Ubicaciones'!T362=1,"Ubicable",IF(OR('Ubicaciones'!E362="Abierta",'Ubicaciones'!E362="Próxima Apertura"),"Coordenadas o activa pendientes","Fuera por estatus"))</x:f>
        <x:v>Ubicable</x:v>
      </x:c>
    </x:row>
    <x:row r="363" ht="23" customHeight="1">
      <x:c r="A363" s="45" t="str">
        <x:f>'Ubicaciones'!C363</x:f>
        <x:v>38658</x:v>
      </x:c>
      <x:c r="B363" s="45" t="str">
        <x:f>'Ubicaciones'!A363</x:f>
        <x:v>Centro Centro</x:v>
      </x:c>
      <x:c r="C363" s="45" t="str">
        <x:f>'Ubicaciones'!B363</x:f>
        <x:v>Nora Caracas Saldaña</x:v>
      </x:c>
      <x:c r="D363" s="45" t="str">
        <x:f>IF(COUNTIFS('Catalogos'!$A$2:$A$41,B363,'Catalogos'!$B$2:$B$41,C363)&gt;0,"Correcta","Revisar Región DM")</x:f>
        <x:v>Correcta</x:v>
      </x:c>
      <x:c r="E363" s="45" t="str">
        <x:f>IF(COUNTIFS('Ubicaciones'!$C$2:$C$10001,A363)=1,"Único","Duplicado")</x:f>
        <x:v>Único</x:v>
      </x:c>
      <x:c r="F363" s="45" t="str">
        <x:f>IF('Ubicaciones'!T363=1,"Ubicable",IF(OR('Ubicaciones'!E363="Abierta",'Ubicaciones'!E363="Próxima Apertura"),"Coordenadas o activa pendientes","Fuera por estatus"))</x:f>
        <x:v>Ubicable</x:v>
      </x:c>
    </x:row>
    <x:row r="364" ht="23" customHeight="1">
      <x:c r="A364" s="45" t="str">
        <x:f>'Ubicaciones'!C364</x:f>
        <x:v>38752</x:v>
      </x:c>
      <x:c r="B364" s="45" t="str">
        <x:f>'Ubicaciones'!A364</x:f>
        <x:v>Centro Centro</x:v>
      </x:c>
      <x:c r="C364" s="45" t="str">
        <x:f>'Ubicaciones'!B364</x:f>
        <x:v>Nora Caracas Saldaña</x:v>
      </x:c>
      <x:c r="D364" s="45" t="str">
        <x:f>IF(COUNTIFS('Catalogos'!$A$2:$A$41,B364,'Catalogos'!$B$2:$B$41,C364)&gt;0,"Correcta","Revisar Región DM")</x:f>
        <x:v>Correcta</x:v>
      </x:c>
      <x:c r="E364" s="45" t="str">
        <x:f>IF(COUNTIFS('Ubicaciones'!$C$2:$C$10001,A364)=1,"Único","Duplicado")</x:f>
        <x:v>Único</x:v>
      </x:c>
      <x:c r="F364" s="45" t="str">
        <x:f>IF('Ubicaciones'!T364=1,"Ubicable",IF(OR('Ubicaciones'!E364="Abierta",'Ubicaciones'!E364="Próxima Apertura"),"Coordenadas o activa pendientes","Fuera por estatus"))</x:f>
        <x:v>Ubicable</x:v>
      </x:c>
    </x:row>
    <x:row r="365" ht="23" customHeight="1">
      <x:c r="A365" s="45" t="str">
        <x:f>'Ubicaciones'!C365</x:f>
        <x:v>38850</x:v>
      </x:c>
      <x:c r="B365" s="45" t="str">
        <x:f>'Ubicaciones'!A365</x:f>
        <x:v>Centro Centro</x:v>
      </x:c>
      <x:c r="C365" s="45" t="str">
        <x:f>'Ubicaciones'!B365</x:f>
        <x:v>Nora Caracas Saldaña</x:v>
      </x:c>
      <x:c r="D365" s="45" t="str">
        <x:f>IF(COUNTIFS('Catalogos'!$A$2:$A$41,B365,'Catalogos'!$B$2:$B$41,C365)&gt;0,"Correcta","Revisar Región DM")</x:f>
        <x:v>Correcta</x:v>
      </x:c>
      <x:c r="E365" s="45" t="str">
        <x:f>IF(COUNTIFS('Ubicaciones'!$C$2:$C$10001,A365)=1,"Único","Duplicado")</x:f>
        <x:v>Único</x:v>
      </x:c>
      <x:c r="F365" s="45" t="str">
        <x:f>IF('Ubicaciones'!T365=1,"Ubicable",IF(OR('Ubicaciones'!E365="Abierta",'Ubicaciones'!E365="Próxima Apertura"),"Coordenadas o activa pendientes","Fuera por estatus"))</x:f>
        <x:v>Ubicable</x:v>
      </x:c>
    </x:row>
    <x:row r="366" ht="23" customHeight="1">
      <x:c r="A366" s="45" t="str">
        <x:f>'Ubicaciones'!C366</x:f>
        <x:v>38156</x:v>
      </x:c>
      <x:c r="B366" s="45" t="str">
        <x:f>'Ubicaciones'!A366</x:f>
        <x:v>Centro Centro</x:v>
      </x:c>
      <x:c r="C366" s="45" t="str">
        <x:f>'Ubicaciones'!B366</x:f>
        <x:v>Sin asignación</x:v>
      </x:c>
      <x:c r="D366" s="45" t="str">
        <x:f>IF(COUNTIFS('Catalogos'!$A$2:$A$41,B366,'Catalogos'!$B$2:$B$41,C366)&gt;0,"Correcta","Revisar Región DM")</x:f>
        <x:v>Correcta</x:v>
      </x:c>
      <x:c r="E366" s="45" t="str">
        <x:f>IF(COUNTIFS('Ubicaciones'!$C$2:$C$10001,A366)=1,"Único","Duplicado")</x:f>
        <x:v>Único</x:v>
      </x:c>
      <x:c r="F366" s="45" t="str">
        <x:f>IF('Ubicaciones'!T366=1,"Ubicable",IF(OR('Ubicaciones'!E366="Abierta",'Ubicaciones'!E366="Próxima Apertura"),"Coordenadas o activa pendientes","Fuera por estatus"))</x:f>
        <x:v>Fuera por estatus</x:v>
      </x:c>
    </x:row>
    <x:row r="367" ht="23" customHeight="1">
      <x:c r="A367" s="45" t="str">
        <x:f>'Ubicaciones'!C367</x:f>
        <x:v>38202</x:v>
      </x:c>
      <x:c r="B367" s="45" t="str">
        <x:f>'Ubicaciones'!A367</x:f>
        <x:v>Centro Centro</x:v>
      </x:c>
      <x:c r="C367" s="45" t="str">
        <x:f>'Ubicaciones'!B367</x:f>
        <x:v>Sin asignación</x:v>
      </x:c>
      <x:c r="D367" s="45" t="str">
        <x:f>IF(COUNTIFS('Catalogos'!$A$2:$A$41,B367,'Catalogos'!$B$2:$B$41,C367)&gt;0,"Correcta","Revisar Región DM")</x:f>
        <x:v>Correcta</x:v>
      </x:c>
      <x:c r="E367" s="45" t="str">
        <x:f>IF(COUNTIFS('Ubicaciones'!$C$2:$C$10001,A367)=1,"Único","Duplicado")</x:f>
        <x:v>Único</x:v>
      </x:c>
      <x:c r="F367" s="45" t="str">
        <x:f>IF('Ubicaciones'!T367=1,"Ubicable",IF(OR('Ubicaciones'!E367="Abierta",'Ubicaciones'!E367="Próxima Apertura"),"Coordenadas o activa pendientes","Fuera por estatus"))</x:f>
        <x:v>Fuera por estatus</x:v>
      </x:c>
    </x:row>
    <x:row r="368" ht="23" customHeight="1">
      <x:c r="A368" s="45" t="str">
        <x:f>'Ubicaciones'!C368</x:f>
        <x:v>38421</x:v>
      </x:c>
      <x:c r="B368" s="45" t="str">
        <x:f>'Ubicaciones'!A368</x:f>
        <x:v>Centro Centro</x:v>
      </x:c>
      <x:c r="C368" s="45" t="str">
        <x:f>'Ubicaciones'!B368</x:f>
        <x:v>Sin asignación</x:v>
      </x:c>
      <x:c r="D368" s="45" t="str">
        <x:f>IF(COUNTIFS('Catalogos'!$A$2:$A$41,B368,'Catalogos'!$B$2:$B$41,C368)&gt;0,"Correcta","Revisar Región DM")</x:f>
        <x:v>Correcta</x:v>
      </x:c>
      <x:c r="E368" s="45" t="str">
        <x:f>IF(COUNTIFS('Ubicaciones'!$C$2:$C$10001,A368)=1,"Único","Duplicado")</x:f>
        <x:v>Único</x:v>
      </x:c>
      <x:c r="F368" s="45" t="str">
        <x:f>IF('Ubicaciones'!T368=1,"Ubicable",IF(OR('Ubicaciones'!E368="Abierta",'Ubicaciones'!E368="Próxima Apertura"),"Coordenadas o activa pendientes","Fuera por estatus"))</x:f>
        <x:v>Fuera por estatus</x:v>
      </x:c>
    </x:row>
    <x:row r="369" ht="23" customHeight="1">
      <x:c r="A369" s="45" t="str">
        <x:f>'Ubicaciones'!C369</x:f>
        <x:v>38495</x:v>
      </x:c>
      <x:c r="B369" s="45" t="str">
        <x:f>'Ubicaciones'!A369</x:f>
        <x:v>Centro Centro</x:v>
      </x:c>
      <x:c r="C369" s="45" t="str">
        <x:f>'Ubicaciones'!B369</x:f>
        <x:v>Sin asignación</x:v>
      </x:c>
      <x:c r="D369" s="45" t="str">
        <x:f>IF(COUNTIFS('Catalogos'!$A$2:$A$41,B369,'Catalogos'!$B$2:$B$41,C369)&gt;0,"Correcta","Revisar Región DM")</x:f>
        <x:v>Correcta</x:v>
      </x:c>
      <x:c r="E369" s="45" t="str">
        <x:f>IF(COUNTIFS('Ubicaciones'!$C$2:$C$10001,A369)=1,"Único","Duplicado")</x:f>
        <x:v>Único</x:v>
      </x:c>
      <x:c r="F369" s="45" t="str">
        <x:f>IF('Ubicaciones'!T369=1,"Ubicable",IF(OR('Ubicaciones'!E369="Abierta",'Ubicaciones'!E369="Próxima Apertura"),"Coordenadas o activa pendientes","Fuera por estatus"))</x:f>
        <x:v>Fuera por estatus</x:v>
      </x:c>
    </x:row>
    <x:row r="370" ht="23" customHeight="1">
      <x:c r="A370" s="45" t="str">
        <x:f>'Ubicaciones'!C370</x:f>
        <x:v>38632</x:v>
      </x:c>
      <x:c r="B370" s="45" t="str">
        <x:f>'Ubicaciones'!A370</x:f>
        <x:v>Centro Centro</x:v>
      </x:c>
      <x:c r="C370" s="45" t="str">
        <x:f>'Ubicaciones'!B370</x:f>
        <x:v>Sin asignación</x:v>
      </x:c>
      <x:c r="D370" s="45" t="str">
        <x:f>IF(COUNTIFS('Catalogos'!$A$2:$A$41,B370,'Catalogos'!$B$2:$B$41,C370)&gt;0,"Correcta","Revisar Región DM")</x:f>
        <x:v>Correcta</x:v>
      </x:c>
      <x:c r="E370" s="45" t="str">
        <x:f>IF(COUNTIFS('Ubicaciones'!$C$2:$C$10001,A370)=1,"Único","Duplicado")</x:f>
        <x:v>Único</x:v>
      </x:c>
      <x:c r="F370" s="45" t="str">
        <x:f>IF('Ubicaciones'!T370=1,"Ubicable",IF(OR('Ubicaciones'!E370="Abierta",'Ubicaciones'!E370="Próxima Apertura"),"Coordenadas o activa pendientes","Fuera por estatus"))</x:f>
        <x:v>Fuera por estatus</x:v>
      </x:c>
    </x:row>
    <x:row r="371" ht="23" customHeight="1">
      <x:c r="A371" s="45" t="str">
        <x:f>'Ubicaciones'!C371</x:f>
        <x:v>38915</x:v>
      </x:c>
      <x:c r="B371" s="45" t="str">
        <x:f>'Ubicaciones'!A371</x:f>
        <x:v>Centro Centro</x:v>
      </x:c>
      <x:c r="C371" s="45" t="str">
        <x:f>'Ubicaciones'!B371</x:f>
        <x:v>Sin asignación</x:v>
      </x:c>
      <x:c r="D371" s="45" t="str">
        <x:f>IF(COUNTIFS('Catalogos'!$A$2:$A$41,B371,'Catalogos'!$B$2:$B$41,C371)&gt;0,"Correcta","Revisar Región DM")</x:f>
        <x:v>Correcta</x:v>
      </x:c>
      <x:c r="E371" s="45" t="str">
        <x:f>IF(COUNTIFS('Ubicaciones'!$C$2:$C$10001,A371)=1,"Único","Duplicado")</x:f>
        <x:v>Único</x:v>
      </x:c>
      <x:c r="F371" s="45" t="str">
        <x:f>IF('Ubicaciones'!T371=1,"Ubicable",IF(OR('Ubicaciones'!E371="Abierta",'Ubicaciones'!E371="Próxima Apertura"),"Coordenadas o activa pendientes","Fuera por estatus"))</x:f>
        <x:v>Fuera por estatus</x:v>
      </x:c>
    </x:row>
    <x:row r="372" ht="23" customHeight="1">
      <x:c r="A372" s="45" t="str">
        <x:f>'Ubicaciones'!C372</x:f>
        <x:v>38123</x:v>
      </x:c>
      <x:c r="B372" s="45" t="str">
        <x:f>'Ubicaciones'!A372</x:f>
        <x:v>Centro Centro</x:v>
      </x:c>
      <x:c r="C372" s="45" t="str">
        <x:f>'Ubicaciones'!B372</x:f>
        <x:v>Vacante</x:v>
      </x:c>
      <x:c r="D372" s="45" t="str">
        <x:f>IF(COUNTIFS('Catalogos'!$A$2:$A$41,B372,'Catalogos'!$B$2:$B$41,C372)&gt;0,"Correcta","Revisar Región DM")</x:f>
        <x:v>Correcta</x:v>
      </x:c>
      <x:c r="E372" s="45" t="str">
        <x:f>IF(COUNTIFS('Ubicaciones'!$C$2:$C$10001,A372)=1,"Único","Duplicado")</x:f>
        <x:v>Único</x:v>
      </x:c>
      <x:c r="F372" s="45" t="str">
        <x:f>IF('Ubicaciones'!T372=1,"Ubicable",IF(OR('Ubicaciones'!E372="Abierta",'Ubicaciones'!E372="Próxima Apertura"),"Coordenadas o activa pendientes","Fuera por estatus"))</x:f>
        <x:v>Ubicable</x:v>
      </x:c>
    </x:row>
    <x:row r="373" ht="23" customHeight="1">
      <x:c r="A373" s="45" t="str">
        <x:f>'Ubicaciones'!C373</x:f>
        <x:v>38155</x:v>
      </x:c>
      <x:c r="B373" s="45" t="str">
        <x:f>'Ubicaciones'!A373</x:f>
        <x:v>Centro Centro</x:v>
      </x:c>
      <x:c r="C373" s="45" t="str">
        <x:f>'Ubicaciones'!B373</x:f>
        <x:v>Vacante</x:v>
      </x:c>
      <x:c r="D373" s="45" t="str">
        <x:f>IF(COUNTIFS('Catalogos'!$A$2:$A$41,B373,'Catalogos'!$B$2:$B$41,C373)&gt;0,"Correcta","Revisar Región DM")</x:f>
        <x:v>Correcta</x:v>
      </x:c>
      <x:c r="E373" s="45" t="str">
        <x:f>IF(COUNTIFS('Ubicaciones'!$C$2:$C$10001,A373)=1,"Único","Duplicado")</x:f>
        <x:v>Único</x:v>
      </x:c>
      <x:c r="F373" s="45" t="str">
        <x:f>IF('Ubicaciones'!T373=1,"Ubicable",IF(OR('Ubicaciones'!E373="Abierta",'Ubicaciones'!E373="Próxima Apertura"),"Coordenadas o activa pendientes","Fuera por estatus"))</x:f>
        <x:v>Ubicable</x:v>
      </x:c>
    </x:row>
    <x:row r="374" ht="23" customHeight="1">
      <x:c r="A374" s="45" t="str">
        <x:f>'Ubicaciones'!C374</x:f>
        <x:v>38203</x:v>
      </x:c>
      <x:c r="B374" s="45" t="str">
        <x:f>'Ubicaciones'!A374</x:f>
        <x:v>Centro Centro</x:v>
      </x:c>
      <x:c r="C374" s="45" t="str">
        <x:f>'Ubicaciones'!B374</x:f>
        <x:v>Vacante</x:v>
      </x:c>
      <x:c r="D374" s="45" t="str">
        <x:f>IF(COUNTIFS('Catalogos'!$A$2:$A$41,B374,'Catalogos'!$B$2:$B$41,C374)&gt;0,"Correcta","Revisar Región DM")</x:f>
        <x:v>Correcta</x:v>
      </x:c>
      <x:c r="E374" s="45" t="str">
        <x:f>IF(COUNTIFS('Ubicaciones'!$C$2:$C$10001,A374)=1,"Único","Duplicado")</x:f>
        <x:v>Único</x:v>
      </x:c>
      <x:c r="F374" s="45" t="str">
        <x:f>IF('Ubicaciones'!T374=1,"Ubicable",IF(OR('Ubicaciones'!E374="Abierta",'Ubicaciones'!E374="Próxima Apertura"),"Coordenadas o activa pendientes","Fuera por estatus"))</x:f>
        <x:v>Ubicable</x:v>
      </x:c>
    </x:row>
    <x:row r="375" ht="23" customHeight="1">
      <x:c r="A375" s="45" t="str">
        <x:f>'Ubicaciones'!C375</x:f>
        <x:v>38234</x:v>
      </x:c>
      <x:c r="B375" s="45" t="str">
        <x:f>'Ubicaciones'!A375</x:f>
        <x:v>Centro Centro</x:v>
      </x:c>
      <x:c r="C375" s="45" t="str">
        <x:f>'Ubicaciones'!B375</x:f>
        <x:v>Vacante</x:v>
      </x:c>
      <x:c r="D375" s="45" t="str">
        <x:f>IF(COUNTIFS('Catalogos'!$A$2:$A$41,B375,'Catalogos'!$B$2:$B$41,C375)&gt;0,"Correcta","Revisar Región DM")</x:f>
        <x:v>Correcta</x:v>
      </x:c>
      <x:c r="E375" s="45" t="str">
        <x:f>IF(COUNTIFS('Ubicaciones'!$C$2:$C$10001,A375)=1,"Único","Duplicado")</x:f>
        <x:v>Único</x:v>
      </x:c>
      <x:c r="F375" s="45" t="str">
        <x:f>IF('Ubicaciones'!T375=1,"Ubicable",IF(OR('Ubicaciones'!E375="Abierta",'Ubicaciones'!E375="Próxima Apertura"),"Coordenadas o activa pendientes","Fuera por estatus"))</x:f>
        <x:v>Ubicable</x:v>
      </x:c>
    </x:row>
    <x:row r="376" ht="23" customHeight="1">
      <x:c r="A376" s="45" t="str">
        <x:f>'Ubicaciones'!C376</x:f>
        <x:v>38376</x:v>
      </x:c>
      <x:c r="B376" s="45" t="str">
        <x:f>'Ubicaciones'!A376</x:f>
        <x:v>Centro Centro</x:v>
      </x:c>
      <x:c r="C376" s="45" t="str">
        <x:f>'Ubicaciones'!B376</x:f>
        <x:v>Vacante</x:v>
      </x:c>
      <x:c r="D376" s="45" t="str">
        <x:f>IF(COUNTIFS('Catalogos'!$A$2:$A$41,B376,'Catalogos'!$B$2:$B$41,C376)&gt;0,"Correcta","Revisar Región DM")</x:f>
        <x:v>Correcta</x:v>
      </x:c>
      <x:c r="E376" s="45" t="str">
        <x:f>IF(COUNTIFS('Ubicaciones'!$C$2:$C$10001,A376)=1,"Único","Duplicado")</x:f>
        <x:v>Único</x:v>
      </x:c>
      <x:c r="F376" s="45" t="str">
        <x:f>IF('Ubicaciones'!T376=1,"Ubicable",IF(OR('Ubicaciones'!E376="Abierta",'Ubicaciones'!E376="Próxima Apertura"),"Coordenadas o activa pendientes","Fuera por estatus"))</x:f>
        <x:v>Ubicable</x:v>
      </x:c>
    </x:row>
    <x:row r="377" ht="23" customHeight="1">
      <x:c r="A377" s="45" t="str">
        <x:f>'Ubicaciones'!C377</x:f>
        <x:v>38463</x:v>
      </x:c>
      <x:c r="B377" s="45" t="str">
        <x:f>'Ubicaciones'!A377</x:f>
        <x:v>Centro Centro</x:v>
      </x:c>
      <x:c r="C377" s="45" t="str">
        <x:f>'Ubicaciones'!B377</x:f>
        <x:v>Vacante</x:v>
      </x:c>
      <x:c r="D377" s="45" t="str">
        <x:f>IF(COUNTIFS('Catalogos'!$A$2:$A$41,B377,'Catalogos'!$B$2:$B$41,C377)&gt;0,"Correcta","Revisar Región DM")</x:f>
        <x:v>Correcta</x:v>
      </x:c>
      <x:c r="E377" s="45" t="str">
        <x:f>IF(COUNTIFS('Ubicaciones'!$C$2:$C$10001,A377)=1,"Único","Duplicado")</x:f>
        <x:v>Único</x:v>
      </x:c>
      <x:c r="F377" s="45" t="str">
        <x:f>IF('Ubicaciones'!T377=1,"Ubicable",IF(OR('Ubicaciones'!E377="Abierta",'Ubicaciones'!E377="Próxima Apertura"),"Coordenadas o activa pendientes","Fuera por estatus"))</x:f>
        <x:v>Ubicable</x:v>
      </x:c>
    </x:row>
    <x:row r="378" ht="23" customHeight="1">
      <x:c r="A378" s="45" t="str">
        <x:f>'Ubicaciones'!C378</x:f>
        <x:v>38465</x:v>
      </x:c>
      <x:c r="B378" s="45" t="str">
        <x:f>'Ubicaciones'!A378</x:f>
        <x:v>Centro Centro</x:v>
      </x:c>
      <x:c r="C378" s="45" t="str">
        <x:f>'Ubicaciones'!B378</x:f>
        <x:v>Vacante</x:v>
      </x:c>
      <x:c r="D378" s="45" t="str">
        <x:f>IF(COUNTIFS('Catalogos'!$A$2:$A$41,B378,'Catalogos'!$B$2:$B$41,C378)&gt;0,"Correcta","Revisar Región DM")</x:f>
        <x:v>Correcta</x:v>
      </x:c>
      <x:c r="E378" s="45" t="str">
        <x:f>IF(COUNTIFS('Ubicaciones'!$C$2:$C$10001,A378)=1,"Único","Duplicado")</x:f>
        <x:v>Único</x:v>
      </x:c>
      <x:c r="F378" s="45" t="str">
        <x:f>IF('Ubicaciones'!T378=1,"Ubicable",IF(OR('Ubicaciones'!E378="Abierta",'Ubicaciones'!E378="Próxima Apertura"),"Coordenadas o activa pendientes","Fuera por estatus"))</x:f>
        <x:v>Ubicable</x:v>
      </x:c>
    </x:row>
    <x:row r="379" ht="23" customHeight="1">
      <x:c r="A379" s="45" t="str">
        <x:f>'Ubicaciones'!C379</x:f>
        <x:v>38487</x:v>
      </x:c>
      <x:c r="B379" s="45" t="str">
        <x:f>'Ubicaciones'!A379</x:f>
        <x:v>Centro Centro</x:v>
      </x:c>
      <x:c r="C379" s="45" t="str">
        <x:f>'Ubicaciones'!B379</x:f>
        <x:v>Vacante</x:v>
      </x:c>
      <x:c r="D379" s="45" t="str">
        <x:f>IF(COUNTIFS('Catalogos'!$A$2:$A$41,B379,'Catalogos'!$B$2:$B$41,C379)&gt;0,"Correcta","Revisar Región DM")</x:f>
        <x:v>Correcta</x:v>
      </x:c>
      <x:c r="E379" s="45" t="str">
        <x:f>IF(COUNTIFS('Ubicaciones'!$C$2:$C$10001,A379)=1,"Único","Duplicado")</x:f>
        <x:v>Único</x:v>
      </x:c>
      <x:c r="F379" s="45" t="str">
        <x:f>IF('Ubicaciones'!T379=1,"Ubicable",IF(OR('Ubicaciones'!E379="Abierta",'Ubicaciones'!E379="Próxima Apertura"),"Coordenadas o activa pendientes","Fuera por estatus"))</x:f>
        <x:v>Ubicable</x:v>
      </x:c>
    </x:row>
    <x:row r="380" ht="23" customHeight="1">
      <x:c r="A380" s="45" t="str">
        <x:f>'Ubicaciones'!C380</x:f>
        <x:v>38497</x:v>
      </x:c>
      <x:c r="B380" s="45" t="str">
        <x:f>'Ubicaciones'!A380</x:f>
        <x:v>Centro Centro</x:v>
      </x:c>
      <x:c r="C380" s="45" t="str">
        <x:f>'Ubicaciones'!B380</x:f>
        <x:v>Vacante</x:v>
      </x:c>
      <x:c r="D380" s="45" t="str">
        <x:f>IF(COUNTIFS('Catalogos'!$A$2:$A$41,B380,'Catalogos'!$B$2:$B$41,C380)&gt;0,"Correcta","Revisar Región DM")</x:f>
        <x:v>Correcta</x:v>
      </x:c>
      <x:c r="E380" s="45" t="str">
        <x:f>IF(COUNTIFS('Ubicaciones'!$C$2:$C$10001,A380)=1,"Único","Duplicado")</x:f>
        <x:v>Único</x:v>
      </x:c>
      <x:c r="F380" s="45" t="str">
        <x:f>IF('Ubicaciones'!T380=1,"Ubicable",IF(OR('Ubicaciones'!E380="Abierta",'Ubicaciones'!E380="Próxima Apertura"),"Coordenadas o activa pendientes","Fuera por estatus"))</x:f>
        <x:v>Ubicable</x:v>
      </x:c>
    </x:row>
    <x:row r="381" ht="23" customHeight="1">
      <x:c r="A381" s="45" t="str">
        <x:f>'Ubicaciones'!C381</x:f>
        <x:v>38762</x:v>
      </x:c>
      <x:c r="B381" s="45" t="str">
        <x:f>'Ubicaciones'!A381</x:f>
        <x:v>Centro Centro</x:v>
      </x:c>
      <x:c r="C381" s="45" t="str">
        <x:f>'Ubicaciones'!B381</x:f>
        <x:v>Vacante</x:v>
      </x:c>
      <x:c r="D381" s="45" t="str">
        <x:f>IF(COUNTIFS('Catalogos'!$A$2:$A$41,B381,'Catalogos'!$B$2:$B$41,C381)&gt;0,"Correcta","Revisar Región DM")</x:f>
        <x:v>Correcta</x:v>
      </x:c>
      <x:c r="E381" s="45" t="str">
        <x:f>IF(COUNTIFS('Ubicaciones'!$C$2:$C$10001,A381)=1,"Único","Duplicado")</x:f>
        <x:v>Único</x:v>
      </x:c>
      <x:c r="F381" s="45" t="str">
        <x:f>IF('Ubicaciones'!T381=1,"Ubicable",IF(OR('Ubicaciones'!E381="Abierta",'Ubicaciones'!E381="Próxima Apertura"),"Coordenadas o activa pendientes","Fuera por estatus"))</x:f>
        <x:v>Ubicable</x:v>
      </x:c>
    </x:row>
    <x:row r="382" ht="23" customHeight="1">
      <x:c r="A382" s="45" t="str">
        <x:f>'Ubicaciones'!C382</x:f>
        <x:v>38785</x:v>
      </x:c>
      <x:c r="B382" s="45" t="str">
        <x:f>'Ubicaciones'!A382</x:f>
        <x:v>Centro Centro</x:v>
      </x:c>
      <x:c r="C382" s="45" t="str">
        <x:f>'Ubicaciones'!B382</x:f>
        <x:v>Vacante</x:v>
      </x:c>
      <x:c r="D382" s="45" t="str">
        <x:f>IF(COUNTIFS('Catalogos'!$A$2:$A$41,B382,'Catalogos'!$B$2:$B$41,C382)&gt;0,"Correcta","Revisar Región DM")</x:f>
        <x:v>Correcta</x:v>
      </x:c>
      <x:c r="E382" s="45" t="str">
        <x:f>IF(COUNTIFS('Ubicaciones'!$C$2:$C$10001,A382)=1,"Único","Duplicado")</x:f>
        <x:v>Único</x:v>
      </x:c>
      <x:c r="F382" s="45" t="str">
        <x:f>IF('Ubicaciones'!T382=1,"Ubicable",IF(OR('Ubicaciones'!E382="Abierta",'Ubicaciones'!E382="Próxima Apertura"),"Coordenadas o activa pendientes","Fuera por estatus"))</x:f>
        <x:v>Ubicable</x:v>
      </x:c>
    </x:row>
    <x:row r="383" ht="23" customHeight="1">
      <x:c r="A383" s="45" t="str">
        <x:f>'Ubicaciones'!C383</x:f>
        <x:v>43123</x:v>
      </x:c>
      <x:c r="B383" s="45" t="str">
        <x:f>'Ubicaciones'!A383</x:f>
        <x:v>Centro Centro</x:v>
      </x:c>
      <x:c r="C383" s="45" t="str">
        <x:f>'Ubicaciones'!B383</x:f>
        <x:v>Vacante</x:v>
      </x:c>
      <x:c r="D383" s="45" t="str">
        <x:f>IF(COUNTIFS('Catalogos'!$A$2:$A$41,B383,'Catalogos'!$B$2:$B$41,C383)&gt;0,"Correcta","Revisar Región DM")</x:f>
        <x:v>Correcta</x:v>
      </x:c>
      <x:c r="E383" s="45" t="str">
        <x:f>IF(COUNTIFS('Ubicaciones'!$C$2:$C$10001,A383)=1,"Único","Duplicado")</x:f>
        <x:v>Único</x:v>
      </x:c>
      <x:c r="F383" s="45" t="str">
        <x:f>IF('Ubicaciones'!T383=1,"Ubicable",IF(OR('Ubicaciones'!E383="Abierta",'Ubicaciones'!E383="Próxima Apertura"),"Coordenadas o activa pendientes","Fuera por estatus"))</x:f>
        <x:v>Ubicable</x:v>
      </x:c>
    </x:row>
    <x:row r="384" ht="23" customHeight="1">
      <x:c r="A384" s="45" t="str">
        <x:f>'Ubicaciones'!C384</x:f>
        <x:v>38262</x:v>
      </x:c>
      <x:c r="B384" s="45" t="str">
        <x:f>'Ubicaciones'!A384</x:f>
        <x:v>Bajío</x:v>
      </x:c>
      <x:c r="C384" s="45" t="str">
        <x:f>'Ubicaciones'!B384</x:f>
        <x:v>Christian Medina Capetillo</x:v>
      </x:c>
      <x:c r="D384" s="45" t="str">
        <x:f>IF(COUNTIFS('Catalogos'!$A$2:$A$41,B384,'Catalogos'!$B$2:$B$41,C384)&gt;0,"Correcta","Revisar Región DM")</x:f>
        <x:v>Correcta</x:v>
      </x:c>
      <x:c r="E384" s="45" t="str">
        <x:f>IF(COUNTIFS('Ubicaciones'!$C$2:$C$10001,A384)=1,"Único","Duplicado")</x:f>
        <x:v>Único</x:v>
      </x:c>
      <x:c r="F384" s="45" t="str">
        <x:f>IF('Ubicaciones'!T384=1,"Ubicable",IF(OR('Ubicaciones'!E384="Abierta",'Ubicaciones'!E384="Próxima Apertura"),"Coordenadas o activa pendientes","Fuera por estatus"))</x:f>
        <x:v>Ubicable</x:v>
      </x:c>
    </x:row>
    <x:row r="385" ht="23" customHeight="1">
      <x:c r="A385" s="45" t="str">
        <x:f>'Ubicaciones'!C385</x:f>
        <x:v>38355</x:v>
      </x:c>
      <x:c r="B385" s="45" t="str">
        <x:f>'Ubicaciones'!A385</x:f>
        <x:v>Bajío</x:v>
      </x:c>
      <x:c r="C385" s="45" t="str">
        <x:f>'Ubicaciones'!B385</x:f>
        <x:v>Christian Medina Capetillo</x:v>
      </x:c>
      <x:c r="D385" s="45" t="str">
        <x:f>IF(COUNTIFS('Catalogos'!$A$2:$A$41,B385,'Catalogos'!$B$2:$B$41,C385)&gt;0,"Correcta","Revisar Región DM")</x:f>
        <x:v>Correcta</x:v>
      </x:c>
      <x:c r="E385" s="45" t="str">
        <x:f>IF(COUNTIFS('Ubicaciones'!$C$2:$C$10001,A385)=1,"Único","Duplicado")</x:f>
        <x:v>Único</x:v>
      </x:c>
      <x:c r="F385" s="45" t="str">
        <x:f>IF('Ubicaciones'!T385=1,"Ubicable",IF(OR('Ubicaciones'!E385="Abierta",'Ubicaciones'!E385="Próxima Apertura"),"Coordenadas o activa pendientes","Fuera por estatus"))</x:f>
        <x:v>Ubicable</x:v>
      </x:c>
    </x:row>
    <x:row r="386" ht="23" customHeight="1">
      <x:c r="A386" s="45" t="str">
        <x:f>'Ubicaciones'!C386</x:f>
        <x:v>38392</x:v>
      </x:c>
      <x:c r="B386" s="45" t="str">
        <x:f>'Ubicaciones'!A386</x:f>
        <x:v>Bajío</x:v>
      </x:c>
      <x:c r="C386" s="45" t="str">
        <x:f>'Ubicaciones'!B386</x:f>
        <x:v>Christian Medina Capetillo</x:v>
      </x:c>
      <x:c r="D386" s="45" t="str">
        <x:f>IF(COUNTIFS('Catalogos'!$A$2:$A$41,B386,'Catalogos'!$B$2:$B$41,C386)&gt;0,"Correcta","Revisar Región DM")</x:f>
        <x:v>Correcta</x:v>
      </x:c>
      <x:c r="E386" s="45" t="str">
        <x:f>IF(COUNTIFS('Ubicaciones'!$C$2:$C$10001,A386)=1,"Único","Duplicado")</x:f>
        <x:v>Único</x:v>
      </x:c>
      <x:c r="F386" s="45" t="str">
        <x:f>IF('Ubicaciones'!T386=1,"Ubicable",IF(OR('Ubicaciones'!E386="Abierta",'Ubicaciones'!E386="Próxima Apertura"),"Coordenadas o activa pendientes","Fuera por estatus"))</x:f>
        <x:v>Ubicable</x:v>
      </x:c>
    </x:row>
    <x:row r="387" ht="23" customHeight="1">
      <x:c r="A387" s="45" t="str">
        <x:f>'Ubicaciones'!C387</x:f>
        <x:v>38473</x:v>
      </x:c>
      <x:c r="B387" s="45" t="str">
        <x:f>'Ubicaciones'!A387</x:f>
        <x:v>Bajío</x:v>
      </x:c>
      <x:c r="C387" s="45" t="str">
        <x:f>'Ubicaciones'!B387</x:f>
        <x:v>Christian Medina Capetillo</x:v>
      </x:c>
      <x:c r="D387" s="45" t="str">
        <x:f>IF(COUNTIFS('Catalogos'!$A$2:$A$41,B387,'Catalogos'!$B$2:$B$41,C387)&gt;0,"Correcta","Revisar Región DM")</x:f>
        <x:v>Correcta</x:v>
      </x:c>
      <x:c r="E387" s="45" t="str">
        <x:f>IF(COUNTIFS('Ubicaciones'!$C$2:$C$10001,A387)=1,"Único","Duplicado")</x:f>
        <x:v>Único</x:v>
      </x:c>
      <x:c r="F387" s="45" t="str">
        <x:f>IF('Ubicaciones'!T387=1,"Ubicable",IF(OR('Ubicaciones'!E387="Abierta",'Ubicaciones'!E387="Próxima Apertura"),"Coordenadas o activa pendientes","Fuera por estatus"))</x:f>
        <x:v>Ubicable</x:v>
      </x:c>
    </x:row>
    <x:row r="388" ht="23" customHeight="1">
      <x:c r="A388" s="45" t="str">
        <x:f>'Ubicaciones'!C388</x:f>
        <x:v>38506</x:v>
      </x:c>
      <x:c r="B388" s="45" t="str">
        <x:f>'Ubicaciones'!A388</x:f>
        <x:v>Bajío</x:v>
      </x:c>
      <x:c r="C388" s="45" t="str">
        <x:f>'Ubicaciones'!B388</x:f>
        <x:v>Christian Medina Capetillo</x:v>
      </x:c>
      <x:c r="D388" s="45" t="str">
        <x:f>IF(COUNTIFS('Catalogos'!$A$2:$A$41,B388,'Catalogos'!$B$2:$B$41,C388)&gt;0,"Correcta","Revisar Región DM")</x:f>
        <x:v>Correcta</x:v>
      </x:c>
      <x:c r="E388" s="45" t="str">
        <x:f>IF(COUNTIFS('Ubicaciones'!$C$2:$C$10001,A388)=1,"Único","Duplicado")</x:f>
        <x:v>Único</x:v>
      </x:c>
      <x:c r="F388" s="45" t="str">
        <x:f>IF('Ubicaciones'!T388=1,"Ubicable",IF(OR('Ubicaciones'!E388="Abierta",'Ubicaciones'!E388="Próxima Apertura"),"Coordenadas o activa pendientes","Fuera por estatus"))</x:f>
        <x:v>Ubicable</x:v>
      </x:c>
    </x:row>
    <x:row r="389" ht="23" customHeight="1">
      <x:c r="A389" s="45" t="str">
        <x:f>'Ubicaciones'!C389</x:f>
        <x:v>38563</x:v>
      </x:c>
      <x:c r="B389" s="45" t="str">
        <x:f>'Ubicaciones'!A389</x:f>
        <x:v>Bajío</x:v>
      </x:c>
      <x:c r="C389" s="45" t="str">
        <x:f>'Ubicaciones'!B389</x:f>
        <x:v>Christian Medina Capetillo</x:v>
      </x:c>
      <x:c r="D389" s="45" t="str">
        <x:f>IF(COUNTIFS('Catalogos'!$A$2:$A$41,B389,'Catalogos'!$B$2:$B$41,C389)&gt;0,"Correcta","Revisar Región DM")</x:f>
        <x:v>Correcta</x:v>
      </x:c>
      <x:c r="E389" s="45" t="str">
        <x:f>IF(COUNTIFS('Ubicaciones'!$C$2:$C$10001,A389)=1,"Único","Duplicado")</x:f>
        <x:v>Único</x:v>
      </x:c>
      <x:c r="F389" s="45" t="str">
        <x:f>IF('Ubicaciones'!T389=1,"Ubicable",IF(OR('Ubicaciones'!E389="Abierta",'Ubicaciones'!E389="Próxima Apertura"),"Coordenadas o activa pendientes","Fuera por estatus"))</x:f>
        <x:v>Ubicable</x:v>
      </x:c>
    </x:row>
    <x:row r="390" ht="23" customHeight="1">
      <x:c r="A390" s="45" t="str">
        <x:f>'Ubicaciones'!C390</x:f>
        <x:v>38630</x:v>
      </x:c>
      <x:c r="B390" s="45" t="str">
        <x:f>'Ubicaciones'!A390</x:f>
        <x:v>Bajío</x:v>
      </x:c>
      <x:c r="C390" s="45" t="str">
        <x:f>'Ubicaciones'!B390</x:f>
        <x:v>Christian Medina Capetillo</x:v>
      </x:c>
      <x:c r="D390" s="45" t="str">
        <x:f>IF(COUNTIFS('Catalogos'!$A$2:$A$41,B390,'Catalogos'!$B$2:$B$41,C390)&gt;0,"Correcta","Revisar Región DM")</x:f>
        <x:v>Correcta</x:v>
      </x:c>
      <x:c r="E390" s="45" t="str">
        <x:f>IF(COUNTIFS('Ubicaciones'!$C$2:$C$10001,A390)=1,"Único","Duplicado")</x:f>
        <x:v>Único</x:v>
      </x:c>
      <x:c r="F390" s="45" t="str">
        <x:f>IF('Ubicaciones'!T390=1,"Ubicable",IF(OR('Ubicaciones'!E390="Abierta",'Ubicaciones'!E390="Próxima Apertura"),"Coordenadas o activa pendientes","Fuera por estatus"))</x:f>
        <x:v>Ubicable</x:v>
      </x:c>
    </x:row>
    <x:row r="391" ht="23" customHeight="1">
      <x:c r="A391" s="45" t="str">
        <x:f>'Ubicaciones'!C391</x:f>
        <x:v>38734</x:v>
      </x:c>
      <x:c r="B391" s="45" t="str">
        <x:f>'Ubicaciones'!A391</x:f>
        <x:v>Bajío</x:v>
      </x:c>
      <x:c r="C391" s="45" t="str">
        <x:f>'Ubicaciones'!B391</x:f>
        <x:v>Christian Medina Capetillo</x:v>
      </x:c>
      <x:c r="D391" s="45" t="str">
        <x:f>IF(COUNTIFS('Catalogos'!$A$2:$A$41,B391,'Catalogos'!$B$2:$B$41,C391)&gt;0,"Correcta","Revisar Región DM")</x:f>
        <x:v>Correcta</x:v>
      </x:c>
      <x:c r="E391" s="45" t="str">
        <x:f>IF(COUNTIFS('Ubicaciones'!$C$2:$C$10001,A391)=1,"Único","Duplicado")</x:f>
        <x:v>Único</x:v>
      </x:c>
      <x:c r="F391" s="45" t="str">
        <x:f>IF('Ubicaciones'!T391=1,"Ubicable",IF(OR('Ubicaciones'!E391="Abierta",'Ubicaciones'!E391="Próxima Apertura"),"Coordenadas o activa pendientes","Fuera por estatus"))</x:f>
        <x:v>Ubicable</x:v>
      </x:c>
    </x:row>
    <x:row r="392" ht="23" customHeight="1">
      <x:c r="A392" s="45" t="str">
        <x:f>'Ubicaciones'!C392</x:f>
        <x:v>38833</x:v>
      </x:c>
      <x:c r="B392" s="45" t="str">
        <x:f>'Ubicaciones'!A392</x:f>
        <x:v>Bajío</x:v>
      </x:c>
      <x:c r="C392" s="45" t="str">
        <x:f>'Ubicaciones'!B392</x:f>
        <x:v>Christian Medina Capetillo</x:v>
      </x:c>
      <x:c r="D392" s="45" t="str">
        <x:f>IF(COUNTIFS('Catalogos'!$A$2:$A$41,B392,'Catalogos'!$B$2:$B$41,C392)&gt;0,"Correcta","Revisar Región DM")</x:f>
        <x:v>Correcta</x:v>
      </x:c>
      <x:c r="E392" s="45" t="str">
        <x:f>IF(COUNTIFS('Ubicaciones'!$C$2:$C$10001,A392)=1,"Único","Duplicado")</x:f>
        <x:v>Único</x:v>
      </x:c>
      <x:c r="F392" s="45" t="str">
        <x:f>IF('Ubicaciones'!T392=1,"Ubicable",IF(OR('Ubicaciones'!E392="Abierta",'Ubicaciones'!E392="Próxima Apertura"),"Coordenadas o activa pendientes","Fuera por estatus"))</x:f>
        <x:v>Ubicable</x:v>
      </x:c>
    </x:row>
    <x:row r="393" ht="23" customHeight="1">
      <x:c r="A393" s="45" t="str">
        <x:f>'Ubicaciones'!C393</x:f>
        <x:v>38891</x:v>
      </x:c>
      <x:c r="B393" s="45" t="str">
        <x:f>'Ubicaciones'!A393</x:f>
        <x:v>Bajío</x:v>
      </x:c>
      <x:c r="C393" s="45" t="str">
        <x:f>'Ubicaciones'!B393</x:f>
        <x:v>Christian Medina Capetillo</x:v>
      </x:c>
      <x:c r="D393" s="45" t="str">
        <x:f>IF(COUNTIFS('Catalogos'!$A$2:$A$41,B393,'Catalogos'!$B$2:$B$41,C393)&gt;0,"Correcta","Revisar Región DM")</x:f>
        <x:v>Correcta</x:v>
      </x:c>
      <x:c r="E393" s="45" t="str">
        <x:f>IF(COUNTIFS('Ubicaciones'!$C$2:$C$10001,A393)=1,"Único","Duplicado")</x:f>
        <x:v>Único</x:v>
      </x:c>
      <x:c r="F393" s="45" t="str">
        <x:f>IF('Ubicaciones'!T393=1,"Ubicable",IF(OR('Ubicaciones'!E393="Abierta",'Ubicaciones'!E393="Próxima Apertura"),"Coordenadas o activa pendientes","Fuera por estatus"))</x:f>
        <x:v>Ubicable</x:v>
      </x:c>
    </x:row>
    <x:row r="394" ht="23" customHeight="1">
      <x:c r="A394" s="45" t="str">
        <x:f>'Ubicaciones'!C394</x:f>
        <x:v>38912</x:v>
      </x:c>
      <x:c r="B394" s="45" t="str">
        <x:f>'Ubicaciones'!A394</x:f>
        <x:v>Bajío</x:v>
      </x:c>
      <x:c r="C394" s="45" t="str">
        <x:f>'Ubicaciones'!B394</x:f>
        <x:v>Christian Medina Capetillo</x:v>
      </x:c>
      <x:c r="D394" s="45" t="str">
        <x:f>IF(COUNTIFS('Catalogos'!$A$2:$A$41,B394,'Catalogos'!$B$2:$B$41,C394)&gt;0,"Correcta","Revisar Región DM")</x:f>
        <x:v>Correcta</x:v>
      </x:c>
      <x:c r="E394" s="45" t="str">
        <x:f>IF(COUNTIFS('Ubicaciones'!$C$2:$C$10001,A394)=1,"Único","Duplicado")</x:f>
        <x:v>Único</x:v>
      </x:c>
      <x:c r="F394" s="45" t="str">
        <x:f>IF('Ubicaciones'!T394=1,"Ubicable",IF(OR('Ubicaciones'!E394="Abierta",'Ubicaciones'!E394="Próxima Apertura"),"Coordenadas o activa pendientes","Fuera por estatus"))</x:f>
        <x:v>Ubicable</x:v>
      </x:c>
    </x:row>
    <x:row r="395" ht="23" customHeight="1">
      <x:c r="A395" s="45" t="str">
        <x:f>'Ubicaciones'!C395</x:f>
        <x:v>38974</x:v>
      </x:c>
      <x:c r="B395" s="45" t="str">
        <x:f>'Ubicaciones'!A395</x:f>
        <x:v>Bajío</x:v>
      </x:c>
      <x:c r="C395" s="45" t="str">
        <x:f>'Ubicaciones'!B395</x:f>
        <x:v>Christian Medina Capetillo</x:v>
      </x:c>
      <x:c r="D395" s="45" t="str">
        <x:f>IF(COUNTIFS('Catalogos'!$A$2:$A$41,B395,'Catalogos'!$B$2:$B$41,C395)&gt;0,"Correcta","Revisar Región DM")</x:f>
        <x:v>Correcta</x:v>
      </x:c>
      <x:c r="E395" s="45" t="str">
        <x:f>IF(COUNTIFS('Ubicaciones'!$C$2:$C$10001,A395)=1,"Único","Duplicado")</x:f>
        <x:v>Único</x:v>
      </x:c>
      <x:c r="F395" s="45" t="str">
        <x:f>IF('Ubicaciones'!T395=1,"Ubicable",IF(OR('Ubicaciones'!E395="Abierta",'Ubicaciones'!E395="Próxima Apertura"),"Coordenadas o activa pendientes","Fuera por estatus"))</x:f>
        <x:v>Ubicable</x:v>
      </x:c>
    </x:row>
    <x:row r="396" ht="23" customHeight="1">
      <x:c r="A396" s="45" t="str">
        <x:f>'Ubicaciones'!C396</x:f>
        <x:v>43063</x:v>
      </x:c>
      <x:c r="B396" s="45" t="str">
        <x:f>'Ubicaciones'!A396</x:f>
        <x:v>Bajío</x:v>
      </x:c>
      <x:c r="C396" s="45" t="str">
        <x:f>'Ubicaciones'!B396</x:f>
        <x:v>Christian Medina Capetillo</x:v>
      </x:c>
      <x:c r="D396" s="45" t="str">
        <x:f>IF(COUNTIFS('Catalogos'!$A$2:$A$41,B396,'Catalogos'!$B$2:$B$41,C396)&gt;0,"Correcta","Revisar Región DM")</x:f>
        <x:v>Correcta</x:v>
      </x:c>
      <x:c r="E396" s="45" t="str">
        <x:f>IF(COUNTIFS('Ubicaciones'!$C$2:$C$10001,A396)=1,"Único","Duplicado")</x:f>
        <x:v>Único</x:v>
      </x:c>
      <x:c r="F396" s="45" t="str">
        <x:f>IF('Ubicaciones'!T396=1,"Ubicable",IF(OR('Ubicaciones'!E396="Abierta",'Ubicaciones'!E396="Próxima Apertura"),"Coordenadas o activa pendientes","Fuera por estatus"))</x:f>
        <x:v>Ubicable</x:v>
      </x:c>
    </x:row>
    <x:row r="397" ht="23" customHeight="1">
      <x:c r="A397" s="45" t="str">
        <x:f>'Ubicaciones'!C397</x:f>
        <x:v>43185</x:v>
      </x:c>
      <x:c r="B397" s="45" t="str">
        <x:f>'Ubicaciones'!A397</x:f>
        <x:v>Bajío</x:v>
      </x:c>
      <x:c r="C397" s="45" t="str">
        <x:f>'Ubicaciones'!B397</x:f>
        <x:v>Christian Medina Capetillo</x:v>
      </x:c>
      <x:c r="D397" s="45" t="str">
        <x:f>IF(COUNTIFS('Catalogos'!$A$2:$A$41,B397,'Catalogos'!$B$2:$B$41,C397)&gt;0,"Correcta","Revisar Región DM")</x:f>
        <x:v>Correcta</x:v>
      </x:c>
      <x:c r="E397" s="45" t="str">
        <x:f>IF(COUNTIFS('Ubicaciones'!$C$2:$C$10001,A397)=1,"Único","Duplicado")</x:f>
        <x:v>Único</x:v>
      </x:c>
      <x:c r="F397" s="45" t="str">
        <x:f>IF('Ubicaciones'!T397=1,"Ubicable",IF(OR('Ubicaciones'!E397="Abierta",'Ubicaciones'!E397="Próxima Apertura"),"Coordenadas o activa pendientes","Fuera por estatus"))</x:f>
        <x:v>Ubicable</x:v>
      </x:c>
    </x:row>
    <x:row r="398" ht="23" customHeight="1">
      <x:c r="A398" s="45" t="str">
        <x:f>'Ubicaciones'!C398</x:f>
        <x:v>38357</x:v>
      </x:c>
      <x:c r="B398" s="45" t="str">
        <x:f>'Ubicaciones'!A398</x:f>
        <x:v>Bajío</x:v>
      </x:c>
      <x:c r="C398" s="45" t="str">
        <x:f>'Ubicaciones'!B398</x:f>
        <x:v>David Carrasco</x:v>
      </x:c>
      <x:c r="D398" s="45" t="str">
        <x:f>IF(COUNTIFS('Catalogos'!$A$2:$A$41,B398,'Catalogos'!$B$2:$B$41,C398)&gt;0,"Correcta","Revisar Región DM")</x:f>
        <x:v>Correcta</x:v>
      </x:c>
      <x:c r="E398" s="45" t="str">
        <x:f>IF(COUNTIFS('Ubicaciones'!$C$2:$C$10001,A398)=1,"Único","Duplicado")</x:f>
        <x:v>Único</x:v>
      </x:c>
      <x:c r="F398" s="45" t="str">
        <x:f>IF('Ubicaciones'!T398=1,"Ubicable",IF(OR('Ubicaciones'!E398="Abierta",'Ubicaciones'!E398="Próxima Apertura"),"Coordenadas o activa pendientes","Fuera por estatus"))</x:f>
        <x:v>Fuera por estatus</x:v>
      </x:c>
    </x:row>
    <x:row r="399" ht="23" customHeight="1">
      <x:c r="A399" s="45" t="str">
        <x:f>'Ubicaciones'!C399</x:f>
        <x:v>38358</x:v>
      </x:c>
      <x:c r="B399" s="45" t="str">
        <x:f>'Ubicaciones'!A399</x:f>
        <x:v>Bajío</x:v>
      </x:c>
      <x:c r="C399" s="45" t="str">
        <x:f>'Ubicaciones'!B399</x:f>
        <x:v>David Carrasco</x:v>
      </x:c>
      <x:c r="D399" s="45" t="str">
        <x:f>IF(COUNTIFS('Catalogos'!$A$2:$A$41,B399,'Catalogos'!$B$2:$B$41,C399)&gt;0,"Correcta","Revisar Región DM")</x:f>
        <x:v>Correcta</x:v>
      </x:c>
      <x:c r="E399" s="45" t="str">
        <x:f>IF(COUNTIFS('Ubicaciones'!$C$2:$C$10001,A399)=1,"Único","Duplicado")</x:f>
        <x:v>Único</x:v>
      </x:c>
      <x:c r="F399" s="45" t="str">
        <x:f>IF('Ubicaciones'!T399=1,"Ubicable",IF(OR('Ubicaciones'!E399="Abierta",'Ubicaciones'!E399="Próxima Apertura"),"Coordenadas o activa pendientes","Fuera por estatus"))</x:f>
        <x:v>Ubicable</x:v>
      </x:c>
    </x:row>
    <x:row r="400" ht="23" customHeight="1">
      <x:c r="A400" s="45" t="str">
        <x:f>'Ubicaciones'!C400</x:f>
        <x:v>38790</x:v>
      </x:c>
      <x:c r="B400" s="45" t="str">
        <x:f>'Ubicaciones'!A400</x:f>
        <x:v>Bajío</x:v>
      </x:c>
      <x:c r="C400" s="45" t="str">
        <x:f>'Ubicaciones'!B400</x:f>
        <x:v>David Carrasco</x:v>
      </x:c>
      <x:c r="D400" s="45" t="str">
        <x:f>IF(COUNTIFS('Catalogos'!$A$2:$A$41,B400,'Catalogos'!$B$2:$B$41,C400)&gt;0,"Correcta","Revisar Región DM")</x:f>
        <x:v>Correcta</x:v>
      </x:c>
      <x:c r="E400" s="45" t="str">
        <x:f>IF(COUNTIFS('Ubicaciones'!$C$2:$C$10001,A400)=1,"Único","Duplicado")</x:f>
        <x:v>Único</x:v>
      </x:c>
      <x:c r="F400" s="45" t="str">
        <x:f>IF('Ubicaciones'!T400=1,"Ubicable",IF(OR('Ubicaciones'!E400="Abierta",'Ubicaciones'!E400="Próxima Apertura"),"Coordenadas o activa pendientes","Fuera por estatus"))</x:f>
        <x:v>Ubicable</x:v>
      </x:c>
    </x:row>
    <x:row r="401" ht="23" customHeight="1">
      <x:c r="A401" s="45" t="str">
        <x:f>'Ubicaciones'!C401</x:f>
        <x:v>38793</x:v>
      </x:c>
      <x:c r="B401" s="45" t="str">
        <x:f>'Ubicaciones'!A401</x:f>
        <x:v>Bajío</x:v>
      </x:c>
      <x:c r="C401" s="45" t="str">
        <x:f>'Ubicaciones'!B401</x:f>
        <x:v>David Carrasco</x:v>
      </x:c>
      <x:c r="D401" s="45" t="str">
        <x:f>IF(COUNTIFS('Catalogos'!$A$2:$A$41,B401,'Catalogos'!$B$2:$B$41,C401)&gt;0,"Correcta","Revisar Región DM")</x:f>
        <x:v>Correcta</x:v>
      </x:c>
      <x:c r="E401" s="45" t="str">
        <x:f>IF(COUNTIFS('Ubicaciones'!$C$2:$C$10001,A401)=1,"Único","Duplicado")</x:f>
        <x:v>Único</x:v>
      </x:c>
      <x:c r="F401" s="45" t="str">
        <x:f>IF('Ubicaciones'!T401=1,"Ubicable",IF(OR('Ubicaciones'!E401="Abierta",'Ubicaciones'!E401="Próxima Apertura"),"Coordenadas o activa pendientes","Fuera por estatus"))</x:f>
        <x:v>Ubicable</x:v>
      </x:c>
    </x:row>
    <x:row r="402" ht="23" customHeight="1">
      <x:c r="A402" s="45" t="str">
        <x:f>'Ubicaciones'!C402</x:f>
        <x:v>38893</x:v>
      </x:c>
      <x:c r="B402" s="45" t="str">
        <x:f>'Ubicaciones'!A402</x:f>
        <x:v>Bajío</x:v>
      </x:c>
      <x:c r="C402" s="45" t="str">
        <x:f>'Ubicaciones'!B402</x:f>
        <x:v>David Carrasco</x:v>
      </x:c>
      <x:c r="D402" s="45" t="str">
        <x:f>IF(COUNTIFS('Catalogos'!$A$2:$A$41,B402,'Catalogos'!$B$2:$B$41,C402)&gt;0,"Correcta","Revisar Región DM")</x:f>
        <x:v>Correcta</x:v>
      </x:c>
      <x:c r="E402" s="45" t="str">
        <x:f>IF(COUNTIFS('Ubicaciones'!$C$2:$C$10001,A402)=1,"Único","Duplicado")</x:f>
        <x:v>Único</x:v>
      </x:c>
      <x:c r="F402" s="45" t="str">
        <x:f>IF('Ubicaciones'!T402=1,"Ubicable",IF(OR('Ubicaciones'!E402="Abierta",'Ubicaciones'!E402="Próxima Apertura"),"Coordenadas o activa pendientes","Fuera por estatus"))</x:f>
        <x:v>Ubicable</x:v>
      </x:c>
    </x:row>
    <x:row r="403" ht="23" customHeight="1">
      <x:c r="A403" s="45" t="str">
        <x:f>'Ubicaciones'!C403</x:f>
        <x:v>38908</x:v>
      </x:c>
      <x:c r="B403" s="45" t="str">
        <x:f>'Ubicaciones'!A403</x:f>
        <x:v>Bajío</x:v>
      </x:c>
      <x:c r="C403" s="45" t="str">
        <x:f>'Ubicaciones'!B403</x:f>
        <x:v>David Carrasco</x:v>
      </x:c>
      <x:c r="D403" s="45" t="str">
        <x:f>IF(COUNTIFS('Catalogos'!$A$2:$A$41,B403,'Catalogos'!$B$2:$B$41,C403)&gt;0,"Correcta","Revisar Región DM")</x:f>
        <x:v>Correcta</x:v>
      </x:c>
      <x:c r="E403" s="45" t="str">
        <x:f>IF(COUNTIFS('Ubicaciones'!$C$2:$C$10001,A403)=1,"Único","Duplicado")</x:f>
        <x:v>Único</x:v>
      </x:c>
      <x:c r="F403" s="45" t="str">
        <x:f>IF('Ubicaciones'!T403=1,"Ubicable",IF(OR('Ubicaciones'!E403="Abierta",'Ubicaciones'!E403="Próxima Apertura"),"Coordenadas o activa pendientes","Fuera por estatus"))</x:f>
        <x:v>Ubicable</x:v>
      </x:c>
    </x:row>
    <x:row r="404" ht="23" customHeight="1">
      <x:c r="A404" s="45" t="str">
        <x:f>'Ubicaciones'!C404</x:f>
        <x:v>38910</x:v>
      </x:c>
      <x:c r="B404" s="45" t="str">
        <x:f>'Ubicaciones'!A404</x:f>
        <x:v>Bajío</x:v>
      </x:c>
      <x:c r="C404" s="45" t="str">
        <x:f>'Ubicaciones'!B404</x:f>
        <x:v>David Carrasco</x:v>
      </x:c>
      <x:c r="D404" s="45" t="str">
        <x:f>IF(COUNTIFS('Catalogos'!$A$2:$A$41,B404,'Catalogos'!$B$2:$B$41,C404)&gt;0,"Correcta","Revisar Región DM")</x:f>
        <x:v>Correcta</x:v>
      </x:c>
      <x:c r="E404" s="45" t="str">
        <x:f>IF(COUNTIFS('Ubicaciones'!$C$2:$C$10001,A404)=1,"Único","Duplicado")</x:f>
        <x:v>Único</x:v>
      </x:c>
      <x:c r="F404" s="45" t="str">
        <x:f>IF('Ubicaciones'!T404=1,"Ubicable",IF(OR('Ubicaciones'!E404="Abierta",'Ubicaciones'!E404="Próxima Apertura"),"Coordenadas o activa pendientes","Fuera por estatus"))</x:f>
        <x:v>Ubicable</x:v>
      </x:c>
    </x:row>
    <x:row r="405" ht="23" customHeight="1">
      <x:c r="A405" s="45" t="str">
        <x:f>'Ubicaciones'!C405</x:f>
        <x:v>38911</x:v>
      </x:c>
      <x:c r="B405" s="45" t="str">
        <x:f>'Ubicaciones'!A405</x:f>
        <x:v>Bajío</x:v>
      </x:c>
      <x:c r="C405" s="45" t="str">
        <x:f>'Ubicaciones'!B405</x:f>
        <x:v>David Carrasco</x:v>
      </x:c>
      <x:c r="D405" s="45" t="str">
        <x:f>IF(COUNTIFS('Catalogos'!$A$2:$A$41,B405,'Catalogos'!$B$2:$B$41,C405)&gt;0,"Correcta","Revisar Región DM")</x:f>
        <x:v>Correcta</x:v>
      </x:c>
      <x:c r="E405" s="45" t="str">
        <x:f>IF(COUNTIFS('Ubicaciones'!$C$2:$C$10001,A405)=1,"Único","Duplicado")</x:f>
        <x:v>Único</x:v>
      </x:c>
      <x:c r="F405" s="45" t="str">
        <x:f>IF('Ubicaciones'!T405=1,"Ubicable",IF(OR('Ubicaciones'!E405="Abierta",'Ubicaciones'!E405="Próxima Apertura"),"Coordenadas o activa pendientes","Fuera por estatus"))</x:f>
        <x:v>Ubicable</x:v>
      </x:c>
    </x:row>
    <x:row r="406" ht="23" customHeight="1">
      <x:c r="A406" s="45" t="str">
        <x:f>'Ubicaciones'!C406</x:f>
        <x:v>38939</x:v>
      </x:c>
      <x:c r="B406" s="45" t="str">
        <x:f>'Ubicaciones'!A406</x:f>
        <x:v>Bajío</x:v>
      </x:c>
      <x:c r="C406" s="45" t="str">
        <x:f>'Ubicaciones'!B406</x:f>
        <x:v>David Carrasco</x:v>
      </x:c>
      <x:c r="D406" s="45" t="str">
        <x:f>IF(COUNTIFS('Catalogos'!$A$2:$A$41,B406,'Catalogos'!$B$2:$B$41,C406)&gt;0,"Correcta","Revisar Región DM")</x:f>
        <x:v>Correcta</x:v>
      </x:c>
      <x:c r="E406" s="45" t="str">
        <x:f>IF(COUNTIFS('Ubicaciones'!$C$2:$C$10001,A406)=1,"Único","Duplicado")</x:f>
        <x:v>Único</x:v>
      </x:c>
      <x:c r="F406" s="45" t="str">
        <x:f>IF('Ubicaciones'!T406=1,"Ubicable",IF(OR('Ubicaciones'!E406="Abierta",'Ubicaciones'!E406="Próxima Apertura"),"Coordenadas o activa pendientes","Fuera por estatus"))</x:f>
        <x:v>Ubicable</x:v>
      </x:c>
    </x:row>
    <x:row r="407" ht="23" customHeight="1">
      <x:c r="A407" s="45" t="str">
        <x:f>'Ubicaciones'!C407</x:f>
        <x:v>43064</x:v>
      </x:c>
      <x:c r="B407" s="45" t="str">
        <x:f>'Ubicaciones'!A407</x:f>
        <x:v>Bajío</x:v>
      </x:c>
      <x:c r="C407" s="45" t="str">
        <x:f>'Ubicaciones'!B407</x:f>
        <x:v>David Carrasco</x:v>
      </x:c>
      <x:c r="D407" s="45" t="str">
        <x:f>IF(COUNTIFS('Catalogos'!$A$2:$A$41,B407,'Catalogos'!$B$2:$B$41,C407)&gt;0,"Correcta","Revisar Región DM")</x:f>
        <x:v>Correcta</x:v>
      </x:c>
      <x:c r="E407" s="45" t="str">
        <x:f>IF(COUNTIFS('Ubicaciones'!$C$2:$C$10001,A407)=1,"Único","Duplicado")</x:f>
        <x:v>Único</x:v>
      </x:c>
      <x:c r="F407" s="45" t="str">
        <x:f>IF('Ubicaciones'!T407=1,"Ubicable",IF(OR('Ubicaciones'!E407="Abierta",'Ubicaciones'!E407="Próxima Apertura"),"Coordenadas o activa pendientes","Fuera por estatus"))</x:f>
        <x:v>Ubicable</x:v>
      </x:c>
    </x:row>
    <x:row r="408" ht="23" customHeight="1">
      <x:c r="A408" s="45" t="str">
        <x:f>'Ubicaciones'!C408</x:f>
        <x:v>43082</x:v>
      </x:c>
      <x:c r="B408" s="45" t="str">
        <x:f>'Ubicaciones'!A408</x:f>
        <x:v>Bajío</x:v>
      </x:c>
      <x:c r="C408" s="45" t="str">
        <x:f>'Ubicaciones'!B408</x:f>
        <x:v>David Carrasco</x:v>
      </x:c>
      <x:c r="D408" s="45" t="str">
        <x:f>IF(COUNTIFS('Catalogos'!$A$2:$A$41,B408,'Catalogos'!$B$2:$B$41,C408)&gt;0,"Correcta","Revisar Región DM")</x:f>
        <x:v>Correcta</x:v>
      </x:c>
      <x:c r="E408" s="45" t="str">
        <x:f>IF(COUNTIFS('Ubicaciones'!$C$2:$C$10001,A408)=1,"Único","Duplicado")</x:f>
        <x:v>Único</x:v>
      </x:c>
      <x:c r="F408" s="45" t="str">
        <x:f>IF('Ubicaciones'!T408=1,"Ubicable",IF(OR('Ubicaciones'!E408="Abierta",'Ubicaciones'!E408="Próxima Apertura"),"Coordenadas o activa pendientes","Fuera por estatus"))</x:f>
        <x:v>Ubicable</x:v>
      </x:c>
    </x:row>
    <x:row r="409" ht="23" customHeight="1">
      <x:c r="A409" s="45" t="str">
        <x:f>'Ubicaciones'!C409</x:f>
        <x:v>43083</x:v>
      </x:c>
      <x:c r="B409" s="45" t="str">
        <x:f>'Ubicaciones'!A409</x:f>
        <x:v>Bajío</x:v>
      </x:c>
      <x:c r="C409" s="45" t="str">
        <x:f>'Ubicaciones'!B409</x:f>
        <x:v>David Carrasco</x:v>
      </x:c>
      <x:c r="D409" s="45" t="str">
        <x:f>IF(COUNTIFS('Catalogos'!$A$2:$A$41,B409,'Catalogos'!$B$2:$B$41,C409)&gt;0,"Correcta","Revisar Región DM")</x:f>
        <x:v>Correcta</x:v>
      </x:c>
      <x:c r="E409" s="45" t="str">
        <x:f>IF(COUNTIFS('Ubicaciones'!$C$2:$C$10001,A409)=1,"Único","Duplicado")</x:f>
        <x:v>Único</x:v>
      </x:c>
      <x:c r="F409" s="45" t="str">
        <x:f>IF('Ubicaciones'!T409=1,"Ubicable",IF(OR('Ubicaciones'!E409="Abierta",'Ubicaciones'!E409="Próxima Apertura"),"Coordenadas o activa pendientes","Fuera por estatus"))</x:f>
        <x:v>Ubicable</x:v>
      </x:c>
    </x:row>
    <x:row r="410" ht="23" customHeight="1">
      <x:c r="A410" s="45" t="str">
        <x:f>'Ubicaciones'!C410</x:f>
        <x:v>43170</x:v>
      </x:c>
      <x:c r="B410" s="45" t="str">
        <x:f>'Ubicaciones'!A410</x:f>
        <x:v>Bajío</x:v>
      </x:c>
      <x:c r="C410" s="45" t="str">
        <x:f>'Ubicaciones'!B410</x:f>
        <x:v>David Carrasco</x:v>
      </x:c>
      <x:c r="D410" s="45" t="str">
        <x:f>IF(COUNTIFS('Catalogos'!$A$2:$A$41,B410,'Catalogos'!$B$2:$B$41,C410)&gt;0,"Correcta","Revisar Región DM")</x:f>
        <x:v>Correcta</x:v>
      </x:c>
      <x:c r="E410" s="45" t="str">
        <x:f>IF(COUNTIFS('Ubicaciones'!$C$2:$C$10001,A410)=1,"Único","Duplicado")</x:f>
        <x:v>Único</x:v>
      </x:c>
      <x:c r="F410" s="45" t="str">
        <x:f>IF('Ubicaciones'!T410=1,"Ubicable",IF(OR('Ubicaciones'!E410="Abierta",'Ubicaciones'!E410="Próxima Apertura"),"Coordenadas o activa pendientes","Fuera por estatus"))</x:f>
        <x:v>Ubicable</x:v>
      </x:c>
    </x:row>
    <x:row r="411" ht="23" customHeight="1">
      <x:c r="A411" s="45" t="str">
        <x:f>'Ubicaciones'!C411</x:f>
        <x:v>43256</x:v>
      </x:c>
      <x:c r="B411" s="45" t="str">
        <x:f>'Ubicaciones'!A411</x:f>
        <x:v>Bajío</x:v>
      </x:c>
      <x:c r="C411" s="45" t="str">
        <x:f>'Ubicaciones'!B411</x:f>
        <x:v>David Carrasco</x:v>
      </x:c>
      <x:c r="D411" s="45" t="str">
        <x:f>IF(COUNTIFS('Catalogos'!$A$2:$A$41,B411,'Catalogos'!$B$2:$B$41,C411)&gt;0,"Correcta","Revisar Región DM")</x:f>
        <x:v>Correcta</x:v>
      </x:c>
      <x:c r="E411" s="45" t="str">
        <x:f>IF(COUNTIFS('Ubicaciones'!$C$2:$C$10001,A411)=1,"Único","Duplicado")</x:f>
        <x:v>Único</x:v>
      </x:c>
      <x:c r="F411" s="45" t="str">
        <x:f>IF('Ubicaciones'!T411=1,"Ubicable",IF(OR('Ubicaciones'!E411="Abierta",'Ubicaciones'!E411="Próxima Apertura"),"Coordenadas o activa pendientes","Fuera por estatus"))</x:f>
        <x:v>Ubicable</x:v>
      </x:c>
    </x:row>
    <x:row r="412" ht="23" customHeight="1">
      <x:c r="A412" s="45" t="str">
        <x:f>'Ubicaciones'!C412</x:f>
        <x:v>38306</x:v>
      </x:c>
      <x:c r="B412" s="45" t="str">
        <x:f>'Ubicaciones'!A412</x:f>
        <x:v>Bajío</x:v>
      </x:c>
      <x:c r="C412" s="45" t="str">
        <x:f>'Ubicaciones'!B412</x:f>
        <x:v>Elizabeth Berenice Chaires Espinoza</x:v>
      </x:c>
      <x:c r="D412" s="45" t="str">
        <x:f>IF(COUNTIFS('Catalogos'!$A$2:$A$41,B412,'Catalogos'!$B$2:$B$41,C412)&gt;0,"Correcta","Revisar Región DM")</x:f>
        <x:v>Correcta</x:v>
      </x:c>
      <x:c r="E412" s="45" t="str">
        <x:f>IF(COUNTIFS('Ubicaciones'!$C$2:$C$10001,A412)=1,"Único","Duplicado")</x:f>
        <x:v>Único</x:v>
      </x:c>
      <x:c r="F412" s="45" t="str">
        <x:f>IF('Ubicaciones'!T412=1,"Ubicable",IF(OR('Ubicaciones'!E412="Abierta",'Ubicaciones'!E412="Próxima Apertura"),"Coordenadas o activa pendientes","Fuera por estatus"))</x:f>
        <x:v>Ubicable</x:v>
      </x:c>
    </x:row>
    <x:row r="413" ht="23" customHeight="1">
      <x:c r="A413" s="45" t="str">
        <x:f>'Ubicaciones'!C413</x:f>
        <x:v>38315</x:v>
      </x:c>
      <x:c r="B413" s="45" t="str">
        <x:f>'Ubicaciones'!A413</x:f>
        <x:v>Bajío</x:v>
      </x:c>
      <x:c r="C413" s="45" t="str">
        <x:f>'Ubicaciones'!B413</x:f>
        <x:v>Elizabeth Berenice Chaires Espinoza</x:v>
      </x:c>
      <x:c r="D413" s="45" t="str">
        <x:f>IF(COUNTIFS('Catalogos'!$A$2:$A$41,B413,'Catalogos'!$B$2:$B$41,C413)&gt;0,"Correcta","Revisar Región DM")</x:f>
        <x:v>Correcta</x:v>
      </x:c>
      <x:c r="E413" s="45" t="str">
        <x:f>IF(COUNTIFS('Ubicaciones'!$C$2:$C$10001,A413)=1,"Único","Duplicado")</x:f>
        <x:v>Único</x:v>
      </x:c>
      <x:c r="F413" s="45" t="str">
        <x:f>IF('Ubicaciones'!T413=1,"Ubicable",IF(OR('Ubicaciones'!E413="Abierta",'Ubicaciones'!E413="Próxima Apertura"),"Coordenadas o activa pendientes","Fuera por estatus"))</x:f>
        <x:v>Ubicable</x:v>
      </x:c>
    </x:row>
    <x:row r="414" ht="23" customHeight="1">
      <x:c r="A414" s="45" t="str">
        <x:f>'Ubicaciones'!C414</x:f>
        <x:v>38520</x:v>
      </x:c>
      <x:c r="B414" s="45" t="str">
        <x:f>'Ubicaciones'!A414</x:f>
        <x:v>Bajío</x:v>
      </x:c>
      <x:c r="C414" s="45" t="str">
        <x:f>'Ubicaciones'!B414</x:f>
        <x:v>Elizabeth Berenice Chaires Espinoza</x:v>
      </x:c>
      <x:c r="D414" s="45" t="str">
        <x:f>IF(COUNTIFS('Catalogos'!$A$2:$A$41,B414,'Catalogos'!$B$2:$B$41,C414)&gt;0,"Correcta","Revisar Región DM")</x:f>
        <x:v>Correcta</x:v>
      </x:c>
      <x:c r="E414" s="45" t="str">
        <x:f>IF(COUNTIFS('Ubicaciones'!$C$2:$C$10001,A414)=1,"Único","Duplicado")</x:f>
        <x:v>Único</x:v>
      </x:c>
      <x:c r="F414" s="45" t="str">
        <x:f>IF('Ubicaciones'!T414=1,"Ubicable",IF(OR('Ubicaciones'!E414="Abierta",'Ubicaciones'!E414="Próxima Apertura"),"Coordenadas o activa pendientes","Fuera por estatus"))</x:f>
        <x:v>Ubicable</x:v>
      </x:c>
    </x:row>
    <x:row r="415" ht="23" customHeight="1">
      <x:c r="A415" s="45" t="str">
        <x:f>'Ubicaciones'!C415</x:f>
        <x:v>38631</x:v>
      </x:c>
      <x:c r="B415" s="45" t="str">
        <x:f>'Ubicaciones'!A415</x:f>
        <x:v>Bajío</x:v>
      </x:c>
      <x:c r="C415" s="45" t="str">
        <x:f>'Ubicaciones'!B415</x:f>
        <x:v>Elizabeth Berenice Chaires Espinoza</x:v>
      </x:c>
      <x:c r="D415" s="45" t="str">
        <x:f>IF(COUNTIFS('Catalogos'!$A$2:$A$41,B415,'Catalogos'!$B$2:$B$41,C415)&gt;0,"Correcta","Revisar Región DM")</x:f>
        <x:v>Correcta</x:v>
      </x:c>
      <x:c r="E415" s="45" t="str">
        <x:f>IF(COUNTIFS('Ubicaciones'!$C$2:$C$10001,A415)=1,"Único","Duplicado")</x:f>
        <x:v>Único</x:v>
      </x:c>
      <x:c r="F415" s="45" t="str">
        <x:f>IF('Ubicaciones'!T415=1,"Ubicable",IF(OR('Ubicaciones'!E415="Abierta",'Ubicaciones'!E415="Próxima Apertura"),"Coordenadas o activa pendientes","Fuera por estatus"))</x:f>
        <x:v>Ubicable</x:v>
      </x:c>
    </x:row>
    <x:row r="416" ht="23" customHeight="1">
      <x:c r="A416" s="45" t="str">
        <x:f>'Ubicaciones'!C416</x:f>
        <x:v>38665</x:v>
      </x:c>
      <x:c r="B416" s="45" t="str">
        <x:f>'Ubicaciones'!A416</x:f>
        <x:v>Bajío</x:v>
      </x:c>
      <x:c r="C416" s="45" t="str">
        <x:f>'Ubicaciones'!B416</x:f>
        <x:v>Elizabeth Berenice Chaires Espinoza</x:v>
      </x:c>
      <x:c r="D416" s="45" t="str">
        <x:f>IF(COUNTIFS('Catalogos'!$A$2:$A$41,B416,'Catalogos'!$B$2:$B$41,C416)&gt;0,"Correcta","Revisar Región DM")</x:f>
        <x:v>Correcta</x:v>
      </x:c>
      <x:c r="E416" s="45" t="str">
        <x:f>IF(COUNTIFS('Ubicaciones'!$C$2:$C$10001,A416)=1,"Único","Duplicado")</x:f>
        <x:v>Único</x:v>
      </x:c>
      <x:c r="F416" s="45" t="str">
        <x:f>IF('Ubicaciones'!T416=1,"Ubicable",IF(OR('Ubicaciones'!E416="Abierta",'Ubicaciones'!E416="Próxima Apertura"),"Coordenadas o activa pendientes","Fuera por estatus"))</x:f>
        <x:v>Ubicable</x:v>
      </x:c>
    </x:row>
    <x:row r="417" ht="23" customHeight="1">
      <x:c r="A417" s="45" t="str">
        <x:f>'Ubicaciones'!C417</x:f>
        <x:v>38669</x:v>
      </x:c>
      <x:c r="B417" s="45" t="str">
        <x:f>'Ubicaciones'!A417</x:f>
        <x:v>Bajío</x:v>
      </x:c>
      <x:c r="C417" s="45" t="str">
        <x:f>'Ubicaciones'!B417</x:f>
        <x:v>Elizabeth Berenice Chaires Espinoza</x:v>
      </x:c>
      <x:c r="D417" s="45" t="str">
        <x:f>IF(COUNTIFS('Catalogos'!$A$2:$A$41,B417,'Catalogos'!$B$2:$B$41,C417)&gt;0,"Correcta","Revisar Región DM")</x:f>
        <x:v>Correcta</x:v>
      </x:c>
      <x:c r="E417" s="45" t="str">
        <x:f>IF(COUNTIFS('Ubicaciones'!$C$2:$C$10001,A417)=1,"Único","Duplicado")</x:f>
        <x:v>Único</x:v>
      </x:c>
      <x:c r="F417" s="45" t="str">
        <x:f>IF('Ubicaciones'!T417=1,"Ubicable",IF(OR('Ubicaciones'!E417="Abierta",'Ubicaciones'!E417="Próxima Apertura"),"Coordenadas o activa pendientes","Fuera por estatus"))</x:f>
        <x:v>Ubicable</x:v>
      </x:c>
    </x:row>
    <x:row r="418" ht="23" customHeight="1">
      <x:c r="A418" s="45" t="str">
        <x:f>'Ubicaciones'!C418</x:f>
        <x:v>38689</x:v>
      </x:c>
      <x:c r="B418" s="45" t="str">
        <x:f>'Ubicaciones'!A418</x:f>
        <x:v>Bajío</x:v>
      </x:c>
      <x:c r="C418" s="45" t="str">
        <x:f>'Ubicaciones'!B418</x:f>
        <x:v>Elizabeth Berenice Chaires Espinoza</x:v>
      </x:c>
      <x:c r="D418" s="45" t="str">
        <x:f>IF(COUNTIFS('Catalogos'!$A$2:$A$41,B418,'Catalogos'!$B$2:$B$41,C418)&gt;0,"Correcta","Revisar Región DM")</x:f>
        <x:v>Correcta</x:v>
      </x:c>
      <x:c r="E418" s="45" t="str">
        <x:f>IF(COUNTIFS('Ubicaciones'!$C$2:$C$10001,A418)=1,"Único","Duplicado")</x:f>
        <x:v>Único</x:v>
      </x:c>
      <x:c r="F418" s="45" t="str">
        <x:f>IF('Ubicaciones'!T418=1,"Ubicable",IF(OR('Ubicaciones'!E418="Abierta",'Ubicaciones'!E418="Próxima Apertura"),"Coordenadas o activa pendientes","Fuera por estatus"))</x:f>
        <x:v>Ubicable</x:v>
      </x:c>
    </x:row>
    <x:row r="419" ht="23" customHeight="1">
      <x:c r="A419" s="45" t="str">
        <x:f>'Ubicaciones'!C419</x:f>
        <x:v>38735</x:v>
      </x:c>
      <x:c r="B419" s="45" t="str">
        <x:f>'Ubicaciones'!A419</x:f>
        <x:v>Bajío</x:v>
      </x:c>
      <x:c r="C419" s="45" t="str">
        <x:f>'Ubicaciones'!B419</x:f>
        <x:v>Elizabeth Berenice Chaires Espinoza</x:v>
      </x:c>
      <x:c r="D419" s="45" t="str">
        <x:f>IF(COUNTIFS('Catalogos'!$A$2:$A$41,B419,'Catalogos'!$B$2:$B$41,C419)&gt;0,"Correcta","Revisar Región DM")</x:f>
        <x:v>Correcta</x:v>
      </x:c>
      <x:c r="E419" s="45" t="str">
        <x:f>IF(COUNTIFS('Ubicaciones'!$C$2:$C$10001,A419)=1,"Único","Duplicado")</x:f>
        <x:v>Único</x:v>
      </x:c>
      <x:c r="F419" s="45" t="str">
        <x:f>IF('Ubicaciones'!T419=1,"Ubicable",IF(OR('Ubicaciones'!E419="Abierta",'Ubicaciones'!E419="Próxima Apertura"),"Coordenadas o activa pendientes","Fuera por estatus"))</x:f>
        <x:v>Ubicable</x:v>
      </x:c>
    </x:row>
    <x:row r="420" ht="23" customHeight="1">
      <x:c r="A420" s="45" t="str">
        <x:f>'Ubicaciones'!C420</x:f>
        <x:v>38818</x:v>
      </x:c>
      <x:c r="B420" s="45" t="str">
        <x:f>'Ubicaciones'!A420</x:f>
        <x:v>Bajío</x:v>
      </x:c>
      <x:c r="C420" s="45" t="str">
        <x:f>'Ubicaciones'!B420</x:f>
        <x:v>Elizabeth Berenice Chaires Espinoza</x:v>
      </x:c>
      <x:c r="D420" s="45" t="str">
        <x:f>IF(COUNTIFS('Catalogos'!$A$2:$A$41,B420,'Catalogos'!$B$2:$B$41,C420)&gt;0,"Correcta","Revisar Región DM")</x:f>
        <x:v>Correcta</x:v>
      </x:c>
      <x:c r="E420" s="45" t="str">
        <x:f>IF(COUNTIFS('Ubicaciones'!$C$2:$C$10001,A420)=1,"Único","Duplicado")</x:f>
        <x:v>Único</x:v>
      </x:c>
      <x:c r="F420" s="45" t="str">
        <x:f>IF('Ubicaciones'!T420=1,"Ubicable",IF(OR('Ubicaciones'!E420="Abierta",'Ubicaciones'!E420="Próxima Apertura"),"Coordenadas o activa pendientes","Fuera por estatus"))</x:f>
        <x:v>Ubicable</x:v>
      </x:c>
    </x:row>
    <x:row r="421" ht="23" customHeight="1">
      <x:c r="A421" s="45" t="str">
        <x:f>'Ubicaciones'!C421</x:f>
        <x:v>38953</x:v>
      </x:c>
      <x:c r="B421" s="45" t="str">
        <x:f>'Ubicaciones'!A421</x:f>
        <x:v>Bajío</x:v>
      </x:c>
      <x:c r="C421" s="45" t="str">
        <x:f>'Ubicaciones'!B421</x:f>
        <x:v>Elizabeth Berenice Chaires Espinoza</x:v>
      </x:c>
      <x:c r="D421" s="45" t="str">
        <x:f>IF(COUNTIFS('Catalogos'!$A$2:$A$41,B421,'Catalogos'!$B$2:$B$41,C421)&gt;0,"Correcta","Revisar Región DM")</x:f>
        <x:v>Correcta</x:v>
      </x:c>
      <x:c r="E421" s="45" t="str">
        <x:f>IF(COUNTIFS('Ubicaciones'!$C$2:$C$10001,A421)=1,"Único","Duplicado")</x:f>
        <x:v>Único</x:v>
      </x:c>
      <x:c r="F421" s="45" t="str">
        <x:f>IF('Ubicaciones'!T421=1,"Ubicable",IF(OR('Ubicaciones'!E421="Abierta",'Ubicaciones'!E421="Próxima Apertura"),"Coordenadas o activa pendientes","Fuera por estatus"))</x:f>
        <x:v>Ubicable</x:v>
      </x:c>
    </x:row>
    <x:row r="422" ht="23" customHeight="1">
      <x:c r="A422" s="45" t="str">
        <x:f>'Ubicaciones'!C422</x:f>
        <x:v>43050</x:v>
      </x:c>
      <x:c r="B422" s="45" t="str">
        <x:f>'Ubicaciones'!A422</x:f>
        <x:v>Bajío</x:v>
      </x:c>
      <x:c r="C422" s="45" t="str">
        <x:f>'Ubicaciones'!B422</x:f>
        <x:v>Elizabeth Berenice Chaires Espinoza</x:v>
      </x:c>
      <x:c r="D422" s="45" t="str">
        <x:f>IF(COUNTIFS('Catalogos'!$A$2:$A$41,B422,'Catalogos'!$B$2:$B$41,C422)&gt;0,"Correcta","Revisar Región DM")</x:f>
        <x:v>Correcta</x:v>
      </x:c>
      <x:c r="E422" s="45" t="str">
        <x:f>IF(COUNTIFS('Ubicaciones'!$C$2:$C$10001,A422)=1,"Único","Duplicado")</x:f>
        <x:v>Único</x:v>
      </x:c>
      <x:c r="F422" s="45" t="str">
        <x:f>IF('Ubicaciones'!T422=1,"Ubicable",IF(OR('Ubicaciones'!E422="Abierta",'Ubicaciones'!E422="Próxima Apertura"),"Coordenadas o activa pendientes","Fuera por estatus"))</x:f>
        <x:v>Ubicable</x:v>
      </x:c>
    </x:row>
    <x:row r="423" ht="23" customHeight="1">
      <x:c r="A423" s="45" t="str">
        <x:f>'Ubicaciones'!C423</x:f>
        <x:v>43071</x:v>
      </x:c>
      <x:c r="B423" s="45" t="str">
        <x:f>'Ubicaciones'!A423</x:f>
        <x:v>Bajío</x:v>
      </x:c>
      <x:c r="C423" s="45" t="str">
        <x:f>'Ubicaciones'!B423</x:f>
        <x:v>Elizabeth Berenice Chaires Espinoza</x:v>
      </x:c>
      <x:c r="D423" s="45" t="str">
        <x:f>IF(COUNTIFS('Catalogos'!$A$2:$A$41,B423,'Catalogos'!$B$2:$B$41,C423)&gt;0,"Correcta","Revisar Región DM")</x:f>
        <x:v>Correcta</x:v>
      </x:c>
      <x:c r="E423" s="45" t="str">
        <x:f>IF(COUNTIFS('Ubicaciones'!$C$2:$C$10001,A423)=1,"Único","Duplicado")</x:f>
        <x:v>Único</x:v>
      </x:c>
      <x:c r="F423" s="45" t="str">
        <x:f>IF('Ubicaciones'!T423=1,"Ubicable",IF(OR('Ubicaciones'!E423="Abierta",'Ubicaciones'!E423="Próxima Apertura"),"Coordenadas o activa pendientes","Fuera por estatus"))</x:f>
        <x:v>Ubicable</x:v>
      </x:c>
    </x:row>
    <x:row r="424" ht="23" customHeight="1">
      <x:c r="A424" s="45" t="str">
        <x:f>'Ubicaciones'!C424</x:f>
        <x:v>38268</x:v>
      </x:c>
      <x:c r="B424" s="45" t="str">
        <x:f>'Ubicaciones'!A424</x:f>
        <x:v>Bajío</x:v>
      </x:c>
      <x:c r="C424" s="45" t="str">
        <x:f>'Ubicaciones'!B424</x:f>
        <x:v>Gloria Montiel Piñon</x:v>
      </x:c>
      <x:c r="D424" s="45" t="str">
        <x:f>IF(COUNTIFS('Catalogos'!$A$2:$A$41,B424,'Catalogos'!$B$2:$B$41,C424)&gt;0,"Correcta","Revisar Región DM")</x:f>
        <x:v>Correcta</x:v>
      </x:c>
      <x:c r="E424" s="45" t="str">
        <x:f>IF(COUNTIFS('Ubicaciones'!$C$2:$C$10001,A424)=1,"Único","Duplicado")</x:f>
        <x:v>Único</x:v>
      </x:c>
      <x:c r="F424" s="45" t="str">
        <x:f>IF('Ubicaciones'!T424=1,"Ubicable",IF(OR('Ubicaciones'!E424="Abierta",'Ubicaciones'!E424="Próxima Apertura"),"Coordenadas o activa pendientes","Fuera por estatus"))</x:f>
        <x:v>Ubicable</x:v>
      </x:c>
    </x:row>
    <x:row r="425" ht="23" customHeight="1">
      <x:c r="A425" s="45" t="str">
        <x:f>'Ubicaciones'!C425</x:f>
        <x:v>38286</x:v>
      </x:c>
      <x:c r="B425" s="45" t="str">
        <x:f>'Ubicaciones'!A425</x:f>
        <x:v>Bajío</x:v>
      </x:c>
      <x:c r="C425" s="45" t="str">
        <x:f>'Ubicaciones'!B425</x:f>
        <x:v>Gloria Montiel Piñon</x:v>
      </x:c>
      <x:c r="D425" s="45" t="str">
        <x:f>IF(COUNTIFS('Catalogos'!$A$2:$A$41,B425,'Catalogos'!$B$2:$B$41,C425)&gt;0,"Correcta","Revisar Región DM")</x:f>
        <x:v>Correcta</x:v>
      </x:c>
      <x:c r="E425" s="45" t="str">
        <x:f>IF(COUNTIFS('Ubicaciones'!$C$2:$C$10001,A425)=1,"Único","Duplicado")</x:f>
        <x:v>Único</x:v>
      </x:c>
      <x:c r="F425" s="45" t="str">
        <x:f>IF('Ubicaciones'!T425=1,"Ubicable",IF(OR('Ubicaciones'!E425="Abierta",'Ubicaciones'!E425="Próxima Apertura"),"Coordenadas o activa pendientes","Fuera por estatus"))</x:f>
        <x:v>Ubicable</x:v>
      </x:c>
    </x:row>
    <x:row r="426" ht="23" customHeight="1">
      <x:c r="A426" s="45" t="str">
        <x:f>'Ubicaciones'!C426</x:f>
        <x:v>38601</x:v>
      </x:c>
      <x:c r="B426" s="45" t="str">
        <x:f>'Ubicaciones'!A426</x:f>
        <x:v>Bajío</x:v>
      </x:c>
      <x:c r="C426" s="45" t="str">
        <x:f>'Ubicaciones'!B426</x:f>
        <x:v>Gloria Montiel Piñon</x:v>
      </x:c>
      <x:c r="D426" s="45" t="str">
        <x:f>IF(COUNTIFS('Catalogos'!$A$2:$A$41,B426,'Catalogos'!$B$2:$B$41,C426)&gt;0,"Correcta","Revisar Región DM")</x:f>
        <x:v>Correcta</x:v>
      </x:c>
      <x:c r="E426" s="45" t="str">
        <x:f>IF(COUNTIFS('Ubicaciones'!$C$2:$C$10001,A426)=1,"Único","Duplicado")</x:f>
        <x:v>Único</x:v>
      </x:c>
      <x:c r="F426" s="45" t="str">
        <x:f>IF('Ubicaciones'!T426=1,"Ubicable",IF(OR('Ubicaciones'!E426="Abierta",'Ubicaciones'!E426="Próxima Apertura"),"Coordenadas o activa pendientes","Fuera por estatus"))</x:f>
        <x:v>Ubicable</x:v>
      </x:c>
    </x:row>
    <x:row r="427" ht="23" customHeight="1">
      <x:c r="A427" s="45" t="str">
        <x:f>'Ubicaciones'!C427</x:f>
        <x:v>38642</x:v>
      </x:c>
      <x:c r="B427" s="45" t="str">
        <x:f>'Ubicaciones'!A427</x:f>
        <x:v>Bajío</x:v>
      </x:c>
      <x:c r="C427" s="45" t="str">
        <x:f>'Ubicaciones'!B427</x:f>
        <x:v>Gloria Montiel Piñon</x:v>
      </x:c>
      <x:c r="D427" s="45" t="str">
        <x:f>IF(COUNTIFS('Catalogos'!$A$2:$A$41,B427,'Catalogos'!$B$2:$B$41,C427)&gt;0,"Correcta","Revisar Región DM")</x:f>
        <x:v>Correcta</x:v>
      </x:c>
      <x:c r="E427" s="45" t="str">
        <x:f>IF(COUNTIFS('Ubicaciones'!$C$2:$C$10001,A427)=1,"Único","Duplicado")</x:f>
        <x:v>Único</x:v>
      </x:c>
      <x:c r="F427" s="45" t="str">
        <x:f>IF('Ubicaciones'!T427=1,"Ubicable",IF(OR('Ubicaciones'!E427="Abierta",'Ubicaciones'!E427="Próxima Apertura"),"Coordenadas o activa pendientes","Fuera por estatus"))</x:f>
        <x:v>Ubicable</x:v>
      </x:c>
    </x:row>
    <x:row r="428" ht="23" customHeight="1">
      <x:c r="A428" s="45" t="str">
        <x:f>'Ubicaciones'!C428</x:f>
        <x:v>38729</x:v>
      </x:c>
      <x:c r="B428" s="45" t="str">
        <x:f>'Ubicaciones'!A428</x:f>
        <x:v>Bajío</x:v>
      </x:c>
      <x:c r="C428" s="45" t="str">
        <x:f>'Ubicaciones'!B428</x:f>
        <x:v>Gloria Montiel Piñon</x:v>
      </x:c>
      <x:c r="D428" s="45" t="str">
        <x:f>IF(COUNTIFS('Catalogos'!$A$2:$A$41,B428,'Catalogos'!$B$2:$B$41,C428)&gt;0,"Correcta","Revisar Región DM")</x:f>
        <x:v>Correcta</x:v>
      </x:c>
      <x:c r="E428" s="45" t="str">
        <x:f>IF(COUNTIFS('Ubicaciones'!$C$2:$C$10001,A428)=1,"Único","Duplicado")</x:f>
        <x:v>Único</x:v>
      </x:c>
      <x:c r="F428" s="45" t="str">
        <x:f>IF('Ubicaciones'!T428=1,"Ubicable",IF(OR('Ubicaciones'!E428="Abierta",'Ubicaciones'!E428="Próxima Apertura"),"Coordenadas o activa pendientes","Fuera por estatus"))</x:f>
        <x:v>Ubicable</x:v>
      </x:c>
    </x:row>
    <x:row r="429" ht="23" customHeight="1">
      <x:c r="A429" s="45" t="str">
        <x:f>'Ubicaciones'!C429</x:f>
        <x:v>38809</x:v>
      </x:c>
      <x:c r="B429" s="45" t="str">
        <x:f>'Ubicaciones'!A429</x:f>
        <x:v>Bajío</x:v>
      </x:c>
      <x:c r="C429" s="45" t="str">
        <x:f>'Ubicaciones'!B429</x:f>
        <x:v>Gloria Montiel Piñon</x:v>
      </x:c>
      <x:c r="D429" s="45" t="str">
        <x:f>IF(COUNTIFS('Catalogos'!$A$2:$A$41,B429,'Catalogos'!$B$2:$B$41,C429)&gt;0,"Correcta","Revisar Región DM")</x:f>
        <x:v>Correcta</x:v>
      </x:c>
      <x:c r="E429" s="45" t="str">
        <x:f>IF(COUNTIFS('Ubicaciones'!$C$2:$C$10001,A429)=1,"Único","Duplicado")</x:f>
        <x:v>Único</x:v>
      </x:c>
      <x:c r="F429" s="45" t="str">
        <x:f>IF('Ubicaciones'!T429=1,"Ubicable",IF(OR('Ubicaciones'!E429="Abierta",'Ubicaciones'!E429="Próxima Apertura"),"Coordenadas o activa pendientes","Fuera por estatus"))</x:f>
        <x:v>Ubicable</x:v>
      </x:c>
    </x:row>
    <x:row r="430" ht="23" customHeight="1">
      <x:c r="A430" s="45" t="str">
        <x:f>'Ubicaciones'!C430</x:f>
        <x:v>38812</x:v>
      </x:c>
      <x:c r="B430" s="45" t="str">
        <x:f>'Ubicaciones'!A430</x:f>
        <x:v>Bajío</x:v>
      </x:c>
      <x:c r="C430" s="45" t="str">
        <x:f>'Ubicaciones'!B430</x:f>
        <x:v>Gloria Montiel Piñon</x:v>
      </x:c>
      <x:c r="D430" s="45" t="str">
        <x:f>IF(COUNTIFS('Catalogos'!$A$2:$A$41,B430,'Catalogos'!$B$2:$B$41,C430)&gt;0,"Correcta","Revisar Región DM")</x:f>
        <x:v>Correcta</x:v>
      </x:c>
      <x:c r="E430" s="45" t="str">
        <x:f>IF(COUNTIFS('Ubicaciones'!$C$2:$C$10001,A430)=1,"Único","Duplicado")</x:f>
        <x:v>Único</x:v>
      </x:c>
      <x:c r="F430" s="45" t="str">
        <x:f>IF('Ubicaciones'!T430=1,"Ubicable",IF(OR('Ubicaciones'!E430="Abierta",'Ubicaciones'!E430="Próxima Apertura"),"Coordenadas o activa pendientes","Fuera por estatus"))</x:f>
        <x:v>Ubicable</x:v>
      </x:c>
    </x:row>
    <x:row r="431" ht="23" customHeight="1">
      <x:c r="A431" s="45" t="str">
        <x:f>'Ubicaciones'!C431</x:f>
        <x:v>38832</x:v>
      </x:c>
      <x:c r="B431" s="45" t="str">
        <x:f>'Ubicaciones'!A431</x:f>
        <x:v>Bajío</x:v>
      </x:c>
      <x:c r="C431" s="45" t="str">
        <x:f>'Ubicaciones'!B431</x:f>
        <x:v>Gloria Montiel Piñon</x:v>
      </x:c>
      <x:c r="D431" s="45" t="str">
        <x:f>IF(COUNTIFS('Catalogos'!$A$2:$A$41,B431,'Catalogos'!$B$2:$B$41,C431)&gt;0,"Correcta","Revisar Región DM")</x:f>
        <x:v>Correcta</x:v>
      </x:c>
      <x:c r="E431" s="45" t="str">
        <x:f>IF(COUNTIFS('Ubicaciones'!$C$2:$C$10001,A431)=1,"Único","Duplicado")</x:f>
        <x:v>Único</x:v>
      </x:c>
      <x:c r="F431" s="45" t="str">
        <x:f>IF('Ubicaciones'!T431=1,"Ubicable",IF(OR('Ubicaciones'!E431="Abierta",'Ubicaciones'!E431="Próxima Apertura"),"Coordenadas o activa pendientes","Fuera por estatus"))</x:f>
        <x:v>Ubicable</x:v>
      </x:c>
    </x:row>
    <x:row r="432" ht="23" customHeight="1">
      <x:c r="A432" s="45" t="str">
        <x:f>'Ubicaciones'!C432</x:f>
        <x:v>38899</x:v>
      </x:c>
      <x:c r="B432" s="45" t="str">
        <x:f>'Ubicaciones'!A432</x:f>
        <x:v>Bajío</x:v>
      </x:c>
      <x:c r="C432" s="45" t="str">
        <x:f>'Ubicaciones'!B432</x:f>
        <x:v>Gloria Montiel Piñon</x:v>
      </x:c>
      <x:c r="D432" s="45" t="str">
        <x:f>IF(COUNTIFS('Catalogos'!$A$2:$A$41,B432,'Catalogos'!$B$2:$B$41,C432)&gt;0,"Correcta","Revisar Región DM")</x:f>
        <x:v>Correcta</x:v>
      </x:c>
      <x:c r="E432" s="45" t="str">
        <x:f>IF(COUNTIFS('Ubicaciones'!$C$2:$C$10001,A432)=1,"Único","Duplicado")</x:f>
        <x:v>Único</x:v>
      </x:c>
      <x:c r="F432" s="45" t="str">
        <x:f>IF('Ubicaciones'!T432=1,"Ubicable",IF(OR('Ubicaciones'!E432="Abierta",'Ubicaciones'!E432="Próxima Apertura"),"Coordenadas o activa pendientes","Fuera por estatus"))</x:f>
        <x:v>Ubicable</x:v>
      </x:c>
    </x:row>
    <x:row r="433" ht="23" customHeight="1">
      <x:c r="A433" s="45" t="str">
        <x:f>'Ubicaciones'!C433</x:f>
        <x:v>38997</x:v>
      </x:c>
      <x:c r="B433" s="45" t="str">
        <x:f>'Ubicaciones'!A433</x:f>
        <x:v>Bajío</x:v>
      </x:c>
      <x:c r="C433" s="45" t="str">
        <x:f>'Ubicaciones'!B433</x:f>
        <x:v>Gloria Montiel Piñon</x:v>
      </x:c>
      <x:c r="D433" s="45" t="str">
        <x:f>IF(COUNTIFS('Catalogos'!$A$2:$A$41,B433,'Catalogos'!$B$2:$B$41,C433)&gt;0,"Correcta","Revisar Región DM")</x:f>
        <x:v>Correcta</x:v>
      </x:c>
      <x:c r="E433" s="45" t="str">
        <x:f>IF(COUNTIFS('Ubicaciones'!$C$2:$C$10001,A433)=1,"Único","Duplicado")</x:f>
        <x:v>Único</x:v>
      </x:c>
      <x:c r="F433" s="45" t="str">
        <x:f>IF('Ubicaciones'!T433=1,"Ubicable",IF(OR('Ubicaciones'!E433="Abierta",'Ubicaciones'!E433="Próxima Apertura"),"Coordenadas o activa pendientes","Fuera por estatus"))</x:f>
        <x:v>Ubicable</x:v>
      </x:c>
    </x:row>
    <x:row r="434" ht="23" customHeight="1">
      <x:c r="A434" s="45" t="str">
        <x:f>'Ubicaciones'!C434</x:f>
        <x:v>43209</x:v>
      </x:c>
      <x:c r="B434" s="45" t="str">
        <x:f>'Ubicaciones'!A434</x:f>
        <x:v>Bajío</x:v>
      </x:c>
      <x:c r="C434" s="45" t="str">
        <x:f>'Ubicaciones'!B434</x:f>
        <x:v>Gloria Montiel Piñon</x:v>
      </x:c>
      <x:c r="D434" s="45" t="str">
        <x:f>IF(COUNTIFS('Catalogos'!$A$2:$A$41,B434,'Catalogos'!$B$2:$B$41,C434)&gt;0,"Correcta","Revisar Región DM")</x:f>
        <x:v>Correcta</x:v>
      </x:c>
      <x:c r="E434" s="45" t="str">
        <x:f>IF(COUNTIFS('Ubicaciones'!$C$2:$C$10001,A434)=1,"Único","Duplicado")</x:f>
        <x:v>Único</x:v>
      </x:c>
      <x:c r="F434" s="45" t="str">
        <x:f>IF('Ubicaciones'!T434=1,"Ubicable",IF(OR('Ubicaciones'!E434="Abierta",'Ubicaciones'!E434="Próxima Apertura"),"Coordenadas o activa pendientes","Fuera por estatus"))</x:f>
        <x:v>Ubicable</x:v>
      </x:c>
    </x:row>
    <x:row r="435" ht="23" customHeight="1">
      <x:c r="A435" s="45" t="str">
        <x:f>'Ubicaciones'!C435</x:f>
        <x:v>38377</x:v>
      </x:c>
      <x:c r="B435" s="45" t="str">
        <x:f>'Ubicaciones'!A435</x:f>
        <x:v>Bajío</x:v>
      </x:c>
      <x:c r="C435" s="45" t="str">
        <x:f>'Ubicaciones'!B435</x:f>
        <x:v>Joel Pereda Rojas</x:v>
      </x:c>
      <x:c r="D435" s="45" t="str">
        <x:f>IF(COUNTIFS('Catalogos'!$A$2:$A$41,B435,'Catalogos'!$B$2:$B$41,C435)&gt;0,"Correcta","Revisar Región DM")</x:f>
        <x:v>Correcta</x:v>
      </x:c>
      <x:c r="E435" s="45" t="str">
        <x:f>IF(COUNTIFS('Ubicaciones'!$C$2:$C$10001,A435)=1,"Único","Duplicado")</x:f>
        <x:v>Único</x:v>
      </x:c>
      <x:c r="F435" s="45" t="str">
        <x:f>IF('Ubicaciones'!T435=1,"Ubicable",IF(OR('Ubicaciones'!E435="Abierta",'Ubicaciones'!E435="Próxima Apertura"),"Coordenadas o activa pendientes","Fuera por estatus"))</x:f>
        <x:v>Ubicable</x:v>
      </x:c>
    </x:row>
    <x:row r="436" ht="23" customHeight="1">
      <x:c r="A436" s="45" t="str">
        <x:f>'Ubicaciones'!C436</x:f>
        <x:v>38480</x:v>
      </x:c>
      <x:c r="B436" s="45" t="str">
        <x:f>'Ubicaciones'!A436</x:f>
        <x:v>Bajío</x:v>
      </x:c>
      <x:c r="C436" s="45" t="str">
        <x:f>'Ubicaciones'!B436</x:f>
        <x:v>Joel Pereda Rojas</x:v>
      </x:c>
      <x:c r="D436" s="45" t="str">
        <x:f>IF(COUNTIFS('Catalogos'!$A$2:$A$41,B436,'Catalogos'!$B$2:$B$41,C436)&gt;0,"Correcta","Revisar Región DM")</x:f>
        <x:v>Correcta</x:v>
      </x:c>
      <x:c r="E436" s="45" t="str">
        <x:f>IF(COUNTIFS('Ubicaciones'!$C$2:$C$10001,A436)=1,"Único","Duplicado")</x:f>
        <x:v>Único</x:v>
      </x:c>
      <x:c r="F436" s="45" t="str">
        <x:f>IF('Ubicaciones'!T436=1,"Ubicable",IF(OR('Ubicaciones'!E436="Abierta",'Ubicaciones'!E436="Próxima Apertura"),"Coordenadas o activa pendientes","Fuera por estatus"))</x:f>
        <x:v>Ubicable</x:v>
      </x:c>
    </x:row>
    <x:row r="437" ht="23" customHeight="1">
      <x:c r="A437" s="45" t="str">
        <x:f>'Ubicaciones'!C437</x:f>
        <x:v>38559</x:v>
      </x:c>
      <x:c r="B437" s="45" t="str">
        <x:f>'Ubicaciones'!A437</x:f>
        <x:v>Bajío</x:v>
      </x:c>
      <x:c r="C437" s="45" t="str">
        <x:f>'Ubicaciones'!B437</x:f>
        <x:v>Joel Pereda Rojas</x:v>
      </x:c>
      <x:c r="D437" s="45" t="str">
        <x:f>IF(COUNTIFS('Catalogos'!$A$2:$A$41,B437,'Catalogos'!$B$2:$B$41,C437)&gt;0,"Correcta","Revisar Región DM")</x:f>
        <x:v>Correcta</x:v>
      </x:c>
      <x:c r="E437" s="45" t="str">
        <x:f>IF(COUNTIFS('Ubicaciones'!$C$2:$C$10001,A437)=1,"Único","Duplicado")</x:f>
        <x:v>Único</x:v>
      </x:c>
      <x:c r="F437" s="45" t="str">
        <x:f>IF('Ubicaciones'!T437=1,"Ubicable",IF(OR('Ubicaciones'!E437="Abierta",'Ubicaciones'!E437="Próxima Apertura"),"Coordenadas o activa pendientes","Fuera por estatus"))</x:f>
        <x:v>Ubicable</x:v>
      </x:c>
    </x:row>
    <x:row r="438" ht="23" customHeight="1">
      <x:c r="A438" s="45" t="str">
        <x:f>'Ubicaciones'!C438</x:f>
        <x:v>38629</x:v>
      </x:c>
      <x:c r="B438" s="45" t="str">
        <x:f>'Ubicaciones'!A438</x:f>
        <x:v>Bajío</x:v>
      </x:c>
      <x:c r="C438" s="45" t="str">
        <x:f>'Ubicaciones'!B438</x:f>
        <x:v>Joel Pereda Rojas</x:v>
      </x:c>
      <x:c r="D438" s="45" t="str">
        <x:f>IF(COUNTIFS('Catalogos'!$A$2:$A$41,B438,'Catalogos'!$B$2:$B$41,C438)&gt;0,"Correcta","Revisar Región DM")</x:f>
        <x:v>Correcta</x:v>
      </x:c>
      <x:c r="E438" s="45" t="str">
        <x:f>IF(COUNTIFS('Ubicaciones'!$C$2:$C$10001,A438)=1,"Único","Duplicado")</x:f>
        <x:v>Único</x:v>
      </x:c>
      <x:c r="F438" s="45" t="str">
        <x:f>IF('Ubicaciones'!T438=1,"Ubicable",IF(OR('Ubicaciones'!E438="Abierta",'Ubicaciones'!E438="Próxima Apertura"),"Coordenadas o activa pendientes","Fuera por estatus"))</x:f>
        <x:v>Ubicable</x:v>
      </x:c>
    </x:row>
    <x:row r="439" ht="23" customHeight="1">
      <x:c r="A439" s="45" t="str">
        <x:f>'Ubicaciones'!C439</x:f>
        <x:v>38750</x:v>
      </x:c>
      <x:c r="B439" s="45" t="str">
        <x:f>'Ubicaciones'!A439</x:f>
        <x:v>Bajío</x:v>
      </x:c>
      <x:c r="C439" s="45" t="str">
        <x:f>'Ubicaciones'!B439</x:f>
        <x:v>Joel Pereda Rojas</x:v>
      </x:c>
      <x:c r="D439" s="45" t="str">
        <x:f>IF(COUNTIFS('Catalogos'!$A$2:$A$41,B439,'Catalogos'!$B$2:$B$41,C439)&gt;0,"Correcta","Revisar Región DM")</x:f>
        <x:v>Correcta</x:v>
      </x:c>
      <x:c r="E439" s="45" t="str">
        <x:f>IF(COUNTIFS('Ubicaciones'!$C$2:$C$10001,A439)=1,"Único","Duplicado")</x:f>
        <x:v>Único</x:v>
      </x:c>
      <x:c r="F439" s="45" t="str">
        <x:f>IF('Ubicaciones'!T439=1,"Ubicable",IF(OR('Ubicaciones'!E439="Abierta",'Ubicaciones'!E439="Próxima Apertura"),"Coordenadas o activa pendientes","Fuera por estatus"))</x:f>
        <x:v>Ubicable</x:v>
      </x:c>
    </x:row>
    <x:row r="440" ht="23" customHeight="1">
      <x:c r="A440" s="45" t="str">
        <x:f>'Ubicaciones'!C440</x:f>
        <x:v>38846</x:v>
      </x:c>
      <x:c r="B440" s="45" t="str">
        <x:f>'Ubicaciones'!A440</x:f>
        <x:v>Bajío</x:v>
      </x:c>
      <x:c r="C440" s="45" t="str">
        <x:f>'Ubicaciones'!B440</x:f>
        <x:v>Joel Pereda Rojas</x:v>
      </x:c>
      <x:c r="D440" s="45" t="str">
        <x:f>IF(COUNTIFS('Catalogos'!$A$2:$A$41,B440,'Catalogos'!$B$2:$B$41,C440)&gt;0,"Correcta","Revisar Región DM")</x:f>
        <x:v>Correcta</x:v>
      </x:c>
      <x:c r="E440" s="45" t="str">
        <x:f>IF(COUNTIFS('Ubicaciones'!$C$2:$C$10001,A440)=1,"Único","Duplicado")</x:f>
        <x:v>Único</x:v>
      </x:c>
      <x:c r="F440" s="45" t="str">
        <x:f>IF('Ubicaciones'!T440=1,"Ubicable",IF(OR('Ubicaciones'!E440="Abierta",'Ubicaciones'!E440="Próxima Apertura"),"Coordenadas o activa pendientes","Fuera por estatus"))</x:f>
        <x:v>Ubicable</x:v>
      </x:c>
    </x:row>
    <x:row r="441" ht="23" customHeight="1">
      <x:c r="A441" s="45" t="str">
        <x:f>'Ubicaciones'!C441</x:f>
        <x:v>38882</x:v>
      </x:c>
      <x:c r="B441" s="45" t="str">
        <x:f>'Ubicaciones'!A441</x:f>
        <x:v>Bajío</x:v>
      </x:c>
      <x:c r="C441" s="45" t="str">
        <x:f>'Ubicaciones'!B441</x:f>
        <x:v>Joel Pereda Rojas</x:v>
      </x:c>
      <x:c r="D441" s="45" t="str">
        <x:f>IF(COUNTIFS('Catalogos'!$A$2:$A$41,B441,'Catalogos'!$B$2:$B$41,C441)&gt;0,"Correcta","Revisar Región DM")</x:f>
        <x:v>Correcta</x:v>
      </x:c>
      <x:c r="E441" s="45" t="str">
        <x:f>IF(COUNTIFS('Ubicaciones'!$C$2:$C$10001,A441)=1,"Único","Duplicado")</x:f>
        <x:v>Único</x:v>
      </x:c>
      <x:c r="F441" s="45" t="str">
        <x:f>IF('Ubicaciones'!T441=1,"Ubicable",IF(OR('Ubicaciones'!E441="Abierta",'Ubicaciones'!E441="Próxima Apertura"),"Coordenadas o activa pendientes","Fuera por estatus"))</x:f>
        <x:v>Ubicable</x:v>
      </x:c>
    </x:row>
    <x:row r="442" ht="23" customHeight="1">
      <x:c r="A442" s="45" t="str">
        <x:f>'Ubicaciones'!C442</x:f>
        <x:v>43055</x:v>
      </x:c>
      <x:c r="B442" s="45" t="str">
        <x:f>'Ubicaciones'!A442</x:f>
        <x:v>Bajío</x:v>
      </x:c>
      <x:c r="C442" s="45" t="str">
        <x:f>'Ubicaciones'!B442</x:f>
        <x:v>Joel Pereda Rojas</x:v>
      </x:c>
      <x:c r="D442" s="45" t="str">
        <x:f>IF(COUNTIFS('Catalogos'!$A$2:$A$41,B442,'Catalogos'!$B$2:$B$41,C442)&gt;0,"Correcta","Revisar Región DM")</x:f>
        <x:v>Correcta</x:v>
      </x:c>
      <x:c r="E442" s="45" t="str">
        <x:f>IF(COUNTIFS('Ubicaciones'!$C$2:$C$10001,A442)=1,"Único","Duplicado")</x:f>
        <x:v>Único</x:v>
      </x:c>
      <x:c r="F442" s="45" t="str">
        <x:f>IF('Ubicaciones'!T442=1,"Ubicable",IF(OR('Ubicaciones'!E442="Abierta",'Ubicaciones'!E442="Próxima Apertura"),"Coordenadas o activa pendientes","Fuera por estatus"))</x:f>
        <x:v>Ubicable</x:v>
      </x:c>
    </x:row>
    <x:row r="443" ht="23" customHeight="1">
      <x:c r="A443" s="45" t="str">
        <x:f>'Ubicaciones'!C443</x:f>
        <x:v>43135</x:v>
      </x:c>
      <x:c r="B443" s="45" t="str">
        <x:f>'Ubicaciones'!A443</x:f>
        <x:v>Bajío</x:v>
      </x:c>
      <x:c r="C443" s="45" t="str">
        <x:f>'Ubicaciones'!B443</x:f>
        <x:v>Joel Pereda Rojas</x:v>
      </x:c>
      <x:c r="D443" s="45" t="str">
        <x:f>IF(COUNTIFS('Catalogos'!$A$2:$A$41,B443,'Catalogos'!$B$2:$B$41,C443)&gt;0,"Correcta","Revisar Región DM")</x:f>
        <x:v>Correcta</x:v>
      </x:c>
      <x:c r="E443" s="45" t="str">
        <x:f>IF(COUNTIFS('Ubicaciones'!$C$2:$C$10001,A443)=1,"Único","Duplicado")</x:f>
        <x:v>Único</x:v>
      </x:c>
      <x:c r="F443" s="45" t="str">
        <x:f>IF('Ubicaciones'!T443=1,"Ubicable",IF(OR('Ubicaciones'!E443="Abierta",'Ubicaciones'!E443="Próxima Apertura"),"Coordenadas o activa pendientes","Fuera por estatus"))</x:f>
        <x:v>Ubicable</x:v>
      </x:c>
    </x:row>
    <x:row r="444" ht="23" customHeight="1">
      <x:c r="A444" s="45" t="str">
        <x:f>'Ubicaciones'!C444</x:f>
        <x:v>38305</x:v>
      </x:c>
      <x:c r="B444" s="45" t="str">
        <x:f>'Ubicaciones'!A444</x:f>
        <x:v>Bajío</x:v>
      </x:c>
      <x:c r="C444" s="45" t="str">
        <x:f>'Ubicaciones'!B444</x:f>
        <x:v>Jose Antonio Gutierrez Lopez</x:v>
      </x:c>
      <x:c r="D444" s="45" t="str">
        <x:f>IF(COUNTIFS('Catalogos'!$A$2:$A$41,B444,'Catalogos'!$B$2:$B$41,C444)&gt;0,"Correcta","Revisar Región DM")</x:f>
        <x:v>Correcta</x:v>
      </x:c>
      <x:c r="E444" s="45" t="str">
        <x:f>IF(COUNTIFS('Ubicaciones'!$C$2:$C$10001,A444)=1,"Único","Duplicado")</x:f>
        <x:v>Único</x:v>
      </x:c>
      <x:c r="F444" s="45" t="str">
        <x:f>IF('Ubicaciones'!T444=1,"Ubicable",IF(OR('Ubicaciones'!E444="Abierta",'Ubicaciones'!E444="Próxima Apertura"),"Coordenadas o activa pendientes","Fuera por estatus"))</x:f>
        <x:v>Ubicable</x:v>
      </x:c>
    </x:row>
    <x:row r="445" ht="23" customHeight="1">
      <x:c r="A445" s="45" t="str">
        <x:f>'Ubicaciones'!C445</x:f>
        <x:v>38860</x:v>
      </x:c>
      <x:c r="B445" s="45" t="str">
        <x:f>'Ubicaciones'!A445</x:f>
        <x:v>Bajío</x:v>
      </x:c>
      <x:c r="C445" s="45" t="str">
        <x:f>'Ubicaciones'!B445</x:f>
        <x:v>Jose Antonio Gutierrez Lopez</x:v>
      </x:c>
      <x:c r="D445" s="45" t="str">
        <x:f>IF(COUNTIFS('Catalogos'!$A$2:$A$41,B445,'Catalogos'!$B$2:$B$41,C445)&gt;0,"Correcta","Revisar Región DM")</x:f>
        <x:v>Correcta</x:v>
      </x:c>
      <x:c r="E445" s="45" t="str">
        <x:f>IF(COUNTIFS('Ubicaciones'!$C$2:$C$10001,A445)=1,"Único","Duplicado")</x:f>
        <x:v>Único</x:v>
      </x:c>
      <x:c r="F445" s="45" t="str">
        <x:f>IF('Ubicaciones'!T445=1,"Ubicable",IF(OR('Ubicaciones'!E445="Abierta",'Ubicaciones'!E445="Próxima Apertura"),"Coordenadas o activa pendientes","Fuera por estatus"))</x:f>
        <x:v>Ubicable</x:v>
      </x:c>
    </x:row>
    <x:row r="446" ht="23" customHeight="1">
      <x:c r="A446" s="45" t="str">
        <x:f>'Ubicaciones'!C446</x:f>
        <x:v>38885</x:v>
      </x:c>
      <x:c r="B446" s="45" t="str">
        <x:f>'Ubicaciones'!A446</x:f>
        <x:v>Bajío</x:v>
      </x:c>
      <x:c r="C446" s="45" t="str">
        <x:f>'Ubicaciones'!B446</x:f>
        <x:v>Jose Antonio Gutierrez Lopez</x:v>
      </x:c>
      <x:c r="D446" s="45" t="str">
        <x:f>IF(COUNTIFS('Catalogos'!$A$2:$A$41,B446,'Catalogos'!$B$2:$B$41,C446)&gt;0,"Correcta","Revisar Región DM")</x:f>
        <x:v>Correcta</x:v>
      </x:c>
      <x:c r="E446" s="45" t="str">
        <x:f>IF(COUNTIFS('Ubicaciones'!$C$2:$C$10001,A446)=1,"Único","Duplicado")</x:f>
        <x:v>Único</x:v>
      </x:c>
      <x:c r="F446" s="45" t="str">
        <x:f>IF('Ubicaciones'!T446=1,"Ubicable",IF(OR('Ubicaciones'!E446="Abierta",'Ubicaciones'!E446="Próxima Apertura"),"Coordenadas o activa pendientes","Fuera por estatus"))</x:f>
        <x:v>Ubicable</x:v>
      </x:c>
    </x:row>
    <x:row r="447" ht="23" customHeight="1">
      <x:c r="A447" s="45" t="str">
        <x:f>'Ubicaciones'!C447</x:f>
        <x:v>38895</x:v>
      </x:c>
      <x:c r="B447" s="45" t="str">
        <x:f>'Ubicaciones'!A447</x:f>
        <x:v>Bajío</x:v>
      </x:c>
      <x:c r="C447" s="45" t="str">
        <x:f>'Ubicaciones'!B447</x:f>
        <x:v>Jose Antonio Gutierrez Lopez</x:v>
      </x:c>
      <x:c r="D447" s="45" t="str">
        <x:f>IF(COUNTIFS('Catalogos'!$A$2:$A$41,B447,'Catalogos'!$B$2:$B$41,C447)&gt;0,"Correcta","Revisar Región DM")</x:f>
        <x:v>Correcta</x:v>
      </x:c>
      <x:c r="E447" s="45" t="str">
        <x:f>IF(COUNTIFS('Ubicaciones'!$C$2:$C$10001,A447)=1,"Único","Duplicado")</x:f>
        <x:v>Único</x:v>
      </x:c>
      <x:c r="F447" s="45" t="str">
        <x:f>IF('Ubicaciones'!T447=1,"Ubicable",IF(OR('Ubicaciones'!E447="Abierta",'Ubicaciones'!E447="Próxima Apertura"),"Coordenadas o activa pendientes","Fuera por estatus"))</x:f>
        <x:v>Ubicable</x:v>
      </x:c>
    </x:row>
    <x:row r="448" ht="23" customHeight="1">
      <x:c r="A448" s="45" t="str">
        <x:f>'Ubicaciones'!C448</x:f>
        <x:v>38945</x:v>
      </x:c>
      <x:c r="B448" s="45" t="str">
        <x:f>'Ubicaciones'!A448</x:f>
        <x:v>Bajío</x:v>
      </x:c>
      <x:c r="C448" s="45" t="str">
        <x:f>'Ubicaciones'!B448</x:f>
        <x:v>Jose Antonio Gutierrez Lopez</x:v>
      </x:c>
      <x:c r="D448" s="45" t="str">
        <x:f>IF(COUNTIFS('Catalogos'!$A$2:$A$41,B448,'Catalogos'!$B$2:$B$41,C448)&gt;0,"Correcta","Revisar Región DM")</x:f>
        <x:v>Correcta</x:v>
      </x:c>
      <x:c r="E448" s="45" t="str">
        <x:f>IF(COUNTIFS('Ubicaciones'!$C$2:$C$10001,A448)=1,"Único","Duplicado")</x:f>
        <x:v>Único</x:v>
      </x:c>
      <x:c r="F448" s="45" t="str">
        <x:f>IF('Ubicaciones'!T448=1,"Ubicable",IF(OR('Ubicaciones'!E448="Abierta",'Ubicaciones'!E448="Próxima Apertura"),"Coordenadas o activa pendientes","Fuera por estatus"))</x:f>
        <x:v>Ubicable</x:v>
      </x:c>
    </x:row>
    <x:row r="449" ht="23" customHeight="1">
      <x:c r="A449" s="45" t="str">
        <x:f>'Ubicaciones'!C449</x:f>
        <x:v>43036</x:v>
      </x:c>
      <x:c r="B449" s="45" t="str">
        <x:f>'Ubicaciones'!A449</x:f>
        <x:v>Bajío</x:v>
      </x:c>
      <x:c r="C449" s="45" t="str">
        <x:f>'Ubicaciones'!B449</x:f>
        <x:v>Jose Antonio Gutierrez Lopez</x:v>
      </x:c>
      <x:c r="D449" s="45" t="str">
        <x:f>IF(COUNTIFS('Catalogos'!$A$2:$A$41,B449,'Catalogos'!$B$2:$B$41,C449)&gt;0,"Correcta","Revisar Región DM")</x:f>
        <x:v>Correcta</x:v>
      </x:c>
      <x:c r="E449" s="45" t="str">
        <x:f>IF(COUNTIFS('Ubicaciones'!$C$2:$C$10001,A449)=1,"Único","Duplicado")</x:f>
        <x:v>Único</x:v>
      </x:c>
      <x:c r="F449" s="45" t="str">
        <x:f>IF('Ubicaciones'!T449=1,"Ubicable",IF(OR('Ubicaciones'!E449="Abierta",'Ubicaciones'!E449="Próxima Apertura"),"Coordenadas o activa pendientes","Fuera por estatus"))</x:f>
        <x:v>Ubicable</x:v>
      </x:c>
    </x:row>
    <x:row r="450" ht="23" customHeight="1">
      <x:c r="A450" s="45" t="str">
        <x:f>'Ubicaciones'!C450</x:f>
        <x:v>43040</x:v>
      </x:c>
      <x:c r="B450" s="45" t="str">
        <x:f>'Ubicaciones'!A450</x:f>
        <x:v>Bajío</x:v>
      </x:c>
      <x:c r="C450" s="45" t="str">
        <x:f>'Ubicaciones'!B450</x:f>
        <x:v>Jose Antonio Gutierrez Lopez</x:v>
      </x:c>
      <x:c r="D450" s="45" t="str">
        <x:f>IF(COUNTIFS('Catalogos'!$A$2:$A$41,B450,'Catalogos'!$B$2:$B$41,C450)&gt;0,"Correcta","Revisar Región DM")</x:f>
        <x:v>Correcta</x:v>
      </x:c>
      <x:c r="E450" s="45" t="str">
        <x:f>IF(COUNTIFS('Ubicaciones'!$C$2:$C$10001,A450)=1,"Único","Duplicado")</x:f>
        <x:v>Único</x:v>
      </x:c>
      <x:c r="F450" s="45" t="str">
        <x:f>IF('Ubicaciones'!T450=1,"Ubicable",IF(OR('Ubicaciones'!E450="Abierta",'Ubicaciones'!E450="Próxima Apertura"),"Coordenadas o activa pendientes","Fuera por estatus"))</x:f>
        <x:v>Ubicable</x:v>
      </x:c>
    </x:row>
    <x:row r="451" ht="23" customHeight="1">
      <x:c r="A451" s="45" t="str">
        <x:f>'Ubicaciones'!C451</x:f>
        <x:v>43125</x:v>
      </x:c>
      <x:c r="B451" s="45" t="str">
        <x:f>'Ubicaciones'!A451</x:f>
        <x:v>Bajío</x:v>
      </x:c>
      <x:c r="C451" s="45" t="str">
        <x:f>'Ubicaciones'!B451</x:f>
        <x:v>Jose Antonio Gutierrez Lopez</x:v>
      </x:c>
      <x:c r="D451" s="45" t="str">
        <x:f>IF(COUNTIFS('Catalogos'!$A$2:$A$41,B451,'Catalogos'!$B$2:$B$41,C451)&gt;0,"Correcta","Revisar Región DM")</x:f>
        <x:v>Correcta</x:v>
      </x:c>
      <x:c r="E451" s="45" t="str">
        <x:f>IF(COUNTIFS('Ubicaciones'!$C$2:$C$10001,A451)=1,"Único","Duplicado")</x:f>
        <x:v>Único</x:v>
      </x:c>
      <x:c r="F451" s="45" t="str">
        <x:f>IF('Ubicaciones'!T451=1,"Ubicable",IF(OR('Ubicaciones'!E451="Abierta",'Ubicaciones'!E451="Próxima Apertura"),"Coordenadas o activa pendientes","Fuera por estatus"))</x:f>
        <x:v>Ubicable</x:v>
      </x:c>
    </x:row>
    <x:row r="452" ht="23" customHeight="1">
      <x:c r="A452" s="45" t="str">
        <x:f>'Ubicaciones'!C452</x:f>
        <x:v>43149</x:v>
      </x:c>
      <x:c r="B452" s="45" t="str">
        <x:f>'Ubicaciones'!A452</x:f>
        <x:v>Bajío</x:v>
      </x:c>
      <x:c r="C452" s="45" t="str">
        <x:f>'Ubicaciones'!B452</x:f>
        <x:v>Jose Antonio Gutierrez Lopez</x:v>
      </x:c>
      <x:c r="D452" s="45" t="str">
        <x:f>IF(COUNTIFS('Catalogos'!$A$2:$A$41,B452,'Catalogos'!$B$2:$B$41,C452)&gt;0,"Correcta","Revisar Región DM")</x:f>
        <x:v>Correcta</x:v>
      </x:c>
      <x:c r="E452" s="45" t="str">
        <x:f>IF(COUNTIFS('Ubicaciones'!$C$2:$C$10001,A452)=1,"Único","Duplicado")</x:f>
        <x:v>Único</x:v>
      </x:c>
      <x:c r="F452" s="45" t="str">
        <x:f>IF('Ubicaciones'!T452=1,"Ubicable",IF(OR('Ubicaciones'!E452="Abierta",'Ubicaciones'!E452="Próxima Apertura"),"Coordenadas o activa pendientes","Fuera por estatus"))</x:f>
        <x:v>Ubicable</x:v>
      </x:c>
    </x:row>
    <x:row r="453" ht="23" customHeight="1">
      <x:c r="A453" s="45" t="str">
        <x:f>'Ubicaciones'!C453</x:f>
        <x:v>43155</x:v>
      </x:c>
      <x:c r="B453" s="45" t="str">
        <x:f>'Ubicaciones'!A453</x:f>
        <x:v>Bajío</x:v>
      </x:c>
      <x:c r="C453" s="45" t="str">
        <x:f>'Ubicaciones'!B453</x:f>
        <x:v>Jose Antonio Gutierrez Lopez</x:v>
      </x:c>
      <x:c r="D453" s="45" t="str">
        <x:f>IF(COUNTIFS('Catalogos'!$A$2:$A$41,B453,'Catalogos'!$B$2:$B$41,C453)&gt;0,"Correcta","Revisar Región DM")</x:f>
        <x:v>Correcta</x:v>
      </x:c>
      <x:c r="E453" s="45" t="str">
        <x:f>IF(COUNTIFS('Ubicaciones'!$C$2:$C$10001,A453)=1,"Único","Duplicado")</x:f>
        <x:v>Único</x:v>
      </x:c>
      <x:c r="F453" s="45" t="str">
        <x:f>IF('Ubicaciones'!T453=1,"Ubicable",IF(OR('Ubicaciones'!E453="Abierta",'Ubicaciones'!E453="Próxima Apertura"),"Coordenadas o activa pendientes","Fuera por estatus"))</x:f>
        <x:v>Ubicable</x:v>
      </x:c>
    </x:row>
    <x:row r="454" ht="23" customHeight="1">
      <x:c r="A454" s="45" t="str">
        <x:f>'Ubicaciones'!C454</x:f>
        <x:v>43200</x:v>
      </x:c>
      <x:c r="B454" s="45" t="str">
        <x:f>'Ubicaciones'!A454</x:f>
        <x:v>Bajío</x:v>
      </x:c>
      <x:c r="C454" s="45" t="str">
        <x:f>'Ubicaciones'!B454</x:f>
        <x:v>Jose Antonio Gutierrez Lopez</x:v>
      </x:c>
      <x:c r="D454" s="45" t="str">
        <x:f>IF(COUNTIFS('Catalogos'!$A$2:$A$41,B454,'Catalogos'!$B$2:$B$41,C454)&gt;0,"Correcta","Revisar Región DM")</x:f>
        <x:v>Correcta</x:v>
      </x:c>
      <x:c r="E454" s="45" t="str">
        <x:f>IF(COUNTIFS('Ubicaciones'!$C$2:$C$10001,A454)=1,"Único","Duplicado")</x:f>
        <x:v>Único</x:v>
      </x:c>
      <x:c r="F454" s="45" t="str">
        <x:f>IF('Ubicaciones'!T454=1,"Ubicable",IF(OR('Ubicaciones'!E454="Abierta",'Ubicaciones'!E454="Próxima Apertura"),"Coordenadas o activa pendientes","Fuera por estatus"))</x:f>
        <x:v>Coordenadas o activa pendientes</x:v>
      </x:c>
    </x:row>
    <x:row r="455" ht="23" customHeight="1">
      <x:c r="A455" s="45" t="str">
        <x:f>'Ubicaciones'!C455</x:f>
        <x:v>43213</x:v>
      </x:c>
      <x:c r="B455" s="45" t="str">
        <x:f>'Ubicaciones'!A455</x:f>
        <x:v>Bajío</x:v>
      </x:c>
      <x:c r="C455" s="45" t="str">
        <x:f>'Ubicaciones'!B455</x:f>
        <x:v>Jose Antonio Gutierrez Lopez</x:v>
      </x:c>
      <x:c r="D455" s="45" t="str">
        <x:f>IF(COUNTIFS('Catalogos'!$A$2:$A$41,B455,'Catalogos'!$B$2:$B$41,C455)&gt;0,"Correcta","Revisar Región DM")</x:f>
        <x:v>Correcta</x:v>
      </x:c>
      <x:c r="E455" s="45" t="str">
        <x:f>IF(COUNTIFS('Ubicaciones'!$C$2:$C$10001,A455)=1,"Único","Duplicado")</x:f>
        <x:v>Único</x:v>
      </x:c>
      <x:c r="F455" s="45" t="str">
        <x:f>IF('Ubicaciones'!T455=1,"Ubicable",IF(OR('Ubicaciones'!E455="Abierta",'Ubicaciones'!E455="Próxima Apertura"),"Coordenadas o activa pendientes","Fuera por estatus"))</x:f>
        <x:v>Coordenadas o activa pendientes</x:v>
      </x:c>
    </x:row>
    <x:row r="456" ht="23" customHeight="1">
      <x:c r="A456" s="45" t="str">
        <x:f>'Ubicaciones'!C456</x:f>
        <x:v>43220</x:v>
      </x:c>
      <x:c r="B456" s="45" t="str">
        <x:f>'Ubicaciones'!A456</x:f>
        <x:v>Bajío</x:v>
      </x:c>
      <x:c r="C456" s="45" t="str">
        <x:f>'Ubicaciones'!B456</x:f>
        <x:v>Jose Antonio Gutierrez Lopez</x:v>
      </x:c>
      <x:c r="D456" s="45" t="str">
        <x:f>IF(COUNTIFS('Catalogos'!$A$2:$A$41,B456,'Catalogos'!$B$2:$B$41,C456)&gt;0,"Correcta","Revisar Región DM")</x:f>
        <x:v>Correcta</x:v>
      </x:c>
      <x:c r="E456" s="45" t="str">
        <x:f>IF(COUNTIFS('Ubicaciones'!$C$2:$C$10001,A456)=1,"Único","Duplicado")</x:f>
        <x:v>Único</x:v>
      </x:c>
      <x:c r="F456" s="45" t="str">
        <x:f>IF('Ubicaciones'!T456=1,"Ubicable",IF(OR('Ubicaciones'!E456="Abierta",'Ubicaciones'!E456="Próxima Apertura"),"Coordenadas o activa pendientes","Fuera por estatus"))</x:f>
        <x:v>Ubicable</x:v>
      </x:c>
    </x:row>
    <x:row r="457" ht="23" customHeight="1">
      <x:c r="A457" s="45" t="str">
        <x:f>'Ubicaciones'!C457</x:f>
        <x:v>38245</x:v>
      </x:c>
      <x:c r="B457" s="45" t="str">
        <x:f>'Ubicaciones'!A457</x:f>
        <x:v>Bajío</x:v>
      </x:c>
      <x:c r="C457" s="45" t="str">
        <x:f>'Ubicaciones'!B457</x:f>
        <x:v>Josue Joatan Gonzalez Anaya</x:v>
      </x:c>
      <x:c r="D457" s="45" t="str">
        <x:f>IF(COUNTIFS('Catalogos'!$A$2:$A$41,B457,'Catalogos'!$B$2:$B$41,C457)&gt;0,"Correcta","Revisar Región DM")</x:f>
        <x:v>Correcta</x:v>
      </x:c>
      <x:c r="E457" s="45" t="str">
        <x:f>IF(COUNTIFS('Ubicaciones'!$C$2:$C$10001,A457)=1,"Único","Duplicado")</x:f>
        <x:v>Único</x:v>
      </x:c>
      <x:c r="F457" s="45" t="str">
        <x:f>IF('Ubicaciones'!T457=1,"Ubicable",IF(OR('Ubicaciones'!E457="Abierta",'Ubicaciones'!E457="Próxima Apertura"),"Coordenadas o activa pendientes","Fuera por estatus"))</x:f>
        <x:v>Ubicable</x:v>
      </x:c>
    </x:row>
    <x:row r="458" ht="23" customHeight="1">
      <x:c r="A458" s="45" t="str">
        <x:f>'Ubicaciones'!C458</x:f>
        <x:v>38247</x:v>
      </x:c>
      <x:c r="B458" s="45" t="str">
        <x:f>'Ubicaciones'!A458</x:f>
        <x:v>Bajío</x:v>
      </x:c>
      <x:c r="C458" s="45" t="str">
        <x:f>'Ubicaciones'!B458</x:f>
        <x:v>Josue Joatan Gonzalez Anaya</x:v>
      </x:c>
      <x:c r="D458" s="45" t="str">
        <x:f>IF(COUNTIFS('Catalogos'!$A$2:$A$41,B458,'Catalogos'!$B$2:$B$41,C458)&gt;0,"Correcta","Revisar Región DM")</x:f>
        <x:v>Correcta</x:v>
      </x:c>
      <x:c r="E458" s="45" t="str">
        <x:f>IF(COUNTIFS('Ubicaciones'!$C$2:$C$10001,A458)=1,"Único","Duplicado")</x:f>
        <x:v>Único</x:v>
      </x:c>
      <x:c r="F458" s="45" t="str">
        <x:f>IF('Ubicaciones'!T458=1,"Ubicable",IF(OR('Ubicaciones'!E458="Abierta",'Ubicaciones'!E458="Próxima Apertura"),"Coordenadas o activa pendientes","Fuera por estatus"))</x:f>
        <x:v>Ubicable</x:v>
      </x:c>
    </x:row>
    <x:row r="459" ht="23" customHeight="1">
      <x:c r="A459" s="45" t="str">
        <x:f>'Ubicaciones'!C459</x:f>
        <x:v>38251</x:v>
      </x:c>
      <x:c r="B459" s="45" t="str">
        <x:f>'Ubicaciones'!A459</x:f>
        <x:v>Bajío</x:v>
      </x:c>
      <x:c r="C459" s="45" t="str">
        <x:f>'Ubicaciones'!B459</x:f>
        <x:v>Josue Joatan Gonzalez Anaya</x:v>
      </x:c>
      <x:c r="D459" s="45" t="str">
        <x:f>IF(COUNTIFS('Catalogos'!$A$2:$A$41,B459,'Catalogos'!$B$2:$B$41,C459)&gt;0,"Correcta","Revisar Región DM")</x:f>
        <x:v>Correcta</x:v>
      </x:c>
      <x:c r="E459" s="45" t="str">
        <x:f>IF(COUNTIFS('Ubicaciones'!$C$2:$C$10001,A459)=1,"Único","Duplicado")</x:f>
        <x:v>Único</x:v>
      </x:c>
      <x:c r="F459" s="45" t="str">
        <x:f>IF('Ubicaciones'!T459=1,"Ubicable",IF(OR('Ubicaciones'!E459="Abierta",'Ubicaciones'!E459="Próxima Apertura"),"Coordenadas o activa pendientes","Fuera por estatus"))</x:f>
        <x:v>Ubicable</x:v>
      </x:c>
    </x:row>
    <x:row r="460" ht="23" customHeight="1">
      <x:c r="A460" s="45" t="str">
        <x:f>'Ubicaciones'!C460</x:f>
        <x:v>38453</x:v>
      </x:c>
      <x:c r="B460" s="45" t="str">
        <x:f>'Ubicaciones'!A460</x:f>
        <x:v>Bajío</x:v>
      </x:c>
      <x:c r="C460" s="45" t="str">
        <x:f>'Ubicaciones'!B460</x:f>
        <x:v>Josue Joatan Gonzalez Anaya</x:v>
      </x:c>
      <x:c r="D460" s="45" t="str">
        <x:f>IF(COUNTIFS('Catalogos'!$A$2:$A$41,B460,'Catalogos'!$B$2:$B$41,C460)&gt;0,"Correcta","Revisar Región DM")</x:f>
        <x:v>Correcta</x:v>
      </x:c>
      <x:c r="E460" s="45" t="str">
        <x:f>IF(COUNTIFS('Ubicaciones'!$C$2:$C$10001,A460)=1,"Único","Duplicado")</x:f>
        <x:v>Único</x:v>
      </x:c>
      <x:c r="F460" s="45" t="str">
        <x:f>IF('Ubicaciones'!T460=1,"Ubicable",IF(OR('Ubicaciones'!E460="Abierta",'Ubicaciones'!E460="Próxima Apertura"),"Coordenadas o activa pendientes","Fuera por estatus"))</x:f>
        <x:v>Ubicable</x:v>
      </x:c>
    </x:row>
    <x:row r="461" ht="23" customHeight="1">
      <x:c r="A461" s="45" t="str">
        <x:f>'Ubicaciones'!C461</x:f>
        <x:v>38552</x:v>
      </x:c>
      <x:c r="B461" s="45" t="str">
        <x:f>'Ubicaciones'!A461</x:f>
        <x:v>Bajío</x:v>
      </x:c>
      <x:c r="C461" s="45" t="str">
        <x:f>'Ubicaciones'!B461</x:f>
        <x:v>Josue Joatan Gonzalez Anaya</x:v>
      </x:c>
      <x:c r="D461" s="45" t="str">
        <x:f>IF(COUNTIFS('Catalogos'!$A$2:$A$41,B461,'Catalogos'!$B$2:$B$41,C461)&gt;0,"Correcta","Revisar Región DM")</x:f>
        <x:v>Correcta</x:v>
      </x:c>
      <x:c r="E461" s="45" t="str">
        <x:f>IF(COUNTIFS('Ubicaciones'!$C$2:$C$10001,A461)=1,"Único","Duplicado")</x:f>
        <x:v>Único</x:v>
      </x:c>
      <x:c r="F461" s="45" t="str">
        <x:f>IF('Ubicaciones'!T461=1,"Ubicable",IF(OR('Ubicaciones'!E461="Abierta",'Ubicaciones'!E461="Próxima Apertura"),"Coordenadas o activa pendientes","Fuera por estatus"))</x:f>
        <x:v>Ubicable</x:v>
      </x:c>
    </x:row>
    <x:row r="462" ht="23" customHeight="1">
      <x:c r="A462" s="45" t="str">
        <x:f>'Ubicaciones'!C462</x:f>
        <x:v>38673</x:v>
      </x:c>
      <x:c r="B462" s="45" t="str">
        <x:f>'Ubicaciones'!A462</x:f>
        <x:v>Bajío</x:v>
      </x:c>
      <x:c r="C462" s="45" t="str">
        <x:f>'Ubicaciones'!B462</x:f>
        <x:v>Josue Joatan Gonzalez Anaya</x:v>
      </x:c>
      <x:c r="D462" s="45" t="str">
        <x:f>IF(COUNTIFS('Catalogos'!$A$2:$A$41,B462,'Catalogos'!$B$2:$B$41,C462)&gt;0,"Correcta","Revisar Región DM")</x:f>
        <x:v>Correcta</x:v>
      </x:c>
      <x:c r="E462" s="45" t="str">
        <x:f>IF(COUNTIFS('Ubicaciones'!$C$2:$C$10001,A462)=1,"Único","Duplicado")</x:f>
        <x:v>Único</x:v>
      </x:c>
      <x:c r="F462" s="45" t="str">
        <x:f>IF('Ubicaciones'!T462=1,"Ubicable",IF(OR('Ubicaciones'!E462="Abierta",'Ubicaciones'!E462="Próxima Apertura"),"Coordenadas o activa pendientes","Fuera por estatus"))</x:f>
        <x:v>Ubicable</x:v>
      </x:c>
    </x:row>
    <x:row r="463" ht="23" customHeight="1">
      <x:c r="A463" s="45" t="str">
        <x:f>'Ubicaciones'!C463</x:f>
        <x:v>38884</x:v>
      </x:c>
      <x:c r="B463" s="45" t="str">
        <x:f>'Ubicaciones'!A463</x:f>
        <x:v>Bajío</x:v>
      </x:c>
      <x:c r="C463" s="45" t="str">
        <x:f>'Ubicaciones'!B463</x:f>
        <x:v>Josue Joatan Gonzalez Anaya</x:v>
      </x:c>
      <x:c r="D463" s="45" t="str">
        <x:f>IF(COUNTIFS('Catalogos'!$A$2:$A$41,B463,'Catalogos'!$B$2:$B$41,C463)&gt;0,"Correcta","Revisar Región DM")</x:f>
        <x:v>Correcta</x:v>
      </x:c>
      <x:c r="E463" s="45" t="str">
        <x:f>IF(COUNTIFS('Ubicaciones'!$C$2:$C$10001,A463)=1,"Único","Duplicado")</x:f>
        <x:v>Único</x:v>
      </x:c>
      <x:c r="F463" s="45" t="str">
        <x:f>IF('Ubicaciones'!T463=1,"Ubicable",IF(OR('Ubicaciones'!E463="Abierta",'Ubicaciones'!E463="Próxima Apertura"),"Coordenadas o activa pendientes","Fuera por estatus"))</x:f>
        <x:v>Ubicable</x:v>
      </x:c>
    </x:row>
    <x:row r="464" ht="23" customHeight="1">
      <x:c r="A464" s="45" t="str">
        <x:f>'Ubicaciones'!C464</x:f>
        <x:v>38904</x:v>
      </x:c>
      <x:c r="B464" s="45" t="str">
        <x:f>'Ubicaciones'!A464</x:f>
        <x:v>Bajío</x:v>
      </x:c>
      <x:c r="C464" s="45" t="str">
        <x:f>'Ubicaciones'!B464</x:f>
        <x:v>Josue Joatan Gonzalez Anaya</x:v>
      </x:c>
      <x:c r="D464" s="45" t="str">
        <x:f>IF(COUNTIFS('Catalogos'!$A$2:$A$41,B464,'Catalogos'!$B$2:$B$41,C464)&gt;0,"Correcta","Revisar Región DM")</x:f>
        <x:v>Correcta</x:v>
      </x:c>
      <x:c r="E464" s="45" t="str">
        <x:f>IF(COUNTIFS('Ubicaciones'!$C$2:$C$10001,A464)=1,"Único","Duplicado")</x:f>
        <x:v>Único</x:v>
      </x:c>
      <x:c r="F464" s="45" t="str">
        <x:f>IF('Ubicaciones'!T464=1,"Ubicable",IF(OR('Ubicaciones'!E464="Abierta",'Ubicaciones'!E464="Próxima Apertura"),"Coordenadas o activa pendientes","Fuera por estatus"))</x:f>
        <x:v>Ubicable</x:v>
      </x:c>
    </x:row>
    <x:row r="465" ht="23" customHeight="1">
      <x:c r="A465" s="45" t="str">
        <x:f>'Ubicaciones'!C465</x:f>
        <x:v>38940</x:v>
      </x:c>
      <x:c r="B465" s="45" t="str">
        <x:f>'Ubicaciones'!A465</x:f>
        <x:v>Bajío</x:v>
      </x:c>
      <x:c r="C465" s="45" t="str">
        <x:f>'Ubicaciones'!B465</x:f>
        <x:v>Josue Joatan Gonzalez Anaya</x:v>
      </x:c>
      <x:c r="D465" s="45" t="str">
        <x:f>IF(COUNTIFS('Catalogos'!$A$2:$A$41,B465,'Catalogos'!$B$2:$B$41,C465)&gt;0,"Correcta","Revisar Región DM")</x:f>
        <x:v>Correcta</x:v>
      </x:c>
      <x:c r="E465" s="45" t="str">
        <x:f>IF(COUNTIFS('Ubicaciones'!$C$2:$C$10001,A465)=1,"Único","Duplicado")</x:f>
        <x:v>Único</x:v>
      </x:c>
      <x:c r="F465" s="45" t="str">
        <x:f>IF('Ubicaciones'!T465=1,"Ubicable",IF(OR('Ubicaciones'!E465="Abierta",'Ubicaciones'!E465="Próxima Apertura"),"Coordenadas o activa pendientes","Fuera por estatus"))</x:f>
        <x:v>Fuera por estatus</x:v>
      </x:c>
    </x:row>
    <x:row r="466" ht="23" customHeight="1">
      <x:c r="A466" s="45" t="str">
        <x:f>'Ubicaciones'!C466</x:f>
        <x:v>43027</x:v>
      </x:c>
      <x:c r="B466" s="45" t="str">
        <x:f>'Ubicaciones'!A466</x:f>
        <x:v>Bajío</x:v>
      </x:c>
      <x:c r="C466" s="45" t="str">
        <x:f>'Ubicaciones'!B466</x:f>
        <x:v>Josue Joatan Gonzalez Anaya</x:v>
      </x:c>
      <x:c r="D466" s="45" t="str">
        <x:f>IF(COUNTIFS('Catalogos'!$A$2:$A$41,B466,'Catalogos'!$B$2:$B$41,C466)&gt;0,"Correcta","Revisar Región DM")</x:f>
        <x:v>Correcta</x:v>
      </x:c>
      <x:c r="E466" s="45" t="str">
        <x:f>IF(COUNTIFS('Ubicaciones'!$C$2:$C$10001,A466)=1,"Único","Duplicado")</x:f>
        <x:v>Único</x:v>
      </x:c>
      <x:c r="F466" s="45" t="str">
        <x:f>IF('Ubicaciones'!T466=1,"Ubicable",IF(OR('Ubicaciones'!E466="Abierta",'Ubicaciones'!E466="Próxima Apertura"),"Coordenadas o activa pendientes","Fuera por estatus"))</x:f>
        <x:v>Ubicable</x:v>
      </x:c>
    </x:row>
    <x:row r="467" ht="23" customHeight="1">
      <x:c r="A467" s="45" t="str">
        <x:f>'Ubicaciones'!C467</x:f>
        <x:v>43032</x:v>
      </x:c>
      <x:c r="B467" s="45" t="str">
        <x:f>'Ubicaciones'!A467</x:f>
        <x:v>Bajío</x:v>
      </x:c>
      <x:c r="C467" s="45" t="str">
        <x:f>'Ubicaciones'!B467</x:f>
        <x:v>Josue Joatan Gonzalez Anaya</x:v>
      </x:c>
      <x:c r="D467" s="45" t="str">
        <x:f>IF(COUNTIFS('Catalogos'!$A$2:$A$41,B467,'Catalogos'!$B$2:$B$41,C467)&gt;0,"Correcta","Revisar Región DM")</x:f>
        <x:v>Correcta</x:v>
      </x:c>
      <x:c r="E467" s="45" t="str">
        <x:f>IF(COUNTIFS('Ubicaciones'!$C$2:$C$10001,A467)=1,"Único","Duplicado")</x:f>
        <x:v>Único</x:v>
      </x:c>
      <x:c r="F467" s="45" t="str">
        <x:f>IF('Ubicaciones'!T467=1,"Ubicable",IF(OR('Ubicaciones'!E467="Abierta",'Ubicaciones'!E467="Próxima Apertura"),"Coordenadas o activa pendientes","Fuera por estatus"))</x:f>
        <x:v>Ubicable</x:v>
      </x:c>
    </x:row>
    <x:row r="468" ht="23" customHeight="1">
      <x:c r="A468" s="45" t="str">
        <x:f>'Ubicaciones'!C468</x:f>
        <x:v>43089</x:v>
      </x:c>
      <x:c r="B468" s="45" t="str">
        <x:f>'Ubicaciones'!A468</x:f>
        <x:v>Bajío</x:v>
      </x:c>
      <x:c r="C468" s="45" t="str">
        <x:f>'Ubicaciones'!B468</x:f>
        <x:v>Josue Joatan Gonzalez Anaya</x:v>
      </x:c>
      <x:c r="D468" s="45" t="str">
        <x:f>IF(COUNTIFS('Catalogos'!$A$2:$A$41,B468,'Catalogos'!$B$2:$B$41,C468)&gt;0,"Correcta","Revisar Región DM")</x:f>
        <x:v>Correcta</x:v>
      </x:c>
      <x:c r="E468" s="45" t="str">
        <x:f>IF(COUNTIFS('Ubicaciones'!$C$2:$C$10001,A468)=1,"Único","Duplicado")</x:f>
        <x:v>Único</x:v>
      </x:c>
      <x:c r="F468" s="45" t="str">
        <x:f>IF('Ubicaciones'!T468=1,"Ubicable",IF(OR('Ubicaciones'!E468="Abierta",'Ubicaciones'!E468="Próxima Apertura"),"Coordenadas o activa pendientes","Fuera por estatus"))</x:f>
        <x:v>Ubicable</x:v>
      </x:c>
    </x:row>
    <x:row r="469" ht="23" customHeight="1">
      <x:c r="A469" s="45" t="str">
        <x:f>'Ubicaciones'!C469</x:f>
        <x:v>43215</x:v>
      </x:c>
      <x:c r="B469" s="45" t="str">
        <x:f>'Ubicaciones'!A469</x:f>
        <x:v>Bajío</x:v>
      </x:c>
      <x:c r="C469" s="45" t="str">
        <x:f>'Ubicaciones'!B469</x:f>
        <x:v>Josue Joatan Gonzalez Anaya</x:v>
      </x:c>
      <x:c r="D469" s="45" t="str">
        <x:f>IF(COUNTIFS('Catalogos'!$A$2:$A$41,B469,'Catalogos'!$B$2:$B$41,C469)&gt;0,"Correcta","Revisar Región DM")</x:f>
        <x:v>Correcta</x:v>
      </x:c>
      <x:c r="E469" s="45" t="str">
        <x:f>IF(COUNTIFS('Ubicaciones'!$C$2:$C$10001,A469)=1,"Único","Duplicado")</x:f>
        <x:v>Único</x:v>
      </x:c>
      <x:c r="F469" s="45" t="str">
        <x:f>IF('Ubicaciones'!T469=1,"Ubicable",IF(OR('Ubicaciones'!E469="Abierta",'Ubicaciones'!E469="Próxima Apertura"),"Coordenadas o activa pendientes","Fuera por estatus"))</x:f>
        <x:v>Ubicable</x:v>
      </x:c>
    </x:row>
    <x:row r="470" ht="23" customHeight="1">
      <x:c r="A470" s="45" t="str">
        <x:f>'Ubicaciones'!C470</x:f>
        <x:v>38250</x:v>
      </x:c>
      <x:c r="B470" s="45" t="str">
        <x:f>'Ubicaciones'!A470</x:f>
        <x:v>Bajío</x:v>
      </x:c>
      <x:c r="C470" s="45" t="str">
        <x:f>'Ubicaciones'!B470</x:f>
        <x:v>Mauricio Sour Romero</x:v>
      </x:c>
      <x:c r="D470" s="45" t="str">
        <x:f>IF(COUNTIFS('Catalogos'!$A$2:$A$41,B470,'Catalogos'!$B$2:$B$41,C470)&gt;0,"Correcta","Revisar Región DM")</x:f>
        <x:v>Correcta</x:v>
      </x:c>
      <x:c r="E470" s="45" t="str">
        <x:f>IF(COUNTIFS('Ubicaciones'!$C$2:$C$10001,A470)=1,"Único","Duplicado")</x:f>
        <x:v>Único</x:v>
      </x:c>
      <x:c r="F470" s="45" t="str">
        <x:f>IF('Ubicaciones'!T470=1,"Ubicable",IF(OR('Ubicaciones'!E470="Abierta",'Ubicaciones'!E470="Próxima Apertura"),"Coordenadas o activa pendientes","Fuera por estatus"))</x:f>
        <x:v>Ubicable</x:v>
      </x:c>
    </x:row>
    <x:row r="471" ht="23" customHeight="1">
      <x:c r="A471" s="45" t="str">
        <x:f>'Ubicaciones'!C471</x:f>
        <x:v>38295</x:v>
      </x:c>
      <x:c r="B471" s="45" t="str">
        <x:f>'Ubicaciones'!A471</x:f>
        <x:v>Bajío</x:v>
      </x:c>
      <x:c r="C471" s="45" t="str">
        <x:f>'Ubicaciones'!B471</x:f>
        <x:v>Mauricio Sour Romero</x:v>
      </x:c>
      <x:c r="D471" s="45" t="str">
        <x:f>IF(COUNTIFS('Catalogos'!$A$2:$A$41,B471,'Catalogos'!$B$2:$B$41,C471)&gt;0,"Correcta","Revisar Región DM")</x:f>
        <x:v>Correcta</x:v>
      </x:c>
      <x:c r="E471" s="45" t="str">
        <x:f>IF(COUNTIFS('Ubicaciones'!$C$2:$C$10001,A471)=1,"Único","Duplicado")</x:f>
        <x:v>Único</x:v>
      </x:c>
      <x:c r="F471" s="45" t="str">
        <x:f>IF('Ubicaciones'!T471=1,"Ubicable",IF(OR('Ubicaciones'!E471="Abierta",'Ubicaciones'!E471="Próxima Apertura"),"Coordenadas o activa pendientes","Fuera por estatus"))</x:f>
        <x:v>Ubicable</x:v>
      </x:c>
    </x:row>
    <x:row r="472" ht="23" customHeight="1">
      <x:c r="A472" s="45" t="str">
        <x:f>'Ubicaciones'!C472</x:f>
        <x:v>38467</x:v>
      </x:c>
      <x:c r="B472" s="45" t="str">
        <x:f>'Ubicaciones'!A472</x:f>
        <x:v>Bajío</x:v>
      </x:c>
      <x:c r="C472" s="45" t="str">
        <x:f>'Ubicaciones'!B472</x:f>
        <x:v>Mauricio Sour Romero</x:v>
      </x:c>
      <x:c r="D472" s="45" t="str">
        <x:f>IF(COUNTIFS('Catalogos'!$A$2:$A$41,B472,'Catalogos'!$B$2:$B$41,C472)&gt;0,"Correcta","Revisar Región DM")</x:f>
        <x:v>Correcta</x:v>
      </x:c>
      <x:c r="E472" s="45" t="str">
        <x:f>IF(COUNTIFS('Ubicaciones'!$C$2:$C$10001,A472)=1,"Único","Duplicado")</x:f>
        <x:v>Único</x:v>
      </x:c>
      <x:c r="F472" s="45" t="str">
        <x:f>IF('Ubicaciones'!T472=1,"Ubicable",IF(OR('Ubicaciones'!E472="Abierta",'Ubicaciones'!E472="Próxima Apertura"),"Coordenadas o activa pendientes","Fuera por estatus"))</x:f>
        <x:v>Ubicable</x:v>
      </x:c>
    </x:row>
    <x:row r="473" ht="23" customHeight="1">
      <x:c r="A473" s="45" t="str">
        <x:f>'Ubicaciones'!C473</x:f>
        <x:v>38728</x:v>
      </x:c>
      <x:c r="B473" s="45" t="str">
        <x:f>'Ubicaciones'!A473</x:f>
        <x:v>Bajío</x:v>
      </x:c>
      <x:c r="C473" s="45" t="str">
        <x:f>'Ubicaciones'!B473</x:f>
        <x:v>Mauricio Sour Romero</x:v>
      </x:c>
      <x:c r="D473" s="45" t="str">
        <x:f>IF(COUNTIFS('Catalogos'!$A$2:$A$41,B473,'Catalogos'!$B$2:$B$41,C473)&gt;0,"Correcta","Revisar Región DM")</x:f>
        <x:v>Correcta</x:v>
      </x:c>
      <x:c r="E473" s="45" t="str">
        <x:f>IF(COUNTIFS('Ubicaciones'!$C$2:$C$10001,A473)=1,"Único","Duplicado")</x:f>
        <x:v>Único</x:v>
      </x:c>
      <x:c r="F473" s="45" t="str">
        <x:f>IF('Ubicaciones'!T473=1,"Ubicable",IF(OR('Ubicaciones'!E473="Abierta",'Ubicaciones'!E473="Próxima Apertura"),"Coordenadas o activa pendientes","Fuera por estatus"))</x:f>
        <x:v>Ubicable</x:v>
      </x:c>
    </x:row>
    <x:row r="474" ht="23" customHeight="1">
      <x:c r="A474" s="45" t="str">
        <x:f>'Ubicaciones'!C474</x:f>
        <x:v>38757</x:v>
      </x:c>
      <x:c r="B474" s="45" t="str">
        <x:f>'Ubicaciones'!A474</x:f>
        <x:v>Bajío</x:v>
      </x:c>
      <x:c r="C474" s="45" t="str">
        <x:f>'Ubicaciones'!B474</x:f>
        <x:v>Mauricio Sour Romero</x:v>
      </x:c>
      <x:c r="D474" s="45" t="str">
        <x:f>IF(COUNTIFS('Catalogos'!$A$2:$A$41,B474,'Catalogos'!$B$2:$B$41,C474)&gt;0,"Correcta","Revisar Región DM")</x:f>
        <x:v>Correcta</x:v>
      </x:c>
      <x:c r="E474" s="45" t="str">
        <x:f>IF(COUNTIFS('Ubicaciones'!$C$2:$C$10001,A474)=1,"Único","Duplicado")</x:f>
        <x:v>Único</x:v>
      </x:c>
      <x:c r="F474" s="45" t="str">
        <x:f>IF('Ubicaciones'!T474=1,"Ubicable",IF(OR('Ubicaciones'!E474="Abierta",'Ubicaciones'!E474="Próxima Apertura"),"Coordenadas o activa pendientes","Fuera por estatus"))</x:f>
        <x:v>Ubicable</x:v>
      </x:c>
    </x:row>
    <x:row r="475" ht="23" customHeight="1">
      <x:c r="A475" s="45" t="str">
        <x:f>'Ubicaciones'!C475</x:f>
        <x:v>38864</x:v>
      </x:c>
      <x:c r="B475" s="45" t="str">
        <x:f>'Ubicaciones'!A475</x:f>
        <x:v>Bajío</x:v>
      </x:c>
      <x:c r="C475" s="45" t="str">
        <x:f>'Ubicaciones'!B475</x:f>
        <x:v>Mauricio Sour Romero</x:v>
      </x:c>
      <x:c r="D475" s="45" t="str">
        <x:f>IF(COUNTIFS('Catalogos'!$A$2:$A$41,B475,'Catalogos'!$B$2:$B$41,C475)&gt;0,"Correcta","Revisar Región DM")</x:f>
        <x:v>Correcta</x:v>
      </x:c>
      <x:c r="E475" s="45" t="str">
        <x:f>IF(COUNTIFS('Ubicaciones'!$C$2:$C$10001,A475)=1,"Único","Duplicado")</x:f>
        <x:v>Único</x:v>
      </x:c>
      <x:c r="F475" s="45" t="str">
        <x:f>IF('Ubicaciones'!T475=1,"Ubicable",IF(OR('Ubicaciones'!E475="Abierta",'Ubicaciones'!E475="Próxima Apertura"),"Coordenadas o activa pendientes","Fuera por estatus"))</x:f>
        <x:v>Ubicable</x:v>
      </x:c>
    </x:row>
    <x:row r="476" ht="23" customHeight="1">
      <x:c r="A476" s="45" t="str">
        <x:f>'Ubicaciones'!C476</x:f>
        <x:v>38871</x:v>
      </x:c>
      <x:c r="B476" s="45" t="str">
        <x:f>'Ubicaciones'!A476</x:f>
        <x:v>Bajío</x:v>
      </x:c>
      <x:c r="C476" s="45" t="str">
        <x:f>'Ubicaciones'!B476</x:f>
        <x:v>Mauricio Sour Romero</x:v>
      </x:c>
      <x:c r="D476" s="45" t="str">
        <x:f>IF(COUNTIFS('Catalogos'!$A$2:$A$41,B476,'Catalogos'!$B$2:$B$41,C476)&gt;0,"Correcta","Revisar Región DM")</x:f>
        <x:v>Correcta</x:v>
      </x:c>
      <x:c r="E476" s="45" t="str">
        <x:f>IF(COUNTIFS('Ubicaciones'!$C$2:$C$10001,A476)=1,"Único","Duplicado")</x:f>
        <x:v>Único</x:v>
      </x:c>
      <x:c r="F476" s="45" t="str">
        <x:f>IF('Ubicaciones'!T476=1,"Ubicable",IF(OR('Ubicaciones'!E476="Abierta",'Ubicaciones'!E476="Próxima Apertura"),"Coordenadas o activa pendientes","Fuera por estatus"))</x:f>
        <x:v>Ubicable</x:v>
      </x:c>
    </x:row>
    <x:row r="477" ht="23" customHeight="1">
      <x:c r="A477" s="45" t="str">
        <x:f>'Ubicaciones'!C477</x:f>
        <x:v>38886</x:v>
      </x:c>
      <x:c r="B477" s="45" t="str">
        <x:f>'Ubicaciones'!A477</x:f>
        <x:v>Bajío</x:v>
      </x:c>
      <x:c r="C477" s="45" t="str">
        <x:f>'Ubicaciones'!B477</x:f>
        <x:v>Mauricio Sour Romero</x:v>
      </x:c>
      <x:c r="D477" s="45" t="str">
        <x:f>IF(COUNTIFS('Catalogos'!$A$2:$A$41,B477,'Catalogos'!$B$2:$B$41,C477)&gt;0,"Correcta","Revisar Región DM")</x:f>
        <x:v>Correcta</x:v>
      </x:c>
      <x:c r="E477" s="45" t="str">
        <x:f>IF(COUNTIFS('Ubicaciones'!$C$2:$C$10001,A477)=1,"Único","Duplicado")</x:f>
        <x:v>Único</x:v>
      </x:c>
      <x:c r="F477" s="45" t="str">
        <x:f>IF('Ubicaciones'!T477=1,"Ubicable",IF(OR('Ubicaciones'!E477="Abierta",'Ubicaciones'!E477="Próxima Apertura"),"Coordenadas o activa pendientes","Fuera por estatus"))</x:f>
        <x:v>Ubicable</x:v>
      </x:c>
    </x:row>
    <x:row r="478" ht="23" customHeight="1">
      <x:c r="A478" s="45" t="str">
        <x:f>'Ubicaciones'!C478</x:f>
        <x:v>38916</x:v>
      </x:c>
      <x:c r="B478" s="45" t="str">
        <x:f>'Ubicaciones'!A478</x:f>
        <x:v>Bajío</x:v>
      </x:c>
      <x:c r="C478" s="45" t="str">
        <x:f>'Ubicaciones'!B478</x:f>
        <x:v>Mauricio Sour Romero</x:v>
      </x:c>
      <x:c r="D478" s="45" t="str">
        <x:f>IF(COUNTIFS('Catalogos'!$A$2:$A$41,B478,'Catalogos'!$B$2:$B$41,C478)&gt;0,"Correcta","Revisar Región DM")</x:f>
        <x:v>Correcta</x:v>
      </x:c>
      <x:c r="E478" s="45" t="str">
        <x:f>IF(COUNTIFS('Ubicaciones'!$C$2:$C$10001,A478)=1,"Único","Duplicado")</x:f>
        <x:v>Único</x:v>
      </x:c>
      <x:c r="F478" s="45" t="str">
        <x:f>IF('Ubicaciones'!T478=1,"Ubicable",IF(OR('Ubicaciones'!E478="Abierta",'Ubicaciones'!E478="Próxima Apertura"),"Coordenadas o activa pendientes","Fuera por estatus"))</x:f>
        <x:v>Ubicable</x:v>
      </x:c>
    </x:row>
    <x:row r="479" ht="23" customHeight="1">
      <x:c r="A479" s="45" t="str">
        <x:f>'Ubicaciones'!C479</x:f>
        <x:v>38944</x:v>
      </x:c>
      <x:c r="B479" s="45" t="str">
        <x:f>'Ubicaciones'!A479</x:f>
        <x:v>Bajío</x:v>
      </x:c>
      <x:c r="C479" s="45" t="str">
        <x:f>'Ubicaciones'!B479</x:f>
        <x:v>Mauricio Sour Romero</x:v>
      </x:c>
      <x:c r="D479" s="45" t="str">
        <x:f>IF(COUNTIFS('Catalogos'!$A$2:$A$41,B479,'Catalogos'!$B$2:$B$41,C479)&gt;0,"Correcta","Revisar Región DM")</x:f>
        <x:v>Correcta</x:v>
      </x:c>
      <x:c r="E479" s="45" t="str">
        <x:f>IF(COUNTIFS('Ubicaciones'!$C$2:$C$10001,A479)=1,"Único","Duplicado")</x:f>
        <x:v>Único</x:v>
      </x:c>
      <x:c r="F479" s="45" t="str">
        <x:f>IF('Ubicaciones'!T479=1,"Ubicable",IF(OR('Ubicaciones'!E479="Abierta",'Ubicaciones'!E479="Próxima Apertura"),"Coordenadas o activa pendientes","Fuera por estatus"))</x:f>
        <x:v>Ubicable</x:v>
      </x:c>
    </x:row>
    <x:row r="480" ht="23" customHeight="1">
      <x:c r="A480" s="45" t="str">
        <x:f>'Ubicaciones'!C480</x:f>
        <x:v>38976</x:v>
      </x:c>
      <x:c r="B480" s="45" t="str">
        <x:f>'Ubicaciones'!A480</x:f>
        <x:v>Bajío</x:v>
      </x:c>
      <x:c r="C480" s="45" t="str">
        <x:f>'Ubicaciones'!B480</x:f>
        <x:v>Mauricio Sour Romero</x:v>
      </x:c>
      <x:c r="D480" s="45" t="str">
        <x:f>IF(COUNTIFS('Catalogos'!$A$2:$A$41,B480,'Catalogos'!$B$2:$B$41,C480)&gt;0,"Correcta","Revisar Región DM")</x:f>
        <x:v>Correcta</x:v>
      </x:c>
      <x:c r="E480" s="45" t="str">
        <x:f>IF(COUNTIFS('Ubicaciones'!$C$2:$C$10001,A480)=1,"Único","Duplicado")</x:f>
        <x:v>Único</x:v>
      </x:c>
      <x:c r="F480" s="45" t="str">
        <x:f>IF('Ubicaciones'!T480=1,"Ubicable",IF(OR('Ubicaciones'!E480="Abierta",'Ubicaciones'!E480="Próxima Apertura"),"Coordenadas o activa pendientes","Fuera por estatus"))</x:f>
        <x:v>Ubicable</x:v>
      </x:c>
    </x:row>
    <x:row r="481" ht="23" customHeight="1">
      <x:c r="A481" s="45" t="str">
        <x:f>'Ubicaciones'!C481</x:f>
        <x:v>43033</x:v>
      </x:c>
      <x:c r="B481" s="45" t="str">
        <x:f>'Ubicaciones'!A481</x:f>
        <x:v>Bajío</x:v>
      </x:c>
      <x:c r="C481" s="45" t="str">
        <x:f>'Ubicaciones'!B481</x:f>
        <x:v>Mauricio Sour Romero</x:v>
      </x:c>
      <x:c r="D481" s="45" t="str">
        <x:f>IF(COUNTIFS('Catalogos'!$A$2:$A$41,B481,'Catalogos'!$B$2:$B$41,C481)&gt;0,"Correcta","Revisar Región DM")</x:f>
        <x:v>Correcta</x:v>
      </x:c>
      <x:c r="E481" s="45" t="str">
        <x:f>IF(COUNTIFS('Ubicaciones'!$C$2:$C$10001,A481)=1,"Único","Duplicado")</x:f>
        <x:v>Único</x:v>
      </x:c>
      <x:c r="F481" s="45" t="str">
        <x:f>IF('Ubicaciones'!T481=1,"Ubicable",IF(OR('Ubicaciones'!E481="Abierta",'Ubicaciones'!E481="Próxima Apertura"),"Coordenadas o activa pendientes","Fuera por estatus"))</x:f>
        <x:v>Ubicable</x:v>
      </x:c>
    </x:row>
    <x:row r="482" ht="23" customHeight="1">
      <x:c r="A482" s="45" t="str">
        <x:f>'Ubicaciones'!C482</x:f>
        <x:v>43180</x:v>
      </x:c>
      <x:c r="B482" s="45" t="str">
        <x:f>'Ubicaciones'!A482</x:f>
        <x:v>Bajío</x:v>
      </x:c>
      <x:c r="C482" s="45" t="str">
        <x:f>'Ubicaciones'!B482</x:f>
        <x:v>Mauricio Sour Romero</x:v>
      </x:c>
      <x:c r="D482" s="45" t="str">
        <x:f>IF(COUNTIFS('Catalogos'!$A$2:$A$41,B482,'Catalogos'!$B$2:$B$41,C482)&gt;0,"Correcta","Revisar Región DM")</x:f>
        <x:v>Correcta</x:v>
      </x:c>
      <x:c r="E482" s="45" t="str">
        <x:f>IF(COUNTIFS('Ubicaciones'!$C$2:$C$10001,A482)=1,"Único","Duplicado")</x:f>
        <x:v>Único</x:v>
      </x:c>
      <x:c r="F482" s="45" t="str">
        <x:f>IF('Ubicaciones'!T482=1,"Ubicable",IF(OR('Ubicaciones'!E482="Abierta",'Ubicaciones'!E482="Próxima Apertura"),"Coordenadas o activa pendientes","Fuera por estatus"))</x:f>
        <x:v>Ubicable</x:v>
      </x:c>
    </x:row>
    <x:row r="483" ht="23" customHeight="1">
      <x:c r="A483" s="45" t="str">
        <x:f>'Ubicaciones'!C483</x:f>
        <x:v>43199</x:v>
      </x:c>
      <x:c r="B483" s="45" t="str">
        <x:f>'Ubicaciones'!A483</x:f>
        <x:v>Bajío</x:v>
      </x:c>
      <x:c r="C483" s="45" t="str">
        <x:f>'Ubicaciones'!B483</x:f>
        <x:v>Mauricio Sour Romero</x:v>
      </x:c>
      <x:c r="D483" s="45" t="str">
        <x:f>IF(COUNTIFS('Catalogos'!$A$2:$A$41,B483,'Catalogos'!$B$2:$B$41,C483)&gt;0,"Correcta","Revisar Región DM")</x:f>
        <x:v>Correcta</x:v>
      </x:c>
      <x:c r="E483" s="45" t="str">
        <x:f>IF(COUNTIFS('Ubicaciones'!$C$2:$C$10001,A483)=1,"Único","Duplicado")</x:f>
        <x:v>Único</x:v>
      </x:c>
      <x:c r="F483" s="45" t="str">
        <x:f>IF('Ubicaciones'!T483=1,"Ubicable",IF(OR('Ubicaciones'!E483="Abierta",'Ubicaciones'!E483="Próxima Apertura"),"Coordenadas o activa pendientes","Fuera por estatus"))</x:f>
        <x:v>Ubicable</x:v>
      </x:c>
    </x:row>
    <x:row r="484">
      <x:c r="A484"/>
      <x:c r="B484"/>
      <x:c r="C484"/>
    </x:row>
    <x:row r="485">
      <x:c r="A485"/>
      <x:c r="B485"/>
      <x:c r="C485"/>
    </x:row>
    <x:row r="486">
      <x:c r="A486"/>
      <x:c r="B486"/>
      <x:c r="C486"/>
    </x:row>
    <x:row r="487">
      <x:c r="A487"/>
      <x:c r="B487"/>
      <x:c r="C487"/>
    </x:row>
    <x:row r="488">
      <x:c r="A488"/>
      <x:c r="B488"/>
      <x:c r="C488"/>
    </x:row>
    <x:row r="489">
      <x:c r="A489"/>
      <x:c r="B489"/>
      <x:c r="C489"/>
    </x:row>
    <x:row r="490">
      <x:c r="A490"/>
      <x:c r="B490"/>
      <x:c r="C490"/>
    </x:row>
    <x:row r="491">
      <x:c r="A491"/>
      <x:c r="B491"/>
      <x:c r="C491"/>
    </x:row>
    <x:row r="492">
      <x:c r="A492"/>
      <x:c r="B492"/>
      <x:c r="C492"/>
    </x:row>
    <x:row r="493">
      <x:c r="A493"/>
      <x:c r="B493"/>
      <x:c r="C493"/>
    </x:row>
    <x:row r="494">
      <x:c r="A494"/>
      <x:c r="B494"/>
      <x:c r="C494"/>
    </x:row>
    <x:row r="495">
      <x:c r="A495"/>
      <x:c r="B495"/>
      <x:c r="C495"/>
    </x:row>
    <x:row r="496">
      <x:c r="A496"/>
      <x:c r="B496"/>
      <x:c r="C496"/>
    </x:row>
    <x:row r="497">
      <x:c r="A497"/>
      <x:c r="B497"/>
      <x:c r="C497"/>
    </x:row>
    <x:row r="498">
      <x:c r="A498"/>
      <x:c r="B498"/>
      <x:c r="C498"/>
    </x:row>
    <x:row r="499">
      <x:c r="A499"/>
      <x:c r="B499"/>
      <x:c r="C499"/>
    </x:row>
    <x:row r="500">
      <x:c r="A500"/>
      <x:c r="B500"/>
      <x:c r="C500"/>
    </x:row>
    <x:row r="501">
      <x:c r="A501"/>
      <x:c r="B501"/>
      <x:c r="C501"/>
    </x:row>
    <x:row r="502">
      <x:c r="A502"/>
      <x:c r="B502"/>
      <x:c r="C502"/>
    </x:row>
    <x:row r="503">
      <x:c r="A503"/>
      <x:c r="B503"/>
      <x:c r="C503"/>
    </x:row>
    <x:row r="504">
      <x:c r="A504"/>
      <x:c r="B504"/>
      <x:c r="C504"/>
    </x:row>
    <x:row r="505">
      <x:c r="A505"/>
      <x:c r="B505"/>
      <x:c r="C505"/>
    </x:row>
    <x:row r="506">
      <x:c r="A506"/>
      <x:c r="B506"/>
      <x:c r="C506"/>
    </x:row>
    <x:row r="507">
      <x:c r="A507"/>
      <x:c r="B507"/>
      <x:c r="C507"/>
    </x:row>
    <x:row r="508">
      <x:c r="A508"/>
      <x:c r="B508"/>
      <x:c r="C508"/>
    </x:row>
    <x:row r="509">
      <x:c r="A509"/>
      <x:c r="B509"/>
      <x:c r="C509"/>
    </x:row>
    <x:row r="510">
      <x:c r="A510"/>
      <x:c r="B510"/>
      <x:c r="C510"/>
    </x:row>
    <x:row r="511">
      <x:c r="A511"/>
      <x:c r="B511"/>
      <x:c r="C511"/>
    </x:row>
    <x:row r="512">
      <x:c r="A512"/>
      <x:c r="B512"/>
      <x:c r="C512"/>
    </x:row>
    <x:row r="513">
      <x:c r="A513"/>
      <x:c r="B513"/>
      <x:c r="C513"/>
    </x:row>
  </x:sheetData>
  <x:conditionalFormatting sqref="D2:E483">
    <x:cfRule type="containsText" dxfId="35" priority="1" operator="containsText" text="Revisar"/>
  </x:conditionalFormatting>
  <x:conditionalFormatting sqref="E2:E483">
    <x:cfRule type="containsText" dxfId="36" priority="2" operator="containsText" text="Duplicado"/>
  </x:conditionalFormatting>
  <x:pageMargins left="0.7" right="0.7" top="0.75" bottom="0.75" header="0.3" footer="0.3"/>
  <x:tableParts count="1">
    <x:tablePart xmlns:r="http://schemas.openxmlformats.org/officeDocument/2006/relationships" r:id="R966755ba1e614827"/>
  </x:tableParts>
</x:worksheet>
</file>