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cf5bfbe00146f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icio" sheetId="1" r:id="R8416f50631764916"/>
    <x:sheet xmlns:r="http://schemas.openxmlformats.org/officeDocument/2006/relationships" name="Ubicaciones" sheetId="2" r:id="R31207285d2ff496f"/>
    <x:sheet xmlns:r="http://schemas.openxmlformats.org/officeDocument/2006/relationships" name="Indicadores" sheetId="3" r:id="Rb6f1080790d94b81"/>
    <x:sheet xmlns:r="http://schemas.openxmlformats.org/officeDocument/2006/relationships" name="Catalogos" sheetId="4" r:id="R35d94bc6c6f148e0"/>
    <x:sheet xmlns:r="http://schemas.openxmlformats.org/officeDocument/2006/relationships" name="Validacion" sheetId="5" r:id="R2621ebc141264158"/>
  </x:sheets>
</x:workbook>
</file>

<file path=xl/sharedStrings.xml><?xml version="1.0" encoding="utf-8"?>
<x:sst xmlns:x="http://schemas.openxmlformats.org/spreadsheetml/2006/main">
  <x:si>
    <x:t xml:space="preserve">CC</x:t>
  </x:si>
  <x:si>
    <x:t xml:space="preserve">Corte YTD</x:t>
  </x:si>
  <x:si>
    <x:t xml:space="preserve">Rolling</x:t>
  </x:si>
  <x:si>
    <x:t xml:space="preserve">TPLH</x:t>
  </x:si>
  <x:si>
    <x:t xml:space="preserve">IPLH</x:t>
  </x:si>
  <x:si>
    <x:t xml:space="preserve">Labor</x:t>
  </x:si>
  <x:si>
    <x:t xml:space="preserve">Dif Labor</x:t>
  </x:si>
  <x:si>
    <x:t xml:space="preserve">Ventas MXN</x:t>
  </x:si>
  <x:si>
    <x:t xml:space="preserve">Dif Ppto</x:t>
  </x:si>
  <x:si>
    <x:t xml:space="preserve">OMT</x:t>
  </x:si>
  <x:si>
    <x:t xml:space="preserve">NPS</x:t>
  </x:si>
  <x:si>
    <x:t xml:space="preserve">Conexión</x:t>
  </x:si>
  <x:si>
    <x:t xml:space="preserve">Bebida</x:t>
  </x:si>
  <x:si>
    <x:t xml:space="preserve">CTC</x:t>
  </x:si>
  <x:si>
    <x:t xml:space="preserve">Costo</x:t>
  </x:si>
  <x:si>
    <x:t xml:space="preserve">Dif Costo</x:t>
  </x:si>
  <x:si>
    <x:t xml:space="preserve">EBITDA</x:t>
  </x:si>
  <x:si>
    <x:t xml:space="preserve">Dif EBITDA</x:t>
  </x:si>
  <x:si>
    <x:t xml:space="preserve">DT Time</x:t>
  </x:si>
  <x:si>
    <x:t xml:space="preserve">Tiempo DT AA</x:t>
  </x:si>
  <x:si>
    <x:t xml:space="preserve">01:42</x:t>
  </x:si>
  <x:si>
    <x:t xml:space="preserve">01:24</x:t>
  </x:si>
  <x:si>
    <x:t xml:space="preserve">01:37</x:t>
  </x:si>
  <x:si>
    <x:t xml:space="preserve">01:25</x:t>
  </x:si>
  <x:si>
    <x:t xml:space="preserve">01:21</x:t>
  </x:si>
  <x:si>
    <x:t xml:space="preserve">01:13</x:t>
  </x:si>
  <x:si>
    <x:t xml:space="preserve">01:27</x:t>
  </x:si>
  <x:si>
    <x:t xml:space="preserve">01:20</x:t>
  </x:si>
  <x:si>
    <x:t xml:space="preserve">01:15</x:t>
  </x:si>
  <x:si>
    <x:t xml:space="preserve">01:36</x:t>
  </x:si>
  <x:si>
    <x:t xml:space="preserve">01:29</x:t>
  </x:si>
</x:sst>
</file>

<file path=xl/styles.xml><?xml version="1.0" encoding="utf-8"?>
<x:styleSheet xmlns:x="http://schemas.openxmlformats.org/spreadsheetml/2006/main">
  <x:numFmts count="9">
    <x:numFmt numFmtId="164" formatCode="0.0%"/>
    <x:numFmt numFmtId="165" formatCode="&quot;$&quot;#,##0"/>
    <x:numFmt numFmtId="166" formatCode="0.0"/>
    <x:numFmt numFmtId="167" formatCode="dd/mm/yy"/>
    <x:numFmt numFmtId="168" formatCode="0.00000"/>
    <x:numFmt numFmtId="200" formatCode="@"/>
    <x:numFmt numFmtId="201" formatCode="dd/mm/yyyy"/>
    <x:numFmt numFmtId="202" formatCode="0.00000000"/>
    <x:numFmt numFmtId="203" formatCode="#,##0"/>
  </x:numFmts>
  <x:fonts count="19">
    <x:font>
      <x:sz val="11"/>
      <x:name val="Carlito"/>
    </x:font>
    <x:font>
      <x:b/>
      <x:sz val="22"/>
      <x:color rgb="FFFFFFFF"/>
      <x:name val="Carlito"/>
    </x:font>
    <x:font>
      <x:b/>
      <x:sz val="11"/>
      <x:color rgb="FFFFFFFF"/>
      <x:name val="Carlito"/>
    </x:font>
    <x:font>
      <x:b/>
      <x:sz val="11"/>
      <x:color rgb="FF006241"/>
      <x:name val="Carlito"/>
    </x:font>
    <x:font>
      <x:b/>
      <x:sz val="11"/>
      <x:color rgb="FF12372A"/>
      <x:name val="Carlito"/>
    </x:font>
    <x:font>
      <x:b/>
      <x:sz val="16"/>
      <x:color rgb="FF006241"/>
      <x:name val="Carlito"/>
    </x:font>
    <x:font>
      <x:i/>
      <x:sz val="11"/>
      <x:color rgb="FF12372A"/>
      <x:name val="Carlito"/>
    </x:font>
    <x:font>
      <x:b/>
      <x:sz val="20"/>
      <x:color rgb="FFFFFFFF"/>
      <x:name val="Carlito"/>
    </x:font>
    <x:font>
      <x:sz val="8"/>
      <x:name val="Carlito"/>
    </x:font>
    <x:font>
      <x:sz val="10"/>
      <x:color rgb="FF254532"/>
      <x:name val="Arial"/>
    </x:font>
    <x:font>
      <x:b/>
      <x:sz val="10"/>
      <x:color rgb="FFFFFFFF"/>
      <x:name val="Arial"/>
    </x:font>
    <x:font>
      <x:b/>
      <x:sz val="16"/>
      <x:color rgb="FF006241"/>
      <x:name val="Arial"/>
    </x:font>
    <x:font>
      <x:b/>
      <x:sz val="10"/>
      <x:color rgb="FF006241"/>
      <x:name val="Arial"/>
    </x:font>
    <x:font>
      <x:b/>
      <x:sz val="10"/>
      <x:color rgb="FFB04270"/>
      <x:name val="Arial"/>
    </x:font>
    <x:font>
      <x:b/>
      <x:sz val="10"/>
      <x:color rgb="FF7453A6"/>
      <x:name val="Arial"/>
    </x:font>
    <x:font>
      <x:b/>
      <x:sz val="10"/>
      <x:color rgb="FF2876B2"/>
      <x:name val="Arial"/>
    </x:font>
    <x:font>
      <x:b/>
      <x:sz val="10"/>
      <x:color rgb="FFC26A16"/>
      <x:name val="Arial"/>
    </x:font>
    <x:font>
      <x:b/>
      <x:sz val="10"/>
      <x:color rgb="FF264932"/>
      <x:name val="Arial"/>
    </x:font>
    <x:font>
      <x:b/>
      <x:sz val="12"/>
      <x:color rgb="FF006241"/>
      <x:name val="Arial"/>
    </x:font>
  </x:fonts>
  <x:fills count="12">
    <x:fill>
      <x:patternFill patternType="none"/>
    </x:fill>
    <x:fill>
      <x:patternFill patternType="gray125"/>
    </x:fill>
    <x:fill>
      <x:patternFill patternType="solid">
        <x:fgColor rgb="FF12372A"/>
      </x:patternFill>
    </x:fill>
    <x:fill>
      <x:patternFill patternType="solid">
        <x:fgColor rgb="FFDFF2E9"/>
      </x:patternFill>
    </x:fill>
    <x:fill>
      <x:patternFill patternType="solid">
        <x:fgColor rgb="FF006241"/>
      </x:patternFill>
    </x:fill>
    <x:fill>
      <x:patternFill patternType="solid">
        <x:fgColor rgb="FFF6F3ED"/>
      </x:patternFill>
    </x:fill>
    <x:fill>
      <x:patternFill patternType="solid">
        <x:fgColor rgb="FF006241"/>
      </x:patternFill>
    </x:fill>
    <x:fill>
      <x:patternFill patternType="solid">
        <x:fgColor rgb="FFE8F0E6"/>
      </x:patternFill>
    </x:fill>
    <x:fill>
      <x:patternFill patternType="solid">
        <x:fgColor rgb="FF006241"/>
      </x:patternFill>
    </x:fill>
    <x:fill>
      <x:patternFill patternType="solid">
        <x:fgColor rgb="FFE8F0E6"/>
      </x:patternFill>
    </x:fill>
    <x:fill>
      <x:patternFill patternType="solid">
        <x:fgColor rgb="FF006241"/>
      </x:patternFill>
    </x:fill>
    <x:fill>
      <x:patternFill patternType="solid">
        <x:fgColor rgb="FFE8F0E6"/>
      </x:patternFill>
    </x:fill>
  </x:fills>
  <x:borders count="19">
    <x:border>
      <x:left/>
      <x:right/>
      <x:top/>
      <x:bottom/>
      <x:diagonal/>
    </x:border>
    <x:border>
      <x:left style="thin">
        <x:color rgb="FFD8E0DC"/>
      </x:left>
      <x:right/>
      <x:top style="thin">
        <x:color rgb="FFD8E0DC"/>
      </x:top>
      <x:bottom/>
      <x:diagonal/>
    </x:border>
    <x:border>
      <x:left/>
      <x:right/>
      <x:top style="thin">
        <x:color rgb="FFD8E0DC"/>
      </x:top>
      <x:bottom/>
      <x:diagonal/>
    </x:border>
    <x:border>
      <x:left/>
      <x:right style="thin">
        <x:color rgb="FFD8E0DC"/>
      </x:right>
      <x:top style="thin">
        <x:color rgb="FFD8E0DC"/>
      </x:top>
      <x:bottom/>
      <x:diagonal/>
    </x:border>
    <x:border>
      <x:left style="thin">
        <x:color rgb="FFD8E0DC"/>
      </x:left>
      <x:right/>
      <x:top/>
      <x:bottom/>
      <x:diagonal/>
    </x:border>
    <x:border>
      <x:left/>
      <x:right style="thin">
        <x:color rgb="FFD8E0DC"/>
      </x:right>
      <x:top/>
      <x:bottom/>
      <x:diagonal/>
    </x:border>
    <x:border>
      <x:left style="thin">
        <x:color rgb="FFD8E0DC"/>
      </x:left>
      <x:right/>
      <x:top/>
      <x:bottom style="thin">
        <x:color rgb="FFD8E0DC"/>
      </x:bottom>
      <x:diagonal/>
    </x:border>
    <x:border>
      <x:left/>
      <x:right/>
      <x:top/>
      <x:bottom style="thin">
        <x:color rgb="FFD8E0DC"/>
      </x:bottom>
      <x:diagonal/>
    </x:border>
    <x:border>
      <x:left/>
      <x:right style="thin">
        <x:color rgb="FFD8E0DC"/>
      </x:right>
      <x:top/>
      <x:bottom style="thin">
        <x:color rgb="FFD8E0DC"/>
      </x:bottom>
      <x:diagonal/>
    </x:border>
    <x:border>
      <x:left/>
      <x:right style="thin">
        <x:color rgb="FFE8ECEA"/>
      </x:right>
      <x:top/>
      <x:bottom style="thin">
        <x:color rgb="FFE8ECEA"/>
      </x:bottom>
      <x:diagonal/>
    </x:border>
    <x:border>
      <x:left style="thin">
        <x:color rgb="FFE8ECEA"/>
      </x:left>
      <x:right style="thin">
        <x:color rgb="FFE8ECEA"/>
      </x:right>
      <x:top/>
      <x:bottom style="thin">
        <x:color rgb="FFE8ECEA"/>
      </x:bottom>
      <x:diagonal/>
    </x:border>
    <x:border>
      <x:left style="thin">
        <x:color rgb="FFE8ECEA"/>
      </x:left>
      <x:right/>
      <x:top/>
      <x:bottom style="thin">
        <x:color rgb="FFE8ECEA"/>
      </x:bottom>
      <x:diagonal/>
    </x:border>
    <x:border>
      <x:left/>
      <x:right style="thin">
        <x:color rgb="FFE8ECEA"/>
      </x:right>
      <x:top style="thin">
        <x:color rgb="FFE8ECEA"/>
      </x:top>
      <x:bottom style="thin">
        <x:color rgb="FFE8ECEA"/>
      </x:bottom>
      <x:diagonal/>
    </x:border>
    <x:border>
      <x:left style="thin">
        <x:color rgb="FFE8ECEA"/>
      </x:left>
      <x:right style="thin">
        <x:color rgb="FFE8ECEA"/>
      </x:right>
      <x:top style="thin">
        <x:color rgb="FFE8ECEA"/>
      </x:top>
      <x:bottom style="thin">
        <x:color rgb="FFE8ECEA"/>
      </x:bottom>
      <x:diagonal/>
    </x:border>
    <x:border>
      <x:left style="thin">
        <x:color rgb="FFE8ECEA"/>
      </x:left>
      <x:right/>
      <x:top style="thin">
        <x:color rgb="FFE8ECEA"/>
      </x:top>
      <x:bottom style="thin">
        <x:color rgb="FFE8ECEA"/>
      </x:bottom>
      <x:diagonal/>
    </x:border>
    <x:border>
      <x:left/>
      <x:right style="thin">
        <x:color rgb="FFE8ECEA"/>
      </x:right>
      <x:top style="thin">
        <x:color rgb="FFE8ECEA"/>
      </x:top>
      <x:bottom/>
      <x:diagonal/>
    </x:border>
    <x:border>
      <x:left style="thin">
        <x:color rgb="FFE8ECEA"/>
      </x:left>
      <x:right style="thin">
        <x:color rgb="FFE8ECEA"/>
      </x:right>
      <x:top style="thin">
        <x:color rgb="FFE8ECEA"/>
      </x:top>
      <x:bottom/>
      <x:diagonal/>
    </x:border>
    <x:border>
      <x:left style="thin">
        <x:color rgb="FFE8ECEA"/>
      </x:left>
      <x:right/>
      <x:top style="thin">
        <x:color rgb="FFE8ECEA"/>
      </x:top>
      <x:bottom/>
      <x:diagonal/>
    </x:border>
    <x:border>
      <x:left/>
      <x:right/>
      <x:top style="thin">
        <x:color rgb="FFA8BFA6"/>
      </x:top>
      <x:bottom/>
      <x:diagonal/>
    </x:border>
  </x:borders>
  <x:cellStyleXfs count="1">
    <x:xf numFmtId="0" fontId="0" fillId="0" borderId="0"/>
  </x:cellStyleXfs>
  <x:cellXfs count="93">
    <x:xf numFmtId="0" fontId="0" fillId="0" borderId="0" xfId="0"/>
    <x:xf numFmtId="0" fontId="3" fillId="3" borderId="0" xfId="0" applyFont="1" applyFill="1" applyAlignment="1">
      <x:alignment horizontal="center"/>
    </x:xf>
    <x:xf numFmtId="0" fontId="4" fillId="0" borderId="0" xfId="0" applyFont="1"/>
    <x:xf numFmtId="0" fontId="2" fillId="4" borderId="0" xfId="0" applyFont="1" applyFill="1" applyAlignment="1">
      <x:alignment vertical="center" wrapText="1"/>
    </x:xf>
    <x:xf numFmtId="3" fontId="5" fillId="3" borderId="0" xfId="0" applyNumberFormat="1" applyFont="1" applyFill="1"/>
    <x:xf numFmtId="0" fontId="6" fillId="5" borderId="0" xfId="0" applyFont="1" applyFill="1" applyAlignment="1">
      <x:alignment vertical="center" wrapText="1"/>
    </x:xf>
    <x:xf numFmtId="0" fontId="0" fillId="0" borderId="12" xfId="0" applyBorder="1"/>
    <x:xf numFmtId="0" fontId="0" fillId="0" borderId="13" xfId="0" applyBorder="1"/>
    <x:xf numFmtId="0" fontId="0" fillId="0" borderId="14" xfId="0" applyBorder="1"/>
    <x:xf numFmtId="0" fontId="0" fillId="0" borderId="15" xfId="0" applyBorder="1"/>
    <x:xf numFmtId="0" fontId="0" fillId="0" borderId="16" xfId="0" applyBorder="1"/>
    <x:xf numFmtId="0" fontId="0" fillId="0" borderId="17" xfId="0" applyBorder="1"/>
    <x:xf numFmtId="0" fontId="2" fillId="4" borderId="9" xfId="0" applyFont="1" applyFill="1" applyBorder="1" applyAlignment="1">
      <x:alignment vertical="center" wrapText="1"/>
    </x:xf>
    <x:xf numFmtId="0" fontId="2" fillId="4" borderId="10" xfId="0" applyFont="1" applyFill="1" applyBorder="1" applyAlignment="1">
      <x:alignment vertical="center" wrapText="1"/>
    </x:xf>
    <x:xf numFmtId="0" fontId="2" fillId="4" borderId="11" xfId="0" applyFont="1" applyFill="1" applyBorder="1" applyAlignment="1">
      <x:alignment vertical="center" wrapText="1"/>
    </x:xf>
    <x:xf numFmtId="49" fontId="0" fillId="0" borderId="0" xfId="0" applyNumberFormat="1"/>
    <x:xf numFmtId="49" fontId="0" fillId="0" borderId="0" xfId="0" applyNumberFormat="1" applyAlignment="1">
      <x:alignment vertical="center"/>
    </x:xf>
    <x:xf numFmtId="0" fontId="0" fillId="0" borderId="0" xfId="0" applyAlignment="1">
      <x:alignment vertical="center"/>
    </x:xf>
    <x:xf numFmtId="164" fontId="0" fillId="0" borderId="0" xfId="0" applyNumberFormat="1"/>
    <x:xf numFmtId="165" fontId="0" fillId="0" borderId="0" xfId="0" applyNumberFormat="1"/>
    <x:xf numFmtId="166" fontId="0" fillId="0" borderId="0" xfId="0" applyNumberFormat="1"/>
    <x:xf numFmtId="167" fontId="0" fillId="0" borderId="13" xfId="0" applyNumberFormat="1" applyBorder="1" applyAlignment="1">
      <x:alignment vertical="center"/>
    </x:xf>
    <x:xf numFmtId="168" fontId="8" fillId="0" borderId="13" xfId="0" applyNumberFormat="1" applyFont="1" applyBorder="1" applyAlignment="1">
      <x:alignment vertical="center"/>
    </x:xf>
    <x:xf numFmtId="168" fontId="8" fillId="0" borderId="16" xfId="0" applyNumberFormat="1" applyFont="1" applyBorder="1" applyAlignment="1">
      <x:alignment vertical="center"/>
    </x:xf>
    <x:xf numFmtId="0" fontId="8" fillId="0" borderId="13" xfId="0" applyFont="1" applyBorder="1" applyAlignment="1">
      <x:alignment vertical="center"/>
    </x:xf>
    <x:xf numFmtId="167" fontId="8" fillId="0" borderId="13" xfId="0" applyNumberFormat="1" applyFont="1" applyBorder="1" applyAlignment="1">
      <x:alignment vertical="center"/>
    </x:xf>
    <x:xf numFmtId="0" fontId="8" fillId="0" borderId="14" xfId="0" applyFont="1" applyBorder="1" applyAlignment="1">
      <x:alignment vertical="center"/>
    </x:xf>
    <x:xf numFmtId="0" fontId="8" fillId="0" borderId="16" xfId="0" applyFont="1" applyBorder="1" applyAlignment="1">
      <x:alignment vertical="center"/>
    </x:xf>
    <x:xf numFmtId="167" fontId="8" fillId="0" borderId="16" xfId="0" applyNumberFormat="1" applyFont="1" applyBorder="1" applyAlignment="1">
      <x:alignment vertical="center"/>
    </x:xf>
    <x:xf numFmtId="0" fontId="8" fillId="0" borderId="17" xfId="0" applyFont="1" applyBorder="1" applyAlignment="1">
      <x:alignment vertical="center"/>
    </x:xf>
    <x:xf numFmtId="0" fontId="8" fillId="0" borderId="12" xfId="0" applyFont="1" applyBorder="1" applyAlignment="1">
      <x:alignment horizontal="center" vertical="top"/>
    </x:xf>
    <x:xf numFmtId="0" fontId="1" fillId="2" borderId="0" xfId="0" applyFont="1" applyFill="1" applyAlignment="1">
      <x:alignment vertical="center"/>
    </x:xf>
    <x:xf numFmtId="0" fontId="2" fillId="2" borderId="0" xfId="0" applyFont="1" applyFill="1"/>
    <x:xf numFmtId="0" fontId="6" fillId="5" borderId="1" xfId="0" applyFont="1" applyFill="1" applyBorder="1" applyAlignment="1">
      <x:alignment vertical="center" wrapText="1"/>
    </x:xf>
    <x:xf numFmtId="0" fontId="6" fillId="5" borderId="2" xfId="0" applyFont="1" applyFill="1" applyBorder="1" applyAlignment="1">
      <x:alignment vertical="center" wrapText="1"/>
    </x:xf>
    <x:xf numFmtId="0" fontId="6" fillId="5" borderId="3" xfId="0" applyFont="1" applyFill="1" applyBorder="1" applyAlignment="1">
      <x:alignment vertical="center" wrapText="1"/>
    </x:xf>
    <x:xf numFmtId="0" fontId="6" fillId="5" borderId="4" xfId="0" applyFont="1" applyFill="1" applyBorder="1" applyAlignment="1">
      <x:alignment vertical="center" wrapText="1"/>
    </x:xf>
    <x:xf numFmtId="0" fontId="6" fillId="5" borderId="0" xfId="0" applyFont="1" applyFill="1" applyAlignment="1">
      <x:alignment vertical="center" wrapText="1"/>
    </x:xf>
    <x:xf numFmtId="0" fontId="6" fillId="5" borderId="5" xfId="0" applyFont="1" applyFill="1" applyBorder="1" applyAlignment="1">
      <x:alignment vertical="center" wrapText="1"/>
    </x:xf>
    <x:xf numFmtId="0" fontId="6" fillId="5" borderId="6" xfId="0" applyFont="1" applyFill="1" applyBorder="1" applyAlignment="1">
      <x:alignment vertical="center" wrapText="1"/>
    </x:xf>
    <x:xf numFmtId="0" fontId="6" fillId="5" borderId="7" xfId="0" applyFont="1" applyFill="1" applyBorder="1" applyAlignment="1">
      <x:alignment vertical="center" wrapText="1"/>
    </x:xf>
    <x:xf numFmtId="0" fontId="6" fillId="5" borderId="8" xfId="0" applyFont="1" applyFill="1" applyBorder="1" applyAlignment="1">
      <x:alignment vertical="center" wrapText="1"/>
    </x:xf>
    <x:xf numFmtId="0" fontId="7" fillId="2" borderId="0" xfId="0" applyFont="1" applyFill="1" applyAlignment="1">
      <x:alignment vertical="center"/>
    </x:xf>
    <x:xf numFmtId="49" fontId="8" fillId="0" borderId="15" xfId="0" applyNumberFormat="1" applyFont="1" applyBorder="1" applyAlignment="1">
      <x:alignment horizontal="center" vertical="top"/>
    </x:xf>
    <x:xf numFmtId="0" fontId="9" fillId="0" borderId="0" xfId="0" applyNumberFormat="1" applyFont="1" applyFill="1" applyBorder="1"/>
    <x:xf numFmtId="0" fontId="9" fillId="0" borderId="0" xfId="0" applyNumberFormat="1" applyFont="1" applyFill="1" applyBorder="1" applyAlignment="1">
      <x:alignment vertical="center"/>
    </x:xf>
    <x:xf numFmtId="0" fontId="9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 wrapText="1"/>
    </x:xf>
    <x:xf numFmtId="0" fontId="10" fillId="6" borderId="0" xfId="0" applyNumberFormat="1" applyFont="1" applyFill="1" applyBorder="1" applyAlignment="1">
      <x:alignment horizontal="center" vertical="center" wrapText="1"/>
    </x:xf>
    <x:xf numFmtId="200" fontId="9" fillId="0" borderId="0" xfId="0" applyNumberFormat="1" applyFont="1" applyFill="1" applyBorder="1" applyAlignment="1">
      <x:alignment vertical="center"/>
    </x:xf>
    <x:xf numFmtId="201" fontId="9" fillId="0" borderId="0" xfId="0" applyNumberFormat="1" applyFont="1" applyFill="1" applyBorder="1" applyAlignment="1">
      <x:alignment vertical="center"/>
    </x:xf>
    <x:xf numFmtId="202" fontId="9" fillId="0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10" fillId="6" borderId="0" xfId="0" applyNumberFormat="1" applyFont="1" applyFill="1" applyBorder="1"/>
    <x:xf numFmtId="0" fontId="10" fillId="6" borderId="0" xfId="0" applyNumberFormat="1" applyFont="1" applyFill="1" applyBorder="1" applyAlignment="1">
      <x:alignment wrapText="1"/>
    </x:xf>
    <x:xf numFmtId="0" fontId="10" fillId="6" borderId="0" xfId="0" applyNumberFormat="1" applyFont="1" applyFill="1" applyBorder="1" applyAlignment="1">
      <x:alignment horizontal="center" wrapText="1"/>
    </x:xf>
    <x:xf numFmtId="0" fontId="11" fillId="0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 applyAlignment="1">
      <x:alignment vertical="center"/>
    </x:xf>
    <x:xf numFmtId="0" fontId="13" fillId="0" borderId="0" xfId="0" applyNumberFormat="1" applyFont="1" applyFill="1" applyBorder="1" applyAlignment="1">
      <x:alignment vertical="center"/>
    </x:xf>
    <x:xf numFmtId="0" fontId="14" fillId="0" borderId="0" xfId="0" applyNumberFormat="1" applyFont="1" applyFill="1" applyBorder="1" applyAlignment="1">
      <x:alignment vertical="center"/>
    </x:xf>
    <x:xf numFmtId="0" fontId="15" fillId="0" borderId="0" xfId="0" applyNumberFormat="1" applyFont="1" applyFill="1" applyBorder="1" applyAlignment="1">
      <x:alignment vertical="center"/>
    </x:xf>
    <x:xf numFmtId="0" fontId="16" fillId="0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0" fontId="17" fillId="7" borderId="0" xfId="0" applyNumberFormat="1" applyFont="1" applyFill="1" applyBorder="1" applyAlignment="1">
      <x:alignment vertical="center"/>
    </x:xf>
    <x:xf numFmtId="0" fontId="17" fillId="7" borderId="18" xfId="0" applyNumberFormat="1" applyFont="1" applyFill="1" applyBorder="1" applyAlignment="1">
      <x:alignment vertical="center"/>
    </x:xf>
    <x:xf numFmtId="203" fontId="9" fillId="0" borderId="0" xfId="0" applyNumberFormat="1" applyFont="1" applyFill="1" applyBorder="1" applyAlignment="1">
      <x:alignment vertical="center"/>
    </x:xf>
    <x:xf numFmtId="203" fontId="17" fillId="7" borderId="18" xfId="0" applyNumberFormat="1" applyFont="1" applyFill="1" applyBorder="1" applyAlignment="1">
      <x:alignment vertical="center"/>
    </x:xf>
    <x:xf numFmtId="0" fontId="18" fillId="0" borderId="0" xfId="0" applyNumberFormat="1" applyFont="1" applyFill="1" applyBorder="1" applyAlignment="1">
      <x:alignment vertical="center"/>
    </x:xf>
    <x:xf numFmtId="0" fontId="9" fillId="8" borderId="0" xfId="0" applyNumberFormat="1" applyFont="1" applyFill="1" applyBorder="1" applyAlignment="1">
      <x:alignment vertical="center"/>
    </x:xf>
    <x:xf numFmtId="0" fontId="10" fillId="8" borderId="0" xfId="0" applyNumberFormat="1" applyFont="1" applyFill="1" applyBorder="1" applyAlignment="1">
      <x:alignment vertical="center"/>
    </x:xf>
    <x:xf numFmtId="0" fontId="10" fillId="8" borderId="0" xfId="0" applyNumberFormat="1" applyFont="1" applyFill="1" applyBorder="1" applyAlignment="1">
      <x:alignment vertical="center" wrapText="1"/>
    </x:xf>
    <x:xf numFmtId="0" fontId="10" fillId="8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0" fillId="8" borderId="0" xfId="0" applyNumberFormat="1" applyFont="1" applyFill="1" applyBorder="1"/>
    <x:xf numFmtId="0" fontId="10" fillId="8" borderId="0" xfId="0" applyNumberFormat="1" applyFont="1" applyFill="1" applyBorder="1" applyAlignment="1">
      <x:alignment wrapText="1"/>
    </x:xf>
    <x:xf numFmtId="0" fontId="10" fillId="8" borderId="0" xfId="0" applyNumberFormat="1" applyFont="1" applyFill="1" applyBorder="1" applyAlignment="1">
      <x:alignment horizontal="center" wrapText="1"/>
    </x:xf>
    <x:xf numFmtId="0" fontId="9" fillId="9" borderId="0" xfId="0" applyNumberFormat="1" applyFont="1" applyFill="1" applyBorder="1" applyAlignment="1">
      <x:alignment vertical="center"/>
    </x:xf>
    <x:xf numFmtId="0" fontId="17" fillId="9" borderId="0" xfId="0" applyNumberFormat="1" applyFont="1" applyFill="1" applyBorder="1" applyAlignment="1">
      <x:alignment vertical="center"/>
    </x:xf>
    <x:xf numFmtId="0" fontId="17" fillId="9" borderId="18" xfId="0" applyNumberFormat="1" applyFont="1" applyFill="1" applyBorder="1" applyAlignment="1">
      <x:alignment vertical="center"/>
    </x:xf>
    <x:xf numFmtId="203" fontId="17" fillId="9" borderId="18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/>
    </x:xf>
    <x:xf numFmtId="0" fontId="10" fillId="10" borderId="0" xfId="0" applyNumberFormat="1" applyFont="1" applyFill="1" applyBorder="1" applyAlignment="1">
      <x:alignment vertical="center"/>
    </x:xf>
    <x:xf numFmtId="0" fontId="10" fillId="10" borderId="0" xfId="0" applyNumberFormat="1" applyFont="1" applyFill="1" applyBorder="1" applyAlignment="1">
      <x:alignment vertical="center" wrapText="1"/>
    </x:xf>
    <x:xf numFmtId="0" fontId="10" fillId="10" borderId="0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0" xfId="0" applyNumberFormat="1" applyFont="1" applyFill="1" applyBorder="1" applyAlignment="1">
      <x:alignment wrapText="1"/>
    </x:xf>
    <x:xf numFmtId="0" fontId="10" fillId="10" borderId="0" xfId="0" applyNumberFormat="1" applyFont="1" applyFill="1" applyBorder="1" applyAlignment="1">
      <x:alignment horizontal="center" wrapText="1"/>
    </x:xf>
    <x:xf numFmtId="0" fontId="9" fillId="11" borderId="0" xfId="0" applyNumberFormat="1" applyFont="1" applyFill="1" applyBorder="1" applyAlignment="1">
      <x:alignment vertical="center"/>
    </x:xf>
    <x:xf numFmtId="0" fontId="17" fillId="11" borderId="0" xfId="0" applyNumberFormat="1" applyFont="1" applyFill="1" applyBorder="1" applyAlignment="1">
      <x:alignment vertical="center"/>
    </x:xf>
    <x:xf numFmtId="0" fontId="17" fillId="11" borderId="18" xfId="0" applyNumberFormat="1" applyFont="1" applyFill="1" applyBorder="1" applyAlignment="1">
      <x:alignment vertical="center"/>
    </x:xf>
    <x:xf numFmtId="203" fontId="17" fillId="11" borderId="18" xfId="0" applyNumberFormat="1" applyFont="1" applyFill="1" applyBorder="1" applyAlignment="1">
      <x:alignment vertical="center"/>
    </x:xf>
  </x:cellXfs>
  <x:cellStyles count="1">
    <x:cellStyle name="Normal" xfId="0"/>
  </x:cellStyles>
  <x:dxfs count="37">
    <x:dxf>
      <x:font>
        <x:u val="none"/>
        <x:sz val="8"/>
        <x:color auto="1"/>
        <x:name val="Carlito"/>
        <x:scheme val="none"/>
      </x:font>
      <x:border>
        <x:left style="thin">
          <x:color rgb="FFE8ECEA"/>
        </x:left>
        <x:right/>
        <x:top style="thin">
          <x:color rgb="FFE8ECEA"/>
        </x:top>
        <x:bottom style="thin">
          <x:color rgb="FFE8ECEA"/>
        </x:bottom>
      </x:border>
    </x:dxf>
    <x:dxf>
      <x:font>
        <x:u val="none"/>
        <x:sz val="8"/>
        <x:color auto="1"/>
        <x:name val="Carlito"/>
        <x:scheme val="none"/>
      </x:font>
      <x:numFmt numFmtId="168" formatCode="0.00000"/>
      <x:border>
        <x:left style="thin">
          <x:color rgb="FFE8ECEA"/>
        </x:left>
        <x:right style="thin">
          <x:color rgb="FFE8ECEA"/>
        </x:right>
        <x:top style="thin">
          <x:color rgb="FFE8ECEA"/>
        </x:top>
        <x:bottom style="thin">
          <x:color rgb="FFE8ECEA"/>
        </x:bottom>
      </x:border>
    </x:dxf>
    <x:dxf>
      <x:font>
        <x:u val="none"/>
        <x:sz val="8"/>
        <x:color auto="1"/>
        <x:name val="Carlito"/>
        <x:scheme val="none"/>
      </x:font>
      <x:numFmt numFmtId="168" formatCode="0.00000"/>
      <x:border>
        <x:left style="thin">
          <x:color rgb="FFE8ECEA"/>
        </x:left>
        <x:right style="thin">
          <x:color rgb="FFE8ECEA"/>
        </x:right>
        <x:top style="thin">
          <x:color rgb="FFE8ECEA"/>
        </x:top>
        <x:bottom style="thin">
          <x:color rgb="FFE8ECEA"/>
        </x:bottom>
      </x:border>
    </x:dxf>
    <x:dxf>
      <x:font>
        <x:u val="none"/>
        <x:sz val="8"/>
        <x:color auto="1"/>
        <x:name val="Carlito"/>
        <x:scheme val="none"/>
      </x:font>
      <x:border>
        <x:left style="thin">
          <x:color rgb="FFE8ECEA"/>
        </x:left>
        <x:right style="thin">
          <x:color rgb="FFE8ECEA"/>
        </x:right>
        <x:top style="thin">
          <x:color rgb="FFE8ECEA"/>
        </x:top>
        <x:bottom style="thin">
          <x:color rgb="FFE8ECEA"/>
        </x:bottom>
      </x:border>
    </x:dxf>
    <x:dxf>
      <x:font>
        <x:u val="none"/>
        <x:sz val="8"/>
        <x:color auto="1"/>
        <x:name val="Carlito"/>
        <x:scheme val="none"/>
      </x:font>
      <x:border>
        <x:left style="thin">
          <x:color rgb="FFE8ECEA"/>
        </x:left>
        <x:right style="thin">
          <x:color rgb="FFE8ECEA"/>
        </x:right>
        <x:top style="thin">
          <x:color rgb="FFE8ECEA"/>
        </x:top>
        <x:bottom style="thin">
          <x:color rgb="FFE8ECEA"/>
        </x:bottom>
      </x:border>
    </x:dxf>
    <x:dxf>
      <x:font>
        <x:u val="none"/>
        <x:sz val="8"/>
        <x:color auto="1"/>
        <x:name val="Carlito"/>
        <x:scheme val="none"/>
      </x:font>
      <x:border>
        <x:left style="thin">
          <x:color rgb="FFE8ECEA"/>
        </x:left>
        <x:right style="thin">
          <x:color rgb="FFE8ECEA"/>
        </x:right>
        <x:top style="thin">
          <x:color rgb="FFE8ECEA"/>
        </x:top>
        <x:bottom style="thin">
          <x:color rgb="FFE8ECEA"/>
        </x:bottom>
      </x:border>
    </x:dxf>
    <x:dxf>
      <x:font>
        <x:u val="none"/>
        <x:sz val="8"/>
        <x:color auto="1"/>
        <x:name val="Carlito"/>
        <x:scheme val="none"/>
      </x:font>
      <x:border>
        <x:left style="thin">
          <x:color rgb="FFE8ECEA"/>
        </x:left>
        <x:right style="thin">
          <x:color rgb="FFE8ECEA"/>
        </x:right>
        <x:top style="thin">
          <x:color rgb="FFE8ECEA"/>
        </x:top>
        <x:bottom style="thin">
          <x:color rgb="FFE8ECEA"/>
        </x:bottom>
      </x:border>
    </x:dxf>
    <x:dxf>
      <x:font>
        <x:u val="none"/>
        <x:sz val="8"/>
        <x:color auto="1"/>
        <x:name val="Carlito"/>
        <x:scheme val="none"/>
      </x:font>
      <x:border>
        <x:left style="thin">
          <x:color rgb="FFE8ECEA"/>
        </x:left>
        <x:right style="thin">
          <x:color rgb="FFE8ECEA"/>
        </x:right>
        <x:top style="thin">
          <x:color rgb="FFE8ECEA"/>
        </x:top>
        <x:bottom style="thin">
          <x:color rgb="FFE8ECEA"/>
        </x:bottom>
      </x:border>
    </x:dxf>
    <x:dxf>
      <x:font>
        <x:u val="none"/>
        <x:sz val="8"/>
        <x:color auto="1"/>
        <x:name val="Carlito"/>
        <x:scheme val="none"/>
      </x:font>
      <x:numFmt numFmtId="167" formatCode="dd/mm/yy"/>
      <x:border>
        <x:left style="thin">
          <x:color rgb="FFE8ECEA"/>
        </x:left>
        <x:right style="thin">
          <x:color rgb="FFE8ECEA"/>
        </x:right>
        <x:top style="thin">
          <x:color rgb="FFE8ECEA"/>
        </x:top>
        <x:bottom style="thin">
          <x:color rgb="FFE8ECEA"/>
        </x:bottom>
      </x:border>
    </x:dxf>
    <x:dxf>
      <x:font>
        <x:u val="none"/>
        <x:sz val="8"/>
        <x:color auto="1"/>
        <x:name val="Carlito"/>
        <x:scheme val="none"/>
      </x:font>
      <x:border>
        <x:left style="thin">
          <x:color rgb="FFE8ECEA"/>
        </x:left>
        <x:right style="thin">
          <x:color rgb="FFE8ECEA"/>
        </x:right>
        <x:top style="thin">
          <x:color rgb="FFE8ECEA"/>
        </x:top>
        <x:bottom style="thin">
          <x:color rgb="FFE8ECEA"/>
        </x:bottom>
      </x:border>
    </x:dxf>
    <x:dxf>
      <x:font>
        <x:u val="none"/>
        <x:sz val="8"/>
        <x:color auto="1"/>
        <x:name val="Carlito"/>
        <x:scheme val="none"/>
      </x:font>
      <x:border>
        <x:left style="thin">
          <x:color rgb="FFE8ECEA"/>
        </x:left>
        <x:right style="thin">
          <x:color rgb="FFE8ECEA"/>
        </x:right>
        <x:top style="thin">
          <x:color rgb="FFE8ECEA"/>
        </x:top>
        <x:bottom style="thin">
          <x:color rgb="FFE8ECEA"/>
        </x:bottom>
      </x:border>
    </x:dxf>
    <x:dxf>
      <x:font>
        <x:u val="none"/>
        <x:sz val="8"/>
        <x:color auto="1"/>
        <x:name val="Carlito"/>
        <x:scheme val="none"/>
      </x:font>
      <x:border>
        <x:left/>
        <x:right style="thin">
          <x:color rgb="FFE8ECEA"/>
        </x:right>
        <x:top style="thin">
          <x:color rgb="FFE8ECEA"/>
        </x:top>
        <x:bottom style="thin">
          <x:color rgb="FFE8ECEA"/>
        </x:bottom>
      </x:border>
    </x:dxf>
    <x:dxf>
      <x:font>
        <x:b/>
        <x:color rgb="FF9B2C2C"/>
      </x:font>
      <x:fill>
        <x:patternFill>
          <x:bgColor rgb="FFFDE8E7"/>
        </x:patternFill>
      </x:fill>
    </x:dxf>
    <x:dxf>
      <x:font>
        <x:b/>
        <x:color rgb="FF9B2C2C"/>
      </x:font>
      <x:fill>
        <x:patternFill>
          <x:bgColor rgb="FFFDE8E7"/>
        </x:patternFill>
      </x:fill>
    </x:dxf>
    <x:dxf>
      <x:font>
        <x:b/>
        <x:color rgb="FF7A5B00"/>
      </x:font>
      <x:fill>
        <x:patternFill>
          <x:bgColor rgb="FFFFF3CD"/>
        </x:patternFill>
      </x:fill>
    </x:dxf>
    <x:dxf>
      <x:numFmt numFmtId="167" formatCode="dd/mm/yy"/>
      <x:border>
        <x:left style="thin">
          <x:color rgb="FFE8ECEA"/>
        </x:left>
        <x:right style="thin">
          <x:color rgb="FFE8ECEA"/>
        </x:right>
        <x:top style="thin">
          <x:color rgb="FFE8ECEA"/>
        </x:top>
        <x:bottom style="thin">
          <x:color rgb="FFE8ECEA"/>
        </x:bottom>
      </x:border>
    </x:dxf>
    <x:dxf>
      <x:font>
        <x:b/>
        <x:color rgb="FF006241"/>
      </x:font>
    </x:dxf>
    <x:dxf>
      <x:font>
        <x:b/>
        <x:color rgb="FFB04270"/>
      </x:font>
    </x:dxf>
    <x:dxf>
      <x:font>
        <x:b/>
        <x:color rgb="FF7453A6"/>
      </x:font>
    </x:dxf>
    <x:dxf>
      <x:font>
        <x:b/>
        <x:color rgb="FF2876B2"/>
      </x:font>
    </x:dxf>
    <x:dxf>
      <x:font>
        <x:b/>
        <x:color rgb="FFC26A16"/>
      </x:font>
    </x:dxf>
    <x:dxf>
      <x:font>
        <x:b/>
        <x:color rgb="FF943E23"/>
      </x:font>
      <x:fill>
        <x:patternFill>
          <x:bgColor rgb="FFF9E4DC"/>
        </x:patternFill>
      </x:fill>
    </x:dxf>
    <x:dxf>
      <x:font>
        <x:b/>
        <x:color rgb="FF943E23"/>
      </x:font>
      <x:fill>
        <x:patternFill>
          <x:bgColor rgb="FFF9E4DC"/>
        </x:patternFill>
      </x:fill>
    </x:dxf>
    <x:dxf>
      <x:font>
        <x:b/>
        <x:color rgb="FF006241"/>
      </x:font>
    </x:dxf>
    <x:dxf>
      <x:font>
        <x:b/>
        <x:color rgb="FFB04270"/>
      </x:font>
    </x:dxf>
    <x:dxf>
      <x:font>
        <x:b/>
        <x:color rgb="FF7453A6"/>
      </x:font>
    </x:dxf>
    <x:dxf>
      <x:font>
        <x:b/>
        <x:color rgb="FF2876B2"/>
      </x:font>
    </x:dxf>
    <x:dxf>
      <x:font>
        <x:b/>
        <x:color rgb="FFC26A16"/>
      </x:font>
    </x:dxf>
    <x:dxf>
      <x:font>
        <x:b/>
        <x:color rgb="FF943E23"/>
      </x:font>
      <x:fill>
        <x:patternFill>
          <x:bgColor rgb="FFF9E4DC"/>
        </x:patternFill>
      </x:fill>
    </x:dxf>
    <x:dxf>
      <x:font>
        <x:b/>
        <x:color rgb="FF943E23"/>
      </x:font>
      <x:fill>
        <x:patternFill>
          <x:bgColor rgb="FFF9E4DC"/>
        </x:patternFill>
      </x:fill>
    </x:dxf>
    <x:dxf>
      <x:font>
        <x:b/>
        <x:color rgb="FF006241"/>
      </x:font>
    </x:dxf>
    <x:dxf>
      <x:font>
        <x:b/>
        <x:color rgb="FFB04270"/>
      </x:font>
    </x:dxf>
    <x:dxf>
      <x:font>
        <x:b/>
        <x:color rgb="FF7453A6"/>
      </x:font>
    </x:dxf>
    <x:dxf>
      <x:font>
        <x:b/>
        <x:color rgb="FF2876B2"/>
      </x:font>
    </x:dxf>
    <x:dxf>
      <x:font>
        <x:b/>
        <x:color rgb="FFC26A16"/>
      </x:font>
    </x:dxf>
    <x:dxf>
      <x:font>
        <x:b/>
        <x:color rgb="FF943E23"/>
      </x:font>
      <x:fill>
        <x:patternFill patternType="solid">
          <x:bgColor rgb="FFF9E4DC"/>
        </x:patternFill>
      </x:fill>
    </x:dxf>
    <x:dxf>
      <x:font>
        <x:b/>
        <x:color rgb="FF943E23"/>
      </x:font>
      <x:fill>
        <x:patternFill patternType="solid">
          <x:bgColor rgb="FFF9E4D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90f60063cb4479d" /><Relationship Type="http://schemas.openxmlformats.org/officeDocument/2006/relationships/theme" Target="/xl/theme/theme1.xml" Id="R3e7fdfcfef804473" /><Relationship Type="http://schemas.openxmlformats.org/officeDocument/2006/relationships/sharedStrings" Target="/xl/sharedStrings.xml" Id="R7ef0455eef4a47e7" /><Relationship Type="http://schemas.openxmlformats.org/officeDocument/2006/relationships/worksheet" Target="/xl/worksheets/sheet1.xml" Id="R8416f50631764916" /><Relationship Type="http://schemas.openxmlformats.org/officeDocument/2006/relationships/worksheet" Target="/xl/worksheets/sheet2.xml" Id="R31207285d2ff496f" /><Relationship Type="http://schemas.openxmlformats.org/officeDocument/2006/relationships/worksheet" Target="/xl/worksheets/sheet3.xml" Id="Rb6f1080790d94b81" /><Relationship Type="http://schemas.openxmlformats.org/officeDocument/2006/relationships/worksheet" Target="/xl/worksheets/sheet4.xml" Id="R35d94bc6c6f148e0" /><Relationship Type="http://schemas.openxmlformats.org/officeDocument/2006/relationships/worksheet" Target="/xl/worksheets/sheet5.xml" Id="R2621ebc141264158" /></Relationships>
</file>

<file path=xl/tables/table1.xml><?xml version="1.0" encoding="utf-8"?>
<x:table xmlns:x="http://schemas.openxmlformats.org/spreadsheetml/2006/main" id="3" name="TiendasCMS" displayName="TiendasCMS" ref="A1:T483" headerRowCount="1" totalsRowCount="0" totalsRowShown="0">
  <x:autoFilter ref="A1:T483"/>
  <x:tableColumns count="20">
    <x:tableColumn id="1" name="Región"/>
    <x:tableColumn id="2" name="DM"/>
    <x:tableColumn id="3" name="CC"/>
    <x:tableColumn id="4" name="Nombre Tienda"/>
    <x:tableColumn id="5" name="Estatus"/>
    <x:tableColumn id="6" name="Fecha Apertura"/>
    <x:tableColumn id="7" name="Municipio"/>
    <x:tableColumn id="8" name="Cobertura"/>
    <x:tableColumn id="9" name="Latitud"/>
    <x:tableColumn id="10" name="Longitud"/>
    <x:tableColumn id="11" name="Formato"/>
    <x:tableColumn id="12" name="Formato Comercial"/>
    <x:tableColumn id="13" name="Tier"/>
    <x:tableColumn id="14" name="Activa"/>
    <x:tableColumn id="15" name="DM Directorio"/>
    <x:tableColumn id="16" name="Fuente Región DM"/>
    <x:tableColumn id="17" name="Fuente Coordenadas"/>
    <x:tableColumn id="18" name="Estatus Alsea"/>
    <x:tableColumn id="19" name="Observaciones"/>
    <x:tableColumn id="20" name="En mapa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IndicadoresTable" displayName="IndicadoresTable" ref="A1:T73" totalsRowShown="0">
  <x:sortState ref="A2:T73">
    <x:sortCondition ref="A1:A73"/>
  </x:sortState>
  <x:tableColumns count="20">
    <x:tableColumn id="1" name="CC"/>
    <x:tableColumn id="2" name="Corte YTD" dataDxfId="15"/>
    <x:tableColumn id="3" name="Rolling"/>
    <x:tableColumn id="4" name="TPLH"/>
    <x:tableColumn id="5" name="IPLH"/>
    <x:tableColumn id="6" name="Labor"/>
    <x:tableColumn id="7" name="Dif Labor"/>
    <x:tableColumn id="8" name="Ventas MXN"/>
    <x:tableColumn id="9" name="Dif Ppto"/>
    <x:tableColumn id="10" name="OMT"/>
    <x:tableColumn id="11" name="NPS"/>
    <x:tableColumn id="12" name="Conexión"/>
    <x:tableColumn id="13" name="Bebida"/>
    <x:tableColumn id="14" name="CTC"/>
    <x:tableColumn id="15" name="Costo"/>
    <x:tableColumn id="16" name="Dif Costo"/>
    <x:tableColumn id="17" name="EBITDA"/>
    <x:tableColumn id="18" name="Dif EBITDA"/>
    <x:tableColumn id="19" name="DT Time"/>
    <x:tableColumn id="20" name="Tiempo DT AA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4" name="RegionesDM" displayName="RegionesDM" ref="A1:D41" headerRowCount="1" totalsRowCount="0" totalsRowShown="0">
  <x:autoFilter ref="A1:D41"/>
  <x:tableColumns count="4">
    <x:tableColumn id="1" name="Región"/>
    <x:tableColumn id="2" name="DM"/>
    <x:tableColumn id="3" name="Nombre directorio"/>
    <x:tableColumn id="4" name="Mostrar como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5" name="RevisarCMS" displayName="RevisarCMS" ref="A1:F483" headerRowCount="1" totalsRowCount="0" totalsRowShown="0">
  <x:autoFilter ref="A1:F483"/>
  <x:tableColumns count="6">
    <x:tableColumn id="1" name="CC"/>
    <x:tableColumn id="2" name="Región"/>
    <x:tableColumn id="3" name="DM"/>
    <x:tableColumn id="4" name="Relación Región DM"/>
    <x:tableColumn id="5" name="CeCo único"/>
    <x:tableColumn id="6" name="Ubicación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9ba108a30e94f7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0576cc03cbf432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2261c3107c84e0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1d3b6052aee408f" /></Relationships>
</file>

<file path=xl/worksheets/sheet1.xml><?xml version="1.0" encoding="utf-8"?>
<x:worksheet xmlns:x="http://schemas.openxmlformats.org/spreadsheetml/2006/main">
  <x:sheetPr>
    <x:tabColor rgb="FF006241"/>
  </x:sheetPr>
  <x:sheetViews>
    <x:sheetView showGridLines="0" workbookViewId="0"/>
  </x:sheetViews>
  <x:sheetFormatPr baseColWidth="10" defaultColWidth="8.6640625" defaultRowHeight="14"/>
  <x:cols>
    <x:col min="1" max="1" width="23" hidden="0" customWidth="1"/>
    <x:col min="2" max="2" width="16" hidden="0" customWidth="1"/>
    <x:col min="3" max="3" width="16" hidden="0" customWidth="1"/>
    <x:col min="4" max="8" width="17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23" customHeight="1">
      <x:c r="A1" s="45"/>
      <x:c r="B1" s="45"/>
      <x:c r="C1" s="45"/>
      <x:c r="D1" s="45"/>
      <x:c r="E1" s="45"/>
      <x:c r="F1" s="45"/>
      <x:c r="G1" s="45"/>
      <x:c r="H1" s="45"/>
    </x:row>
    <x:row r="2" ht="23" customHeight="1">
      <x:c r="A2" s="57" t="str">
        <x:v>CMS Regional de tiendas</x:v>
      </x:c>
      <x:c r="B2" s="45"/>
      <x:c r="C2" s="45"/>
      <x:c r="D2" s="45"/>
      <x:c r="E2" s="45"/>
      <x:c r="F2" s="45"/>
      <x:c r="G2" s="45"/>
      <x:c r="H2" s="45"/>
    </x:row>
    <x:row r="3" ht="23" customHeight="1">
      <x:c r="A3" s="45"/>
      <x:c r="B3" s="45"/>
      <x:c r="C3" s="45"/>
      <x:c r="D3" s="45"/>
      <x:c r="E3" s="45"/>
      <x:c r="F3" s="45"/>
      <x:c r="G3" s="45"/>
      <x:c r="H3" s="45"/>
    </x:row>
    <x:row r="4" ht="34" customHeight="1">
      <x:c r="A4" s="84" t="str">
        <x:v>Región</x:v>
      </x:c>
      <x:c r="B4" s="84" t="str">
        <x:v>Abiertas</x:v>
      </x:c>
      <x:c r="C4" s="84" t="str">
        <x:v>En mapa</x:v>
      </x:c>
      <x:c r="D4" s="84" t="str">
        <x:v>Por ubicar</x:v>
      </x:c>
      <x:c r="E4" s="84" t="str">
        <x:v>Aperturas</x:v>
      </x:c>
      <x:c r="F4" s="84" t="str">
        <x:v>Cierre temporal</x:v>
      </x:c>
      <x:c r="G4" s="84" t="str">
        <x:v>Cierre definitivo</x:v>
      </x:c>
      <x:c r="H4" s="84" t="str">
        <x:v>Registros</x:v>
      </x:c>
    </x:row>
    <x:row r="5" ht="23" customHeight="1">
      <x:c r="A5" s="58" t="str">
        <x:v>Centro Norte</x:v>
      </x:c>
      <x:c r="B5" s="66" t="n">
        <x:f>COUNTIFS('Ubicaciones'!$A$2:$A$10001,$A5,'Ubicaciones'!$E$2:$E$10001,"Abierta",'Ubicaciones'!$N$2:$N$10001,"Sí")</x:f>
        <x:v>73</x:v>
      </x:c>
      <x:c r="C5" s="66" t="n">
        <x:f>COUNTIFS('Ubicaciones'!$A$2:$A$10001,$A5,'Ubicaciones'!$E$2:$E$10001,"Abierta",'Ubicaciones'!$N$2:$N$10001,"Sí",'Ubicaciones'!$I$2:$I$10001,"&lt;&gt;",'Ubicaciones'!$J$2:$J$10001,"&lt;&gt;",'Ubicaciones'!$I$2:$I$10001,"&gt;=-90",'Ubicaciones'!$I$2:$I$10001,"&lt;=90",'Ubicaciones'!$J$2:$J$10001,"&gt;=-180",'Ubicaciones'!$J$2:$J$10001,"&lt;=180")</x:f>
        <x:v>73</x:v>
      </x:c>
      <x:c r="D5" s="66" t="n">
        <x:f>B5-C5</x:f>
        <x:v>0</x:v>
      </x:c>
      <x:c r="E5" s="66" t="n">
        <x:f>COUNTIFS('Ubicaciones'!$A$2:$A$10001,$A5,'Ubicaciones'!$E$2:$E$10001,"Próxima Apertura")</x:f>
        <x:v>3</x:v>
      </x:c>
      <x:c r="F5" s="66" t="n">
        <x:f>COUNTIFS('Ubicaciones'!$A$2:$A$10001,$A5,'Ubicaciones'!$E$2:$E$10001,"Cierre Temporal")</x:f>
        <x:v>0</x:v>
      </x:c>
      <x:c r="G5" s="66" t="n">
        <x:f>COUNTIFS('Ubicaciones'!$A$2:$A$10001,$A5,'Ubicaciones'!$E$2:$E$10001,"Cierre Definitivo")</x:f>
        <x:v>0</x:v>
      </x:c>
      <x:c r="H5" s="66" t="n">
        <x:f>COUNTIFS('Ubicaciones'!$A$2:$A$10001,$A5)</x:f>
        <x:v>76</x:v>
      </x:c>
    </x:row>
    <x:row r="6" ht="23" customHeight="1">
      <x:c r="A6" s="59" t="str">
        <x:v>Centro Sur</x:v>
      </x:c>
      <x:c r="B6" s="66" t="n">
        <x:f>COUNTIFS('Ubicaciones'!$A$2:$A$10001,$A6,'Ubicaciones'!$E$2:$E$10001,"Abierta",'Ubicaciones'!$N$2:$N$10001,"Sí")</x:f>
        <x:v>100</x:v>
      </x:c>
      <x:c r="C6" s="66" t="n">
        <x:f>COUNTIFS('Ubicaciones'!$A$2:$A$10001,$A6,'Ubicaciones'!$E$2:$E$10001,"Abierta",'Ubicaciones'!$N$2:$N$10001,"Sí",'Ubicaciones'!$I$2:$I$10001,"&lt;&gt;",'Ubicaciones'!$J$2:$J$10001,"&lt;&gt;",'Ubicaciones'!$I$2:$I$10001,"&gt;=-90",'Ubicaciones'!$I$2:$I$10001,"&lt;=90",'Ubicaciones'!$J$2:$J$10001,"&gt;=-180",'Ubicaciones'!$J$2:$J$10001,"&lt;=180")</x:f>
        <x:v>100</x:v>
      </x:c>
      <x:c r="D6" s="66" t="n">
        <x:f>B6-C6</x:f>
        <x:v>0</x:v>
      </x:c>
      <x:c r="E6" s="66" t="n">
        <x:f>COUNTIFS('Ubicaciones'!$A$2:$A$10001,$A6,'Ubicaciones'!$E$2:$E$10001,"Próxima Apertura")</x:f>
        <x:v>0</x:v>
      </x:c>
      <x:c r="F6" s="66" t="n">
        <x:f>COUNTIFS('Ubicaciones'!$A$2:$A$10001,$A6,'Ubicaciones'!$E$2:$E$10001,"Cierre Temporal")</x:f>
        <x:v>1</x:v>
      </x:c>
      <x:c r="G6" s="66" t="n">
        <x:f>COUNTIFS('Ubicaciones'!$A$2:$A$10001,$A6,'Ubicaciones'!$E$2:$E$10001,"Cierre Definitivo")</x:f>
        <x:v>2</x:v>
      </x:c>
      <x:c r="H6" s="66" t="n">
        <x:f>COUNTIFS('Ubicaciones'!$A$2:$A$10001,$A6)</x:f>
        <x:v>103</x:v>
      </x:c>
    </x:row>
    <x:row r="7" ht="23" customHeight="1">
      <x:c r="A7" s="60" t="str">
        <x:v>Centro Poniente</x:v>
      </x:c>
      <x:c r="B7" s="66" t="n">
        <x:f>COUNTIFS('Ubicaciones'!$A$2:$A$10001,$A7,'Ubicaciones'!$E$2:$E$10001,"Abierta",'Ubicaciones'!$N$2:$N$10001,"Sí")</x:f>
        <x:v>100</x:v>
      </x:c>
      <x:c r="C7" s="66" t="n">
        <x:f>COUNTIFS('Ubicaciones'!$A$2:$A$10001,$A7,'Ubicaciones'!$E$2:$E$10001,"Abierta",'Ubicaciones'!$N$2:$N$10001,"Sí",'Ubicaciones'!$I$2:$I$10001,"&lt;&gt;",'Ubicaciones'!$J$2:$J$10001,"&lt;&gt;",'Ubicaciones'!$I$2:$I$10001,"&gt;=-90",'Ubicaciones'!$I$2:$I$10001,"&lt;=90",'Ubicaciones'!$J$2:$J$10001,"&gt;=-180",'Ubicaciones'!$J$2:$J$10001,"&lt;=180")</x:f>
        <x:v>100</x:v>
      </x:c>
      <x:c r="D7" s="66" t="n">
        <x:f>B7-C7</x:f>
        <x:v>0</x:v>
      </x:c>
      <x:c r="E7" s="66" t="n">
        <x:f>COUNTIFS('Ubicaciones'!$A$2:$A$10001,$A7,'Ubicaciones'!$E$2:$E$10001,"Próxima Apertura")</x:f>
        <x:v>0</x:v>
      </x:c>
      <x:c r="F7" s="66" t="n">
        <x:f>COUNTIFS('Ubicaciones'!$A$2:$A$10001,$A7,'Ubicaciones'!$E$2:$E$10001,"Cierre Temporal")</x:f>
        <x:v>1</x:v>
      </x:c>
      <x:c r="G7" s="66" t="n">
        <x:f>COUNTIFS('Ubicaciones'!$A$2:$A$10001,$A7,'Ubicaciones'!$E$2:$E$10001,"Cierre Definitivo")</x:f>
        <x:v>6</x:v>
      </x:c>
      <x:c r="H7" s="66" t="n">
        <x:f>COUNTIFS('Ubicaciones'!$A$2:$A$10001,$A7)</x:f>
        <x:v>107</x:v>
      </x:c>
    </x:row>
    <x:row r="8" ht="23" customHeight="1">
      <x:c r="A8" s="61" t="str">
        <x:v>Centro Centro</x:v>
      </x:c>
      <x:c r="B8" s="66" t="n">
        <x:f>COUNTIFS('Ubicaciones'!$A$2:$A$10001,$A8,'Ubicaciones'!$E$2:$E$10001,"Abierta",'Ubicaciones'!$N$2:$N$10001,"Sí")</x:f>
        <x:v>86</x:v>
      </x:c>
      <x:c r="C8" s="66" t="n">
        <x:f>COUNTIFS('Ubicaciones'!$A$2:$A$10001,$A8,'Ubicaciones'!$E$2:$E$10001,"Abierta",'Ubicaciones'!$N$2:$N$10001,"Sí",'Ubicaciones'!$I$2:$I$10001,"&lt;&gt;",'Ubicaciones'!$J$2:$J$10001,"&lt;&gt;",'Ubicaciones'!$I$2:$I$10001,"&gt;=-90",'Ubicaciones'!$I$2:$I$10001,"&lt;=90",'Ubicaciones'!$J$2:$J$10001,"&gt;=-180",'Ubicaciones'!$J$2:$J$10001,"&lt;=180")</x:f>
        <x:v>86</x:v>
      </x:c>
      <x:c r="D8" s="66" t="n">
        <x:f>B8-C8</x:f>
        <x:v>0</x:v>
      </x:c>
      <x:c r="E8" s="66" t="n">
        <x:f>COUNTIFS('Ubicaciones'!$A$2:$A$10001,$A8,'Ubicaciones'!$E$2:$E$10001,"Próxima Apertura")</x:f>
        <x:v>0</x:v>
      </x:c>
      <x:c r="F8" s="66" t="n">
        <x:f>COUNTIFS('Ubicaciones'!$A$2:$A$10001,$A8,'Ubicaciones'!$E$2:$E$10001,"Cierre Temporal")</x:f>
        <x:v>4</x:v>
      </x:c>
      <x:c r="G8" s="66" t="n">
        <x:f>COUNTIFS('Ubicaciones'!$A$2:$A$10001,$A8,'Ubicaciones'!$E$2:$E$10001,"Cierre Definitivo")</x:f>
        <x:v>6</x:v>
      </x:c>
      <x:c r="H8" s="66" t="n">
        <x:f>COUNTIFS('Ubicaciones'!$A$2:$A$10001,$A8)</x:f>
        <x:v>96</x:v>
      </x:c>
    </x:row>
    <x:row r="9" ht="23" customHeight="1">
      <x:c r="A9" s="62" t="str">
        <x:v>Bajío</x:v>
      </x:c>
      <x:c r="B9" s="66" t="n">
        <x:f>COUNTIFS('Ubicaciones'!$A$2:$A$10001,$A9,'Ubicaciones'!$E$2:$E$10001,"Abierta",'Ubicaciones'!$N$2:$N$10001,"Sí")</x:f>
        <x:v>96</x:v>
      </x:c>
      <x:c r="C9" s="66" t="n">
        <x:f>COUNTIFS('Ubicaciones'!$A$2:$A$10001,$A9,'Ubicaciones'!$E$2:$E$10001,"Abierta",'Ubicaciones'!$N$2:$N$10001,"Sí",'Ubicaciones'!$I$2:$I$10001,"&lt;&gt;",'Ubicaciones'!$J$2:$J$10001,"&lt;&gt;",'Ubicaciones'!$I$2:$I$10001,"&gt;=-90",'Ubicaciones'!$I$2:$I$10001,"&lt;=90",'Ubicaciones'!$J$2:$J$10001,"&gt;=-180",'Ubicaciones'!$J$2:$J$10001,"&lt;=180")</x:f>
        <x:v>96</x:v>
      </x:c>
      <x:c r="D9" s="66" t="n">
        <x:f>B9-C9</x:f>
        <x:v>0</x:v>
      </x:c>
      <x:c r="E9" s="66" t="n">
        <x:f>COUNTIFS('Ubicaciones'!$A$2:$A$10001,$A9,'Ubicaciones'!$E$2:$E$10001,"Próxima Apertura")</x:f>
        <x:v>2</x:v>
      </x:c>
      <x:c r="F9" s="66" t="n">
        <x:f>COUNTIFS('Ubicaciones'!$A$2:$A$10001,$A9,'Ubicaciones'!$E$2:$E$10001,"Cierre Temporal")</x:f>
        <x:v>2</x:v>
      </x:c>
      <x:c r="G9" s="66" t="n">
        <x:f>COUNTIFS('Ubicaciones'!$A$2:$A$10001,$A9,'Ubicaciones'!$E$2:$E$10001,"Cierre Definitivo")</x:f>
        <x:v>0</x:v>
      </x:c>
      <x:c r="H9" s="66" t="n">
        <x:f>COUNTIFS('Ubicaciones'!$A$2:$A$10001,$A9)</x:f>
        <x:v>100</x:v>
      </x:c>
    </x:row>
    <x:row r="10" ht="23" customHeight="1">
      <x:c r="A10" s="91" t="str">
        <x:v>Total</x:v>
      </x:c>
      <x:c r="B10" s="92" t="n">
        <x:f>SUM(B5:B9)</x:f>
        <x:v>455</x:v>
      </x:c>
      <x:c r="C10" s="92" t="n">
        <x:f>SUM(C5:C9)</x:f>
        <x:v>455</x:v>
      </x:c>
      <x:c r="D10" s="92" t="n">
        <x:f>SUM(D5:D9)</x:f>
        <x:v>0</x:v>
      </x:c>
      <x:c r="E10" s="92" t="n">
        <x:f>SUM(E5:E9)</x:f>
        <x:v>5</x:v>
      </x:c>
      <x:c r="F10" s="92" t="n">
        <x:f>SUM(F5:F9)</x:f>
        <x:v>8</x:v>
      </x:c>
      <x:c r="G10" s="92" t="n">
        <x:f>SUM(G5:G9)</x:f>
        <x:v>14</x:v>
      </x:c>
      <x:c r="H10" s="92" t="n">
        <x:f>SUM(H5:H9)</x:f>
        <x:v>482</x:v>
      </x:c>
    </x:row>
    <x:row r="11" ht="23" customHeight="1">
      <x:c r="A11" s="45"/>
      <x:c r="B11" s="45"/>
      <x:c r="C11" s="45"/>
      <x:c r="D11" s="45"/>
      <x:c r="E11" s="45"/>
      <x:c r="F11" s="45"/>
      <x:c r="G11" s="45"/>
      <x:c r="H11" s="45"/>
    </x:row>
    <x:row r="12" ht="23" customHeight="1">
      <x:c r="A12" s="45"/>
      <x:c r="B12" s="45"/>
      <x:c r="C12" s="45"/>
      <x:c r="D12" s="45"/>
      <x:c r="E12" s="45"/>
      <x:c r="F12" s="45"/>
      <x:c r="G12" s="45"/>
      <x:c r="H12" s="45"/>
    </x:row>
    <x:row r="13" ht="23" customHeight="1">
      <x:c r="A13" s="68" t="str">
        <x:v>Un solo directorio</x:v>
      </x:c>
      <x:c r="B13" s="45"/>
      <x:c r="C13" s="45"/>
      <x:c r="D13" s="45"/>
      <x:c r="E13" s="45"/>
      <x:c r="F13" s="45"/>
      <x:c r="G13" s="45"/>
      <x:c r="H13" s="45"/>
    </x:row>
    <x:row r="14" ht="23" customHeight="1">
      <x:c r="A14" s="45"/>
      <x:c r="B14" s="45"/>
      <x:c r="C14" s="45"/>
      <x:c r="D14" s="45"/>
      <x:c r="E14" s="45"/>
      <x:c r="F14" s="45"/>
      <x:c r="G14" s="45"/>
      <x:c r="H14" s="45"/>
    </x:row>
    <x:row r="15" ht="23" customHeight="1">
      <x:c r="A15" s="45" t="str">
        <x:v>Edita Región, DM, Tienda y Estatus en Ubicaciones.</x:v>
      </x:c>
      <x:c r="B15" s="45"/>
      <x:c r="C15" s="45"/>
      <x:c r="D15" s="45"/>
      <x:c r="E15" s="45"/>
      <x:c r="F15" s="45"/>
      <x:c r="G15" s="45"/>
      <x:c r="H15" s="45"/>
    </x:row>
    <x:row r="16" ht="23" customHeight="1">
      <x:c r="A16" s="45"/>
      <x:c r="B16" s="45"/>
      <x:c r="C16" s="45"/>
      <x:c r="D16" s="45"/>
      <x:c r="E16" s="45"/>
      <x:c r="F16" s="45"/>
      <x:c r="G16" s="45"/>
      <x:c r="H16" s="45"/>
    </x:row>
    <x:row r="17" ht="23" customHeight="1">
      <x:c r="A17" s="45" t="str">
        <x:v>Región y DM tienen listas desplegables. Catalogos registra las combinaciones válidas.</x:v>
      </x:c>
      <x:c r="B17" s="45"/>
      <x:c r="C17" s="45"/>
      <x:c r="D17" s="45"/>
      <x:c r="E17" s="45"/>
      <x:c r="F17" s="45"/>
      <x:c r="G17" s="45"/>
      <x:c r="H17" s="45"/>
    </x:row>
    <x:row r="18" ht="23" customHeight="1">
      <x:c r="A18" s="45"/>
      <x:c r="B18" s="45"/>
      <x:c r="C18" s="45"/>
      <x:c r="D18" s="45"/>
      <x:c r="E18" s="45"/>
      <x:c r="F18" s="45"/>
      <x:c r="G18" s="45"/>
      <x:c r="H18" s="45"/>
    </x:row>
    <x:row r="19" ht="23" customHeight="1">
      <x:c r="A19" s="45" t="str">
        <x:v>Solo Abierta y Activa Sí participan en los conteos y el mapa.</x:v>
      </x:c>
      <x:c r="B19" s="45"/>
      <x:c r="C19" s="45"/>
      <x:c r="D19" s="45"/>
      <x:c r="E19" s="45"/>
      <x:c r="F19" s="45"/>
      <x:c r="G19" s="45"/>
      <x:c r="H19" s="45"/>
    </x:row>
    <x:row r="20" ht="23" customHeight="1">
      <x:c r="A20" s="45"/>
      <x:c r="B20" s="45"/>
      <x:c r="C20" s="45"/>
      <x:c r="D20" s="45"/>
      <x:c r="E20" s="45"/>
      <x:c r="F20" s="45"/>
      <x:c r="G20" s="45"/>
      <x:c r="H20" s="45"/>
    </x:row>
    <x:row r="21" ht="23" customHeight="1">
      <x:c r="A21" s="45" t="str">
        <x:v>Se conserva Cierre Temporal de Ops en los ocho casos que difieren de Alsea.</x:v>
      </x:c>
      <x:c r="B21" s="45"/>
      <x:c r="C21" s="45"/>
      <x:c r="D21" s="45"/>
      <x:c r="E21" s="45"/>
      <x:c r="F21" s="45"/>
      <x:c r="G21" s="45"/>
      <x:c r="H21" s="45"/>
    </x:row>
    <x:row r="22" ht="23" customHeight="1">
      <x:c r="A22" s="45"/>
      <x:c r="B22" s="45"/>
      <x:c r="C22" s="45"/>
      <x:c r="D22" s="45"/>
      <x:c r="E22" s="45"/>
      <x:c r="F22" s="45"/>
      <x:c r="G22" s="45"/>
      <x:c r="H22" s="45"/>
    </x:row>
    <x:row r="23" ht="23" customHeight="1">
      <x:c r="A23" s="45" t="str">
        <x:v>El mismo CMS alimenta el mapa, el directorio y los archivos derivados.</x:v>
      </x:c>
      <x:c r="B23" s="45"/>
      <x:c r="C23" s="45"/>
      <x:c r="D23" s="45"/>
      <x:c r="E23" s="45"/>
      <x:c r="F23" s="45"/>
      <x:c r="G23" s="45"/>
      <x:c r="H23" s="45"/>
    </x:row>
    <x:row r="24" ht="23" customHeight="1">
      <x:c r="A24" s="45"/>
      <x:c r="B24" s="45"/>
      <x:c r="C24" s="45"/>
      <x:c r="D24" s="45"/>
      <x:c r="E24" s="45"/>
      <x:c r="F24" s="45"/>
      <x:c r="G24" s="45"/>
      <x:c r="H24" s="45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006241"/>
  </x:sheetPr>
  <x:sheetViews>
    <x:sheetView showGridLines="0" workbookViewId="0">
      <x:pane xSplit="4" ySplit="1" topLeftCell="E2" activePane="bottomRight" state="frozen"/>
    </x:sheetView>
  </x:sheetViews>
  <x:sheetFormatPr baseColWidth="10" defaultColWidth="8.6640625" defaultRowHeight="14"/>
  <x:cols>
    <x:col min="1" max="1" width="19" hidden="0" customWidth="1"/>
    <x:col min="2" max="2" width="32" hidden="0" customWidth="1"/>
    <x:col min="3" max="3" width="10" hidden="0" customWidth="1"/>
    <x:col min="4" max="4" width="39" hidden="0" customWidth="1"/>
    <x:col min="5" max="5" width="21" hidden="0" customWidth="1"/>
    <x:col min="6" max="6" width="16" hidden="0" customWidth="1"/>
    <x:col min="7" max="7" width="28" hidden="0" customWidth="1"/>
    <x:col min="8" max="8" width="23" hidden="0" customWidth="1"/>
    <x:col min="9" max="9" width="16" hidden="0" customWidth="1"/>
    <x:col min="10" max="10" width="16" hidden="0" customWidth="1"/>
    <x:col min="11" max="11" width="19" hidden="0" customWidth="1"/>
    <x:col min="12" max="12" width="24" hidden="0" customWidth="1"/>
    <x:col min="13" max="13" width="10" hidden="0" customWidth="1"/>
    <x:col min="14" max="14" width="10" hidden="0" customWidth="1"/>
    <x:col min="15" max="15" width="37" hidden="0" customWidth="1"/>
    <x:col min="16" max="16" width="45" hidden="0" customWidth="1"/>
    <x:col min="17" max="17" width="32" hidden="0" customWidth="1"/>
    <x:col min="18" max="18" width="21" hidden="0" customWidth="1"/>
    <x:col min="19" max="19" width="69" hidden="0" customWidth="1"/>
    <x:col min="20" max="20" width="12" hidden="0" customWidth="1"/>
  </x:cols>
  <x:sheetData>
    <x:row r="1" ht="34" customHeight="1">
      <x:c r="A1" s="84" t="str">
        <x:v>Región</x:v>
      </x:c>
      <x:c r="B1" s="84" t="str">
        <x:v>DM</x:v>
      </x:c>
      <x:c r="C1" s="84" t="str">
        <x:v>CC</x:v>
      </x:c>
      <x:c r="D1" s="84" t="str">
        <x:v>Nombre Tienda</x:v>
      </x:c>
      <x:c r="E1" s="84" t="str">
        <x:v>Estatus</x:v>
      </x:c>
      <x:c r="F1" s="84" t="str">
        <x:v>Fecha Apertura</x:v>
      </x:c>
      <x:c r="G1" s="84" t="str">
        <x:v>Municipio</x:v>
      </x:c>
      <x:c r="H1" s="84" t="str">
        <x:v>Cobertura</x:v>
      </x:c>
      <x:c r="I1" s="84" t="str">
        <x:v>Latitud</x:v>
      </x:c>
      <x:c r="J1" s="84" t="str">
        <x:v>Longitud</x:v>
      </x:c>
      <x:c r="K1" s="84" t="str">
        <x:v>Formato</x:v>
      </x:c>
      <x:c r="L1" s="84" t="str">
        <x:v>Formato Comercial</x:v>
      </x:c>
      <x:c r="M1" s="84" t="str">
        <x:v>Tier</x:v>
      </x:c>
      <x:c r="N1" s="84" t="str">
        <x:v>Activa</x:v>
      </x:c>
      <x:c r="O1" s="84" t="str">
        <x:v>DM Directorio</x:v>
      </x:c>
      <x:c r="P1" s="84" t="str">
        <x:v>Fuente Región DM</x:v>
      </x:c>
      <x:c r="Q1" s="84" t="str">
        <x:v>Fuente Coordenadas</x:v>
      </x:c>
      <x:c r="R1" s="84" t="str">
        <x:v>Estatus Alsea</x:v>
      </x:c>
      <x:c r="S1" s="84" t="str">
        <x:v>Observaciones</x:v>
      </x:c>
      <x:c r="T1" s="84" t="str">
        <x:v>En mapa</x:v>
      </x:c>
    </x:row>
    <x:row r="2" ht="23" customHeight="1">
      <x:c r="A2" s="45" t="str">
        <x:v>Centro Norte</x:v>
      </x:c>
      <x:c r="B2" s="45" t="str">
        <x:v>Enrique César</x:v>
      </x:c>
      <x:c r="C2" s="50" t="str">
        <x:v>38333</x:v>
      </x:c>
      <x:c r="D2" s="45" t="str">
        <x:v>Izcalli Mega</x:v>
      </x:c>
      <x:c r="E2" s="45" t="str">
        <x:v>Abierta</x:v>
      </x:c>
      <x:c r="F2" s="51" t="d">
        <x:v>2008-08-28T00:00:00.000Z</x:v>
      </x:c>
      <x:c r="G2" s="45" t="str">
        <x:v>Cuatitlan Izcalli</x:v>
      </x:c>
      <x:c r="H2" s="45" t="str">
        <x:v>Estado De México</x:v>
      </x:c>
      <x:c r="I2" s="52" t="n">
        <x:v>19.64697761</x:v>
      </x:c>
      <x:c r="J2" s="52" t="n">
        <x:v>-99.2071519</x:v>
      </x:c>
      <x:c r="K2" s="45" t="str">
        <x:v>Cafe</x:v>
      </x:c>
      <x:c r="L2" s="45" t="str">
        <x:v>Retail</x:v>
      </x:c>
      <x:c r="M2" s="45" t="str">
        <x:v>C2</x:v>
      </x:c>
      <x:c r="N2" s="45" t="str">
        <x:v>Sí</x:v>
      </x:c>
      <x:c r="O2" s="45" t="str">
        <x:v>Enrique Cesar Flores</x:v>
      </x:c>
      <x:c r="P2" s="45" t="str">
        <x:v>Ops y Directorio Alsea · octubre 2026</x:v>
      </x:c>
      <x:c r="Q2" s="45" t="str">
        <x:v>CMS anterior</x:v>
      </x:c>
      <x:c r="R2" s="45" t="str">
        <x:v>Abierta</x:v>
      </x:c>
      <x:c r="S2" s="45" t="str"/>
      <x:c r="T2" s="45" t="n">
        <x:f>IF(AND(E2="Abierta",N2="Sí",ISNUMBER(I2),ISNUMBER(J2),ABS(I2)&lt;=90,ABS(J2)&lt;=180),1,0)</x:f>
        <x:v>1</x:v>
      </x:c>
    </x:row>
    <x:row r="3" ht="23" customHeight="1">
      <x:c r="A3" s="45" t="str">
        <x:v>Centro Norte</x:v>
      </x:c>
      <x:c r="B3" s="45" t="str">
        <x:v>Enrique César</x:v>
      </x:c>
      <x:c r="C3" s="50" t="str">
        <x:v>38339</x:v>
      </x:c>
      <x:c r="D3" s="45" t="str">
        <x:v>San Marcos</x:v>
      </x:c>
      <x:c r="E3" s="45" t="str">
        <x:v>Abierta</x:v>
      </x:c>
      <x:c r="F3" s="51" t="d">
        <x:v>2008-09-27T00:00:00.000Z</x:v>
      </x:c>
      <x:c r="G3" s="45" t="str">
        <x:v>Cuatitlan Izcalli</x:v>
      </x:c>
      <x:c r="H3" s="45" t="str">
        <x:v>Estado De México</x:v>
      </x:c>
      <x:c r="I3" s="52" t="n">
        <x:v>19.67090726</x:v>
      </x:c>
      <x:c r="J3" s="52" t="n">
        <x:v>-99.20315596</x:v>
      </x:c>
      <x:c r="K3" s="45" t="str">
        <x:v>Cafe</x:v>
      </x:c>
      <x:c r="L3" s="45" t="str">
        <x:v>Retail</x:v>
      </x:c>
      <x:c r="M3" s="45" t="str">
        <x:v>C2</x:v>
      </x:c>
      <x:c r="N3" s="45" t="str">
        <x:v>Sí</x:v>
      </x:c>
      <x:c r="O3" s="45" t="str">
        <x:v>Enrique Cesar Flores</x:v>
      </x:c>
      <x:c r="P3" s="45" t="str">
        <x:v>Ops y Directorio Alsea · octubre 2026</x:v>
      </x:c>
      <x:c r="Q3" s="45" t="str">
        <x:v>CMS anterior</x:v>
      </x:c>
      <x:c r="R3" s="45" t="str">
        <x:v>Abierta</x:v>
      </x:c>
      <x:c r="S3" s="45" t="str"/>
      <x:c r="T3" s="45" t="n">
        <x:f>IF(AND(E3="Abierta",N3="Sí",ISNUMBER(I3),ISNUMBER(J3),ABS(I3)&lt;=90,ABS(J3)&lt;=180),1,0)</x:f>
        <x:v>1</x:v>
      </x:c>
    </x:row>
    <x:row r="4" ht="23" customHeight="1">
      <x:c r="A4" s="45" t="str">
        <x:v>Centro Norte</x:v>
      </x:c>
      <x:c r="B4" s="45" t="str">
        <x:v>Enrique César</x:v>
      </x:c>
      <x:c r="C4" s="50" t="str">
        <x:v>38368</x:v>
      </x:c>
      <x:c r="D4" s="45" t="str">
        <x:v>Luna Park</x:v>
      </x:c>
      <x:c r="E4" s="45" t="str">
        <x:v>Abierta</x:v>
      </x:c>
      <x:c r="F4" s="51" t="d">
        <x:v>2009-11-28T00:00:00.000Z</x:v>
      </x:c>
      <x:c r="G4" s="45" t="str">
        <x:v>Cuatitlan Izcalli</x:v>
      </x:c>
      <x:c r="H4" s="45" t="str">
        <x:v>Estado De México</x:v>
      </x:c>
      <x:c r="I4" s="52" t="n">
        <x:v>19.65740984</x:v>
      </x:c>
      <x:c r="J4" s="52" t="n">
        <x:v>-99.21026354</x:v>
      </x:c>
      <x:c r="K4" s="45" t="str">
        <x:v>Kiosko</x:v>
      </x:c>
      <x:c r="L4" s="45" t="str">
        <x:v>Retail</x:v>
      </x:c>
      <x:c r="M4" s="45" t="str">
        <x:v>C2</x:v>
      </x:c>
      <x:c r="N4" s="45" t="str">
        <x:v>Sí</x:v>
      </x:c>
      <x:c r="O4" s="45" t="str">
        <x:v>Enrique Cesar Flores</x:v>
      </x:c>
      <x:c r="P4" s="45" t="str">
        <x:v>Ops y Directorio Alsea · octubre 2026</x:v>
      </x:c>
      <x:c r="Q4" s="45" t="str">
        <x:v>CMS anterior</x:v>
      </x:c>
      <x:c r="R4" s="45" t="str">
        <x:v>Abierta</x:v>
      </x:c>
      <x:c r="S4" s="45" t="str"/>
      <x:c r="T4" s="45" t="n">
        <x:f>IF(AND(E4="Abierta",N4="Sí",ISNUMBER(I4),ISNUMBER(J4),ABS(I4)&lt;=90,ABS(J4)&lt;=180),1,0)</x:f>
        <x:v>1</x:v>
      </x:c>
    </x:row>
    <x:row r="5" ht="23" customHeight="1">
      <x:c r="A5" s="45" t="str">
        <x:v>Centro Norte</x:v>
      </x:c>
      <x:c r="B5" s="45" t="str">
        <x:v>Enrique César</x:v>
      </x:c>
      <x:c r="C5" s="50" t="str">
        <x:v>38401</x:v>
      </x:c>
      <x:c r="D5" s="45" t="str">
        <x:v>Coacalco</x:v>
      </x:c>
      <x:c r="E5" s="45" t="str">
        <x:v>Abierta</x:v>
      </x:c>
      <x:c r="F5" s="51" t="d">
        <x:v>2010-12-16T00:00:00.000Z</x:v>
      </x:c>
      <x:c r="G5" s="45" t="str">
        <x:v>Coacalco De Berriozábal</x:v>
      </x:c>
      <x:c r="H5" s="45" t="str">
        <x:v>Estado De México</x:v>
      </x:c>
      <x:c r="I5" s="52" t="n">
        <x:v>19.62872675</x:v>
      </x:c>
      <x:c r="J5" s="52" t="n">
        <x:v>-99.12410376</x:v>
      </x:c>
      <x:c r="K5" s="45" t="str">
        <x:v>Cafe</x:v>
      </x:c>
      <x:c r="L5" s="45" t="str">
        <x:v>Retail</x:v>
      </x:c>
      <x:c r="M5" s="45" t="str">
        <x:v>C2</x:v>
      </x:c>
      <x:c r="N5" s="45" t="str">
        <x:v>Sí</x:v>
      </x:c>
      <x:c r="O5" s="45" t="str">
        <x:v>Enrique Cesar Flores</x:v>
      </x:c>
      <x:c r="P5" s="45" t="str">
        <x:v>Ops y Directorio Alsea · octubre 2026</x:v>
      </x:c>
      <x:c r="Q5" s="45" t="str">
        <x:v>CMS anterior</x:v>
      </x:c>
      <x:c r="R5" s="45" t="str">
        <x:v>Abierta</x:v>
      </x:c>
      <x:c r="S5" s="45" t="str"/>
      <x:c r="T5" s="45" t="n">
        <x:f>IF(AND(E5="Abierta",N5="Sí",ISNUMBER(I5),ISNUMBER(J5),ABS(I5)&lt;=90,ABS(J5)&lt;=180),1,0)</x:f>
        <x:v>1</x:v>
      </x:c>
    </x:row>
    <x:row r="6" ht="23" customHeight="1">
      <x:c r="A6" s="45" t="str">
        <x:v>Centro Norte</x:v>
      </x:c>
      <x:c r="B6" s="45" t="str">
        <x:v>Enrique César</x:v>
      </x:c>
      <x:c r="C6" s="50" t="str">
        <x:v>38456</x:v>
      </x:c>
      <x:c r="D6" s="45" t="str">
        <x:v>Plaza las Flores</x:v>
      </x:c>
      <x:c r="E6" s="45" t="str">
        <x:v>Abierta</x:v>
      </x:c>
      <x:c r="F6" s="51" t="d">
        <x:v>2012-06-21T00:00:00.000Z</x:v>
      </x:c>
      <x:c r="G6" s="45" t="str">
        <x:v>Coacalco De Berriozábal</x:v>
      </x:c>
      <x:c r="H6" s="45" t="str">
        <x:v>Estado De México</x:v>
      </x:c>
      <x:c r="I6" s="52" t="n">
        <x:v>19.63640228</x:v>
      </x:c>
      <x:c r="J6" s="52" t="n">
        <x:v>-99.09608839</x:v>
      </x:c>
      <x:c r="K6" s="45" t="str">
        <x:v>Kiosko</x:v>
      </x:c>
      <x:c r="L6" s="45" t="str">
        <x:v>Retail</x:v>
      </x:c>
      <x:c r="M6" s="45" t="str">
        <x:v>C2</x:v>
      </x:c>
      <x:c r="N6" s="45" t="str">
        <x:v>Sí</x:v>
      </x:c>
      <x:c r="O6" s="45" t="str">
        <x:v>Enrique Cesar Flores</x:v>
      </x:c>
      <x:c r="P6" s="45" t="str">
        <x:v>Ops y Directorio Alsea · octubre 2026</x:v>
      </x:c>
      <x:c r="Q6" s="45" t="str">
        <x:v>CMS anterior</x:v>
      </x:c>
      <x:c r="R6" s="45" t="str">
        <x:v>Abierta</x:v>
      </x:c>
      <x:c r="S6" s="45" t="str"/>
      <x:c r="T6" s="45" t="n">
        <x:f>IF(AND(E6="Abierta",N6="Sí",ISNUMBER(I6),ISNUMBER(J6),ABS(I6)&lt;=90,ABS(J6)&lt;=180),1,0)</x:f>
        <x:v>1</x:v>
      </x:c>
    </x:row>
    <x:row r="7" ht="23" customHeight="1">
      <x:c r="A7" s="45" t="str">
        <x:v>Centro Norte</x:v>
      </x:c>
      <x:c r="B7" s="45" t="str">
        <x:v>Enrique César</x:v>
      </x:c>
      <x:c r="C7" s="50" t="str">
        <x:v>38515</x:v>
      </x:c>
      <x:c r="D7" s="45" t="str">
        <x:v>Patio Ecatepec</x:v>
      </x:c>
      <x:c r="E7" s="45" t="str">
        <x:v>Abierta</x:v>
      </x:c>
      <x:c r="F7" s="51" t="d">
        <x:v>2013-09-27T00:00:00.000Z</x:v>
      </x:c>
      <x:c r="G7" s="45" t="str">
        <x:v>Ecatepec De Morelos</x:v>
      </x:c>
      <x:c r="H7" s="45" t="str">
        <x:v>Estado De México</x:v>
      </x:c>
      <x:c r="I7" s="52" t="n">
        <x:v>19.60630467</x:v>
      </x:c>
      <x:c r="J7" s="52" t="n">
        <x:v>-99.04596739</x:v>
      </x:c>
      <x:c r="K7" s="45" t="str">
        <x:v>Cafe</x:v>
      </x:c>
      <x:c r="L7" s="45" t="str">
        <x:v>Retail</x:v>
      </x:c>
      <x:c r="M7" s="45" t="str">
        <x:v>C2</x:v>
      </x:c>
      <x:c r="N7" s="45" t="str">
        <x:v>Sí</x:v>
      </x:c>
      <x:c r="O7" s="45" t="str">
        <x:v>Enrique Cesar Flores</x:v>
      </x:c>
      <x:c r="P7" s="45" t="str">
        <x:v>Ops y Directorio Alsea · octubre 2026</x:v>
      </x:c>
      <x:c r="Q7" s="45" t="str">
        <x:v>CMS anterior</x:v>
      </x:c>
      <x:c r="R7" s="45" t="str">
        <x:v>Abierta</x:v>
      </x:c>
      <x:c r="S7" s="45" t="str"/>
      <x:c r="T7" s="45" t="n">
        <x:f>IF(AND(E7="Abierta",N7="Sí",ISNUMBER(I7),ISNUMBER(J7),ABS(I7)&lt;=90,ABS(J7)&lt;=180),1,0)</x:f>
        <x:v>1</x:v>
      </x:c>
    </x:row>
    <x:row r="8" ht="23" customHeight="1">
      <x:c r="A8" s="45" t="str">
        <x:v>Centro Norte</x:v>
      </x:c>
      <x:c r="B8" s="45" t="str">
        <x:v>Enrique César</x:v>
      </x:c>
      <x:c r="C8" s="50" t="str">
        <x:v>38604</x:v>
      </x:c>
      <x:c r="D8" s="45" t="str">
        <x:v>Cosmopol</x:v>
      </x:c>
      <x:c r="E8" s="45" t="str">
        <x:v>Abierta</x:v>
      </x:c>
      <x:c r="F8" s="51" t="d">
        <x:v>2015-09-10T00:00:00.000Z</x:v>
      </x:c>
      <x:c r="G8" s="45" t="str">
        <x:v>Coacalco De Berriozábal</x:v>
      </x:c>
      <x:c r="H8" s="45" t="str">
        <x:v>Estado De México</x:v>
      </x:c>
      <x:c r="I8" s="52" t="n">
        <x:v>19.63205575</x:v>
      </x:c>
      <x:c r="J8" s="52" t="n">
        <x:v>-99.1257806</x:v>
      </x:c>
      <x:c r="K8" s="45" t="str">
        <x:v>Kiosko</x:v>
      </x:c>
      <x:c r="L8" s="45" t="str">
        <x:v>Retail</x:v>
      </x:c>
      <x:c r="M8" s="45" t="str">
        <x:v>C1</x:v>
      </x:c>
      <x:c r="N8" s="45" t="str">
        <x:v>Sí</x:v>
      </x:c>
      <x:c r="O8" s="45" t="str">
        <x:v>Enrique Cesar Flores</x:v>
      </x:c>
      <x:c r="P8" s="45" t="str">
        <x:v>Ops y Directorio Alsea · octubre 2026</x:v>
      </x:c>
      <x:c r="Q8" s="45" t="str">
        <x:v>CMS anterior</x:v>
      </x:c>
      <x:c r="R8" s="45" t="str">
        <x:v>Abierta</x:v>
      </x:c>
      <x:c r="S8" s="45" t="str"/>
      <x:c r="T8" s="45" t="n">
        <x:f>IF(AND(E8="Abierta",N8="Sí",ISNUMBER(I8),ISNUMBER(J8),ABS(I8)&lt;=90,ABS(J8)&lt;=180),1,0)</x:f>
        <x:v>1</x:v>
      </x:c>
    </x:row>
    <x:row r="9" ht="23" customHeight="1">
      <x:c r="A9" s="45" t="str">
        <x:v>Centro Norte</x:v>
      </x:c>
      <x:c r="B9" s="45" t="str">
        <x:v>Enrique César</x:v>
      </x:c>
      <x:c r="C9" s="50" t="str">
        <x:v>38862</x:v>
      </x:c>
      <x:c r="D9" s="45" t="str">
        <x:v>San Miguel Izcalli</x:v>
      </x:c>
      <x:c r="E9" s="45" t="str">
        <x:v>Abierta</x:v>
      </x:c>
      <x:c r="F9" s="51" t="d">
        <x:v>2019-03-06T00:00:00.000Z</x:v>
      </x:c>
      <x:c r="G9" s="45" t="str">
        <x:v>Cuatitlan Izcalli</x:v>
      </x:c>
      <x:c r="H9" s="45" t="str">
        <x:v>Estado De México</x:v>
      </x:c>
      <x:c r="I9" s="52" t="n">
        <x:v>19.68836685</x:v>
      </x:c>
      <x:c r="J9" s="52" t="n">
        <x:v>-99.21400636</x:v>
      </x:c>
      <x:c r="K9" s="45" t="str">
        <x:v>Cafe</x:v>
      </x:c>
      <x:c r="L9" s="45" t="str">
        <x:v>Retail</x:v>
      </x:c>
      <x:c r="M9" s="45" t="str">
        <x:v>C2</x:v>
      </x:c>
      <x:c r="N9" s="45" t="str">
        <x:v>Sí</x:v>
      </x:c>
      <x:c r="O9" s="45" t="str">
        <x:v>Enrique Cesar Flores</x:v>
      </x:c>
      <x:c r="P9" s="45" t="str">
        <x:v>Ops y Directorio Alsea · octubre 2026</x:v>
      </x:c>
      <x:c r="Q9" s="45" t="str">
        <x:v>CMS anterior</x:v>
      </x:c>
      <x:c r="R9" s="45" t="str">
        <x:v>Abierta</x:v>
      </x:c>
      <x:c r="S9" s="45" t="str"/>
      <x:c r="T9" s="45" t="n">
        <x:f>IF(AND(E9="Abierta",N9="Sí",ISNUMBER(I9),ISNUMBER(J9),ABS(I9)&lt;=90,ABS(J9)&lt;=180),1,0)</x:f>
        <x:v>1</x:v>
      </x:c>
    </x:row>
    <x:row r="10" ht="23" customHeight="1">
      <x:c r="A10" s="45" t="str">
        <x:v>Centro Norte</x:v>
      </x:c>
      <x:c r="B10" s="45" t="str">
        <x:v>Enrique César</x:v>
      </x:c>
      <x:c r="C10" s="50" t="str">
        <x:v>38894</x:v>
      </x:c>
      <x:c r="D10" s="45" t="str">
        <x:v>Galerias Perinorte</x:v>
      </x:c>
      <x:c r="E10" s="45" t="str">
        <x:v>Abierta</x:v>
      </x:c>
      <x:c r="F10" s="51" t="d">
        <x:v>2020-12-17T00:00:00.000Z</x:v>
      </x:c>
      <x:c r="G10" s="45" t="str">
        <x:v>Cuatitlan Izcalli</x:v>
      </x:c>
      <x:c r="H10" s="45" t="str">
        <x:v>Estado De México</x:v>
      </x:c>
      <x:c r="I10" s="52" t="n">
        <x:v>19.60223727</x:v>
      </x:c>
      <x:c r="J10" s="52" t="n">
        <x:v>-99.1909696</x:v>
      </x:c>
      <x:c r="K10" s="45" t="str">
        <x:v>Cafe</x:v>
      </x:c>
      <x:c r="L10" s="45" t="str">
        <x:v>Retail</x:v>
      </x:c>
      <x:c r="M10" s="45" t="str">
        <x:v>C1</x:v>
      </x:c>
      <x:c r="N10" s="45" t="str">
        <x:v>Sí</x:v>
      </x:c>
      <x:c r="O10" s="45" t="str">
        <x:v>Enrique Cesar Flores</x:v>
      </x:c>
      <x:c r="P10" s="45" t="str">
        <x:v>Ops y Directorio Alsea · octubre 2026</x:v>
      </x:c>
      <x:c r="Q10" s="45" t="str">
        <x:v>CMS anterior</x:v>
      </x:c>
      <x:c r="R10" s="45" t="str">
        <x:v>Abierta</x:v>
      </x:c>
      <x:c r="S10" s="45" t="str"/>
      <x:c r="T10" s="45" t="n">
        <x:f>IF(AND(E10="Abierta",N10="Sí",ISNUMBER(I10),ISNUMBER(J10),ABS(I10)&lt;=90,ABS(J10)&lt;=180),1,0)</x:f>
        <x:v>1</x:v>
      </x:c>
    </x:row>
    <x:row r="11" ht="23" customHeight="1">
      <x:c r="A11" s="45" t="str">
        <x:v>Centro Norte</x:v>
      </x:c>
      <x:c r="B11" s="45" t="str">
        <x:v>Enrique César</x:v>
      </x:c>
      <x:c r="C11" s="50" t="str">
        <x:v>43193</x:v>
      </x:c>
      <x:c r="D11" s="45" t="str">
        <x:v>Cosmopol N1</x:v>
      </x:c>
      <x:c r="E11" s="45" t="str">
        <x:v>Abierta</x:v>
      </x:c>
      <x:c r="F11" s="51" t="d">
        <x:v>2025-12-16T00:00:00.000Z</x:v>
      </x:c>
      <x:c r="G11" s="45" t="str">
        <x:v>Coacalco De Berriozábal</x:v>
      </x:c>
      <x:c r="H11" s="45" t="str">
        <x:v>Estado De México</x:v>
      </x:c>
      <x:c r="I11" s="52" t="n">
        <x:v>19.63207203</x:v>
      </x:c>
      <x:c r="J11" s="52" t="n">
        <x:v>-99.12441873</x:v>
      </x:c>
      <x:c r="K11" s="45" t="str">
        <x:v>Kiosko</x:v>
      </x:c>
      <x:c r="L11" s="45" t="str">
        <x:v>Retail</x:v>
      </x:c>
      <x:c r="M11" s="45" t="str">
        <x:v>C1</x:v>
      </x:c>
      <x:c r="N11" s="45" t="str">
        <x:v>Sí</x:v>
      </x:c>
      <x:c r="O11" s="45" t="str">
        <x:v>Enrique Cesar Flores</x:v>
      </x:c>
      <x:c r="P11" s="45" t="str">
        <x:v>Ops y Directorio Alsea · octubre 2026</x:v>
      </x:c>
      <x:c r="Q11" s="45" t="str">
        <x:v>CMS anterior</x:v>
      </x:c>
      <x:c r="R11" s="45" t="str">
        <x:v>Abierta</x:v>
      </x:c>
      <x:c r="S11" s="45" t="str"/>
      <x:c r="T11" s="45" t="n">
        <x:f>IF(AND(E11="Abierta",N11="Sí",ISNUMBER(I11),ISNUMBER(J11),ABS(I11)&lt;=90,ABS(J11)&lt;=180),1,0)</x:f>
        <x:v>1</x:v>
      </x:c>
    </x:row>
    <x:row r="12" ht="23" customHeight="1">
      <x:c r="A12" s="45" t="str">
        <x:v>Centro Norte</x:v>
      </x:c>
      <x:c r="B12" s="45" t="str">
        <x:v>Enrique César</x:v>
      </x:c>
      <x:c r="C12" s="50" t="str">
        <x:v>43300</x:v>
      </x:c>
      <x:c r="D12" s="45" t="str">
        <x:v>GasoSur Dt</x:v>
      </x:c>
      <x:c r="E12" s="45" t="str">
        <x:v>Próxima Apertura</x:v>
      </x:c>
      <x:c r="F12" s="51"/>
      <x:c r="G12" s="45" t="str">
        <x:v>Tepotzotlan</x:v>
      </x:c>
      <x:c r="H12" s="45" t="str">
        <x:v>Estado De México</x:v>
      </x:c>
      <x:c r="I12" s="52" t="n">
        <x:v>19.7401032831063</x:v>
      </x:c>
      <x:c r="J12" s="52" t="n">
        <x:v>-99.2113318432939</x:v>
      </x:c>
      <x:c r="K12" s="45" t="str">
        <x:v>Drive_Thru</x:v>
      </x:c>
      <x:c r="L12" s="45" t="str">
        <x:v>Freeway</x:v>
      </x:c>
      <x:c r="M12" s="45" t="str">
        <x:v>C2</x:v>
      </x:c>
      <x:c r="N12" s="45" t="str">
        <x:v>Sí</x:v>
      </x:c>
      <x:c r="O12" s="45" t="str">
        <x:v>Enrique César</x:v>
      </x:c>
      <x:c r="P12" s="45" t="str">
        <x:v>CMS anterior</x:v>
      </x:c>
      <x:c r="Q12" s="45" t="str">
        <x:v>CMS anterior</x:v>
      </x:c>
      <x:c r="R12" s="45" t="str"/>
      <x:c r="S12" s="45" t="str"/>
      <x:c r="T12" s="45" t="n">
        <x:f>IF(AND(E12="Abierta",N12="Sí",ISNUMBER(I12),ISNUMBER(J12),ABS(I12)&lt;=90,ABS(J12)&lt;=180),1,0)</x:f>
        <x:v>0</x:v>
      </x:c>
    </x:row>
    <x:row r="13" ht="23" customHeight="1">
      <x:c r="A13" s="45" t="str">
        <x:v>Centro Norte</x:v>
      </x:c>
      <x:c r="B13" s="45" t="str">
        <x:v>Enrique César</x:v>
      </x:c>
      <x:c r="C13" s="50" t="str">
        <x:v>43301</x:v>
      </x:c>
      <x:c r="D13" s="45" t="str">
        <x:v>Plaza Centella</x:v>
      </x:c>
      <x:c r="E13" s="45" t="str">
        <x:v>Próxima Apertura</x:v>
      </x:c>
      <x:c r="F13" s="51"/>
      <x:c r="G13" s="45" t="str">
        <x:v>Cuatitlan Izcalli</x:v>
      </x:c>
      <x:c r="H13" s="45" t="str">
        <x:v>Estado De México</x:v>
      </x:c>
      <x:c r="I13" s="52" t="n">
        <x:v>19.6787707418715</x:v>
      </x:c>
      <x:c r="J13" s="52" t="n">
        <x:v>-99.1490913531444</x:v>
      </x:c>
      <x:c r="K13" s="45" t="str">
        <x:v>Cafe</x:v>
      </x:c>
      <x:c r="L13" s="45" t="str">
        <x:v>Hypermarket</x:v>
      </x:c>
      <x:c r="M13" s="45" t="str">
        <x:v>C2</x:v>
      </x:c>
      <x:c r="N13" s="45" t="str">
        <x:v>Sí</x:v>
      </x:c>
      <x:c r="O13" s="45" t="str">
        <x:v>Enrique César</x:v>
      </x:c>
      <x:c r="P13" s="45" t="str">
        <x:v>CMS anterior</x:v>
      </x:c>
      <x:c r="Q13" s="45" t="str">
        <x:v>CMS anterior</x:v>
      </x:c>
      <x:c r="R13" s="45" t="str"/>
      <x:c r="S13" s="45" t="str"/>
      <x:c r="T13" s="45" t="n">
        <x:f>IF(AND(E13="Abierta",N13="Sí",ISNUMBER(I13),ISNUMBER(J13),ABS(I13)&lt;=90,ABS(J13)&lt;=180),1,0)</x:f>
        <x:v>0</x:v>
      </x:c>
    </x:row>
    <x:row r="14" ht="23" customHeight="1">
      <x:c r="A14" s="45" t="str">
        <x:v>Centro Norte</x:v>
      </x:c>
      <x:c r="B14" s="45" t="str">
        <x:v>Nancy Rodríguez</x:v>
      </x:c>
      <x:c r="C14" s="50" t="str">
        <x:v>38136</x:v>
      </x:c>
      <x:c r="D14" s="45" t="str">
        <x:v>Punta Norte</x:v>
      </x:c>
      <x:c r="E14" s="45" t="str">
        <x:v>Abierta</x:v>
      </x:c>
      <x:c r="F14" s="51" t="d">
        <x:v>2004-12-09T00:00:00.000Z</x:v>
      </x:c>
      <x:c r="G14" s="45" t="str">
        <x:v>Cuatitlan Izcalli</x:v>
      </x:c>
      <x:c r="H14" s="45" t="str">
        <x:v>Estado De México</x:v>
      </x:c>
      <x:c r="I14" s="52" t="n">
        <x:v>19.6023276</x:v>
      </x:c>
      <x:c r="J14" s="52" t="n">
        <x:v>-99.19151696</x:v>
      </x:c>
      <x:c r="K14" s="45" t="str">
        <x:v>Cafe</x:v>
      </x:c>
      <x:c r="L14" s="45" t="str">
        <x:v>Retail</x:v>
      </x:c>
      <x:c r="M14" s="45" t="str">
        <x:v>C2</x:v>
      </x:c>
      <x:c r="N14" s="45" t="str">
        <x:v>Sí</x:v>
      </x:c>
      <x:c r="O14" s="45" t="str">
        <x:v>Nancy Carolina Rodriguez Medina</x:v>
      </x:c>
      <x:c r="P14" s="45" t="str">
        <x:v>Ops y Directorio Alsea · octubre 2026</x:v>
      </x:c>
      <x:c r="Q14" s="45" t="str">
        <x:v>CMS anterior</x:v>
      </x:c>
      <x:c r="R14" s="45" t="str">
        <x:v>Abierta</x:v>
      </x:c>
      <x:c r="S14" s="45" t="str"/>
      <x:c r="T14" s="45" t="n">
        <x:f>IF(AND(E14="Abierta",N14="Sí",ISNUMBER(I14),ISNUMBER(J14),ABS(I14)&lt;=90,ABS(J14)&lt;=180),1,0)</x:f>
        <x:v>1</x:v>
      </x:c>
    </x:row>
    <x:row r="15" ht="23" customHeight="1">
      <x:c r="A15" s="45" t="str">
        <x:v>Centro Norte</x:v>
      </x:c>
      <x:c r="B15" s="45" t="str">
        <x:v>Nancy Rodríguez</x:v>
      </x:c>
      <x:c r="C15" s="50" t="str">
        <x:v>38186</x:v>
      </x:c>
      <x:c r="D15" s="45" t="str">
        <x:v>Arboledas</x:v>
      </x:c>
      <x:c r="E15" s="45" t="str">
        <x:v>Abierta</x:v>
      </x:c>
      <x:c r="F15" s="51" t="d">
        <x:v>2006-05-17T00:00:00.000Z</x:v>
      </x:c>
      <x:c r="G15" s="45" t="str">
        <x:v>Atizapan De Zaragoza</x:v>
      </x:c>
      <x:c r="H15" s="45" t="str">
        <x:v>Estado De México</x:v>
      </x:c>
      <x:c r="I15" s="52" t="n">
        <x:v>19.55995694</x:v>
      </x:c>
      <x:c r="J15" s="52" t="n">
        <x:v>-99.22014176</x:v>
      </x:c>
      <x:c r="K15" s="45" t="str">
        <x:v>Cafe</x:v>
      </x:c>
      <x:c r="L15" s="45" t="str">
        <x:v>Neighborhood</x:v>
      </x:c>
      <x:c r="M15" s="45" t="str">
        <x:v>C1</x:v>
      </x:c>
      <x:c r="N15" s="45" t="str">
        <x:v>Sí</x:v>
      </x:c>
      <x:c r="O15" s="45" t="str">
        <x:v>Nancy Carolina Rodriguez Medina</x:v>
      </x:c>
      <x:c r="P15" s="45" t="str">
        <x:v>Ops y Directorio Alsea · octubre 2026</x:v>
      </x:c>
      <x:c r="Q15" s="45" t="str">
        <x:v>CMS anterior</x:v>
      </x:c>
      <x:c r="R15" s="45" t="str">
        <x:v>Abierta</x:v>
      </x:c>
      <x:c r="S15" s="45" t="str"/>
      <x:c r="T15" s="45" t="n">
        <x:f>IF(AND(E15="Abierta",N15="Sí",ISNUMBER(I15),ISNUMBER(J15),ABS(I15)&lt;=90,ABS(J15)&lt;=180),1,0)</x:f>
        <x:v>1</x:v>
      </x:c>
    </x:row>
    <x:row r="16" ht="23" customHeight="1">
      <x:c r="A16" s="45" t="str">
        <x:v>Centro Norte</x:v>
      </x:c>
      <x:c r="B16" s="45" t="str">
        <x:v>Nancy Rodríguez</x:v>
      </x:c>
      <x:c r="C16" s="50" t="str">
        <x:v>38230</x:v>
      </x:c>
      <x:c r="D16" s="45" t="str">
        <x:v>ITEMS Edo de Mexico</x:v>
      </x:c>
      <x:c r="E16" s="45" t="str">
        <x:v>Abierta</x:v>
      </x:c>
      <x:c r="F16" s="51" t="d">
        <x:v>2007-05-07T00:00:00.000Z</x:v>
      </x:c>
      <x:c r="G16" s="45" t="str">
        <x:v>Atizapan De Zaragoza</x:v>
      </x:c>
      <x:c r="H16" s="45" t="str">
        <x:v>Estado De México</x:v>
      </x:c>
      <x:c r="I16" s="52" t="n">
        <x:v>19.59795983</x:v>
      </x:c>
      <x:c r="J16" s="52" t="n">
        <x:v>-99.22645569</x:v>
      </x:c>
      <x:c r="K16" s="45" t="str">
        <x:v>Cafe</x:v>
      </x:c>
      <x:c r="L16" s="45" t="str">
        <x:v>Institution</x:v>
      </x:c>
      <x:c r="M16" s="45" t="str">
        <x:v>C1</x:v>
      </x:c>
      <x:c r="N16" s="45" t="str">
        <x:v>Sí</x:v>
      </x:c>
      <x:c r="O16" s="45" t="str">
        <x:v>Nancy Carolina Rodriguez Medina</x:v>
      </x:c>
      <x:c r="P16" s="45" t="str">
        <x:v>Ops y Directorio Alsea · octubre 2026</x:v>
      </x:c>
      <x:c r="Q16" s="45" t="str">
        <x:v>CMS anterior</x:v>
      </x:c>
      <x:c r="R16" s="45" t="str">
        <x:v>Abierta</x:v>
      </x:c>
      <x:c r="S16" s="45" t="str"/>
      <x:c r="T16" s="45" t="n">
        <x:f>IF(AND(E16="Abierta",N16="Sí",ISNUMBER(I16),ISNUMBER(J16),ABS(I16)&lt;=90,ABS(J16)&lt;=180),1,0)</x:f>
        <x:v>1</x:v>
      </x:c>
    </x:row>
    <x:row r="17" ht="23" customHeight="1">
      <x:c r="A17" s="45" t="str">
        <x:v>Centro Norte</x:v>
      </x:c>
      <x:c r="B17" s="45" t="str">
        <x:v>Nancy Rodríguez</x:v>
      </x:c>
      <x:c r="C17" s="50" t="str">
        <x:v>38374</x:v>
      </x:c>
      <x:c r="D17" s="45" t="str">
        <x:v>Valle Dorado</x:v>
      </x:c>
      <x:c r="E17" s="45" t="str">
        <x:v>Abierta</x:v>
      </x:c>
      <x:c r="F17" s="51" t="d">
        <x:v>2010-03-28T00:00:00.000Z</x:v>
      </x:c>
      <x:c r="G17" s="45" t="str">
        <x:v>Tlalnepantla</x:v>
      </x:c>
      <x:c r="H17" s="45" t="str">
        <x:v>Estado De México</x:v>
      </x:c>
      <x:c r="I17" s="52" t="n">
        <x:v>19.54745096</x:v>
      </x:c>
      <x:c r="J17" s="52" t="n">
        <x:v>-99.21034463</x:v>
      </x:c>
      <x:c r="K17" s="45" t="str">
        <x:v>Cafe</x:v>
      </x:c>
      <x:c r="L17" s="45" t="str">
        <x:v>Retail</x:v>
      </x:c>
      <x:c r="M17" s="45" t="str">
        <x:v>C2</x:v>
      </x:c>
      <x:c r="N17" s="45" t="str">
        <x:v>Sí</x:v>
      </x:c>
      <x:c r="O17" s="45" t="str">
        <x:v>Nancy Carolina Rodriguez Medina</x:v>
      </x:c>
      <x:c r="P17" s="45" t="str">
        <x:v>Ops y Directorio Alsea · octubre 2026</x:v>
      </x:c>
      <x:c r="Q17" s="45" t="str">
        <x:v>CMS anterior</x:v>
      </x:c>
      <x:c r="R17" s="45" t="str">
        <x:v>Abierta</x:v>
      </x:c>
      <x:c r="S17" s="45" t="str"/>
      <x:c r="T17" s="45" t="n">
        <x:f>IF(AND(E17="Abierta",N17="Sí",ISNUMBER(I17),ISNUMBER(J17),ABS(I17)&lt;=90,ABS(J17)&lt;=180),1,0)</x:f>
        <x:v>1</x:v>
      </x:c>
    </x:row>
    <x:row r="18" ht="23" customHeight="1">
      <x:c r="A18" s="45" t="str">
        <x:v>Centro Norte</x:v>
      </x:c>
      <x:c r="B18" s="45" t="str">
        <x:v>Nancy Rodríguez</x:v>
      </x:c>
      <x:c r="C18" s="50" t="str">
        <x:v>38442</x:v>
      </x:c>
      <x:c r="D18" s="45" t="str">
        <x:v>Sor Juana</x:v>
      </x:c>
      <x:c r="E18" s="45" t="str">
        <x:v>Abierta</x:v>
      </x:c>
      <x:c r="F18" s="51" t="d">
        <x:v>2011-12-19T00:00:00.000Z</x:v>
      </x:c>
      <x:c r="G18" s="45" t="str">
        <x:v>Tlalnepantla</x:v>
      </x:c>
      <x:c r="H18" s="45" t="str">
        <x:v>Estado De México</x:v>
      </x:c>
      <x:c r="I18" s="52" t="n">
        <x:v>19.53858646</x:v>
      </x:c>
      <x:c r="J18" s="52" t="n">
        <x:v>-99.19931536</x:v>
      </x:c>
      <x:c r="K18" s="45" t="str">
        <x:v>Cafe</x:v>
      </x:c>
      <x:c r="L18" s="45" t="str">
        <x:v>Retail</x:v>
      </x:c>
      <x:c r="M18" s="45" t="str">
        <x:v>C2</x:v>
      </x:c>
      <x:c r="N18" s="45" t="str">
        <x:v>Sí</x:v>
      </x:c>
      <x:c r="O18" s="45" t="str">
        <x:v>Nancy Carolina Rodriguez Medina</x:v>
      </x:c>
      <x:c r="P18" s="45" t="str">
        <x:v>Ops y Directorio Alsea · octubre 2026</x:v>
      </x:c>
      <x:c r="Q18" s="45" t="str">
        <x:v>CMS anterior</x:v>
      </x:c>
      <x:c r="R18" s="45" t="str">
        <x:v>Abierta</x:v>
      </x:c>
      <x:c r="S18" s="45" t="str"/>
      <x:c r="T18" s="45" t="n">
        <x:f>IF(AND(E18="Abierta",N18="Sí",ISNUMBER(I18),ISNUMBER(J18),ABS(I18)&lt;=90,ABS(J18)&lt;=180),1,0)</x:f>
        <x:v>1</x:v>
      </x:c>
    </x:row>
    <x:row r="19" ht="23" customHeight="1">
      <x:c r="A19" s="45" t="str">
        <x:v>Centro Norte</x:v>
      </x:c>
      <x:c r="B19" s="45" t="str">
        <x:v>Nancy Rodríguez</x:v>
      </x:c>
      <x:c r="C19" s="50" t="str">
        <x:v>38460</x:v>
      </x:c>
      <x:c r="D19" s="45" t="str">
        <x:v>Santa Monica</x:v>
      </x:c>
      <x:c r="E19" s="45" t="str">
        <x:v>Abierta</x:v>
      </x:c>
      <x:c r="F19" s="51" t="d">
        <x:v>2012-08-23T00:00:00.000Z</x:v>
      </x:c>
      <x:c r="G19" s="45" t="str">
        <x:v>Tlalnepantla</x:v>
      </x:c>
      <x:c r="H19" s="45" t="str">
        <x:v>Estado De México</x:v>
      </x:c>
      <x:c r="I19" s="52" t="n">
        <x:v>19.52812104</x:v>
      </x:c>
      <x:c r="J19" s="52" t="n">
        <x:v>-99.22818709</x:v>
      </x:c>
      <x:c r="K19" s="45" t="str">
        <x:v>Cafe</x:v>
      </x:c>
      <x:c r="L19" s="45" t="str">
        <x:v>Neighborhood</x:v>
      </x:c>
      <x:c r="M19" s="45" t="str">
        <x:v>C2</x:v>
      </x:c>
      <x:c r="N19" s="45" t="str">
        <x:v>Sí</x:v>
      </x:c>
      <x:c r="O19" s="45" t="str">
        <x:v>Nancy Carolina Rodriguez Medina</x:v>
      </x:c>
      <x:c r="P19" s="45" t="str">
        <x:v>Ops y Directorio Alsea · octubre 2026</x:v>
      </x:c>
      <x:c r="Q19" s="45" t="str">
        <x:v>CMS anterior</x:v>
      </x:c>
      <x:c r="R19" s="45" t="str">
        <x:v>Abierta</x:v>
      </x:c>
      <x:c r="S19" s="45" t="str"/>
      <x:c r="T19" s="45" t="n">
        <x:f>IF(AND(E19="Abierta",N19="Sí",ISNUMBER(I19),ISNUMBER(J19),ABS(I19)&lt;=90,ABS(J19)&lt;=180),1,0)</x:f>
        <x:v>1</x:v>
      </x:c>
    </x:row>
    <x:row r="20" ht="23" customHeight="1">
      <x:c r="A20" s="45" t="str">
        <x:v>Centro Norte</x:v>
      </x:c>
      <x:c r="B20" s="45" t="str">
        <x:v>Nancy Rodríguez</x:v>
      </x:c>
      <x:c r="C20" s="50" t="str">
        <x:v>38606</x:v>
      </x:c>
      <x:c r="D20" s="45" t="str">
        <x:v>TlalnepantlaCarso</x:v>
      </x:c>
      <x:c r="E20" s="45" t="str">
        <x:v>Abierta</x:v>
      </x:c>
      <x:c r="F20" s="51" t="d">
        <x:v>2015-09-08T00:00:00.000Z</x:v>
      </x:c>
      <x:c r="G20" s="45" t="str">
        <x:v>Tlalnepantla</x:v>
      </x:c>
      <x:c r="H20" s="45" t="str">
        <x:v>Estado De México</x:v>
      </x:c>
      <x:c r="I20" s="52" t="n">
        <x:v>19.53820969</x:v>
      </x:c>
      <x:c r="J20" s="52" t="n">
        <x:v>-99.20631362</x:v>
      </x:c>
      <x:c r="K20" s="45" t="str">
        <x:v>Cafe</x:v>
      </x:c>
      <x:c r="L20" s="45" t="str">
        <x:v>Retail</x:v>
      </x:c>
      <x:c r="M20" s="45" t="str">
        <x:v>C1</x:v>
      </x:c>
      <x:c r="N20" s="45" t="str">
        <x:v>Sí</x:v>
      </x:c>
      <x:c r="O20" s="45" t="str">
        <x:v>Nancy Carolina Rodriguez Medina</x:v>
      </x:c>
      <x:c r="P20" s="45" t="str">
        <x:v>Ops y Directorio Alsea · octubre 2026</x:v>
      </x:c>
      <x:c r="Q20" s="45" t="str">
        <x:v>CMS anterior</x:v>
      </x:c>
      <x:c r="R20" s="45" t="str">
        <x:v>Abierta</x:v>
      </x:c>
      <x:c r="S20" s="45" t="str"/>
      <x:c r="T20" s="45" t="n">
        <x:f>IF(AND(E20="Abierta",N20="Sí",ISNUMBER(I20),ISNUMBER(J20),ABS(I20)&lt;=90,ABS(J20)&lt;=180),1,0)</x:f>
        <x:v>1</x:v>
      </x:c>
    </x:row>
    <x:row r="21" ht="23" customHeight="1">
      <x:c r="A21" s="45" t="str">
        <x:v>Centro Norte</x:v>
      </x:c>
      <x:c r="B21" s="45" t="str">
        <x:v>Nancy Rodríguez</x:v>
      </x:c>
      <x:c r="C21" s="50" t="str">
        <x:v>38661</x:v>
      </x:c>
      <x:c r="D21" s="45" t="str">
        <x:v>Jinetes</x:v>
      </x:c>
      <x:c r="E21" s="45" t="str">
        <x:v>Abierta</x:v>
      </x:c>
      <x:c r="F21" s="51" t="d">
        <x:v>2016-08-12T00:00:00.000Z</x:v>
      </x:c>
      <x:c r="G21" s="45" t="str">
        <x:v>Atizapan De Zaragoza</x:v>
      </x:c>
      <x:c r="H21" s="45" t="str">
        <x:v>Estado De México</x:v>
      </x:c>
      <x:c r="I21" s="52" t="n">
        <x:v>19.55998726</x:v>
      </x:c>
      <x:c r="J21" s="52" t="n">
        <x:v>-99.22017395</x:v>
      </x:c>
      <x:c r="K21" s="45" t="str">
        <x:v>Cafe</x:v>
      </x:c>
      <x:c r="L21" s="45" t="str">
        <x:v>Neighborhood</x:v>
      </x:c>
      <x:c r="M21" s="45" t="str">
        <x:v>C1</x:v>
      </x:c>
      <x:c r="N21" s="45" t="str">
        <x:v>Sí</x:v>
      </x:c>
      <x:c r="O21" s="45" t="str">
        <x:v>Nancy Carolina Rodriguez Medina</x:v>
      </x:c>
      <x:c r="P21" s="45" t="str">
        <x:v>Ops y Directorio Alsea · octubre 2026</x:v>
      </x:c>
      <x:c r="Q21" s="45" t="str">
        <x:v>CMS anterior</x:v>
      </x:c>
      <x:c r="R21" s="45" t="str">
        <x:v>Abierta</x:v>
      </x:c>
      <x:c r="S21" s="45" t="str"/>
      <x:c r="T21" s="45" t="n">
        <x:f>IF(AND(E21="Abierta",N21="Sí",ISNUMBER(I21),ISNUMBER(J21),ABS(I21)&lt;=90,ABS(J21)&lt;=180),1,0)</x:f>
        <x:v>1</x:v>
      </x:c>
    </x:row>
    <x:row r="22" ht="23" customHeight="1">
      <x:c r="A22" s="45" t="str">
        <x:v>Centro Norte</x:v>
      </x:c>
      <x:c r="B22" s="45" t="str">
        <x:v>Nancy Rodríguez</x:v>
      </x:c>
      <x:c r="C22" s="50" t="str">
        <x:v>38674</x:v>
      </x:c>
      <x:c r="D22" s="45" t="str">
        <x:v>Mundo E</x:v>
      </x:c>
      <x:c r="E22" s="45" t="str">
        <x:v>Abierta</x:v>
      </x:c>
      <x:c r="F22" s="51" t="d">
        <x:v>2016-09-19T00:00:00.000Z</x:v>
      </x:c>
      <x:c r="G22" s="45" t="str">
        <x:v>Tlalnepantla</x:v>
      </x:c>
      <x:c r="H22" s="45" t="str">
        <x:v>Estado De México</x:v>
      </x:c>
      <x:c r="I22" s="52" t="n">
        <x:v>19.52606457</x:v>
      </x:c>
      <x:c r="J22" s="52" t="n">
        <x:v>-99.22811955</x:v>
      </x:c>
      <x:c r="K22" s="45" t="str">
        <x:v>Cafe</x:v>
      </x:c>
      <x:c r="L22" s="45" t="str">
        <x:v>Retail</x:v>
      </x:c>
      <x:c r="M22" s="45" t="str">
        <x:v>C1</x:v>
      </x:c>
      <x:c r="N22" s="45" t="str">
        <x:v>Sí</x:v>
      </x:c>
      <x:c r="O22" s="45" t="str">
        <x:v>Nancy Carolina Rodriguez Medina</x:v>
      </x:c>
      <x:c r="P22" s="45" t="str">
        <x:v>Ops y Directorio Alsea · octubre 2026</x:v>
      </x:c>
      <x:c r="Q22" s="45" t="str">
        <x:v>CMS anterior</x:v>
      </x:c>
      <x:c r="R22" s="45" t="str">
        <x:v>Abierta</x:v>
      </x:c>
      <x:c r="S22" s="45" t="str"/>
      <x:c r="T22" s="45" t="n">
        <x:f>IF(AND(E22="Abierta",N22="Sí",ISNUMBER(I22),ISNUMBER(J22),ABS(I22)&lt;=90,ABS(J22)&lt;=180),1,0)</x:f>
        <x:v>1</x:v>
      </x:c>
    </x:row>
    <x:row r="23" ht="23" customHeight="1">
      <x:c r="A23" s="45" t="str">
        <x:v>Centro Norte</x:v>
      </x:c>
      <x:c r="B23" s="45" t="str">
        <x:v>Nancy Rodríguez</x:v>
      </x:c>
      <x:c r="C23" s="50" t="str">
        <x:v>38694</x:v>
      </x:c>
      <x:c r="D23" s="45" t="str">
        <x:v>Villas de la Hacienda</x:v>
      </x:c>
      <x:c r="E23" s="45" t="str">
        <x:v>Abierta</x:v>
      </x:c>
      <x:c r="F23" s="51" t="d">
        <x:v>2016-12-17T00:00:00.000Z</x:v>
      </x:c>
      <x:c r="G23" s="45" t="str">
        <x:v>Atizapan De Zaragoza</x:v>
      </x:c>
      <x:c r="H23" s="45" t="str">
        <x:v>Estado De México</x:v>
      </x:c>
      <x:c r="I23" s="52" t="n">
        <x:v>19.60704127</x:v>
      </x:c>
      <x:c r="J23" s="52" t="n">
        <x:v>-99.22930698</x:v>
      </x:c>
      <x:c r="K23" s="45" t="str">
        <x:v>Cafe</x:v>
      </x:c>
      <x:c r="L23" s="45" t="str">
        <x:v>Retail</x:v>
      </x:c>
      <x:c r="M23" s="45" t="str">
        <x:v>C2</x:v>
      </x:c>
      <x:c r="N23" s="45" t="str">
        <x:v>Sí</x:v>
      </x:c>
      <x:c r="O23" s="45" t="str">
        <x:v>Nancy Carolina Rodriguez Medina</x:v>
      </x:c>
      <x:c r="P23" s="45" t="str">
        <x:v>Ops y Directorio Alsea · octubre 2026</x:v>
      </x:c>
      <x:c r="Q23" s="45" t="str">
        <x:v>CMS anterior</x:v>
      </x:c>
      <x:c r="R23" s="45" t="str">
        <x:v>Abierta</x:v>
      </x:c>
      <x:c r="S23" s="45" t="str"/>
      <x:c r="T23" s="45" t="n">
        <x:f>IF(AND(E23="Abierta",N23="Sí",ISNUMBER(I23),ISNUMBER(J23),ABS(I23)&lt;=90,ABS(J23)&lt;=180),1,0)</x:f>
        <x:v>1</x:v>
      </x:c>
    </x:row>
    <x:row r="24" ht="23" customHeight="1">
      <x:c r="A24" s="45" t="str">
        <x:v>Centro Norte</x:v>
      </x:c>
      <x:c r="B24" s="45" t="str">
        <x:v>Nancy Rodríguez</x:v>
      </x:c>
      <x:c r="C24" s="50" t="str">
        <x:v>38792</x:v>
      </x:c>
      <x:c r="D24" s="45" t="str">
        <x:v>Pasaje Tlanepantla</x:v>
      </x:c>
      <x:c r="E24" s="45" t="str">
        <x:v>Abierta</x:v>
      </x:c>
      <x:c r="F24" s="51" t="d">
        <x:v>2018-05-15T00:00:00.000Z</x:v>
      </x:c>
      <x:c r="G24" s="45" t="str">
        <x:v>Tlalnepantla</x:v>
      </x:c>
      <x:c r="H24" s="45" t="str">
        <x:v>Estado De México</x:v>
      </x:c>
      <x:c r="I24" s="52" t="n">
        <x:v>19.54010506</x:v>
      </x:c>
      <x:c r="J24" s="52" t="n">
        <x:v>-99.21541073</x:v>
      </x:c>
      <x:c r="K24" s="45" t="str">
        <x:v>Cafe</x:v>
      </x:c>
      <x:c r="L24" s="45" t="str">
        <x:v>Retail</x:v>
      </x:c>
      <x:c r="M24" s="45" t="str">
        <x:v>C1</x:v>
      </x:c>
      <x:c r="N24" s="45" t="str">
        <x:v>Sí</x:v>
      </x:c>
      <x:c r="O24" s="45" t="str">
        <x:v>Nancy Carolina Rodriguez Medina</x:v>
      </x:c>
      <x:c r="P24" s="45" t="str">
        <x:v>Ops y Directorio Alsea · octubre 2026</x:v>
      </x:c>
      <x:c r="Q24" s="45" t="str">
        <x:v>CMS anterior</x:v>
      </x:c>
      <x:c r="R24" s="45" t="str">
        <x:v>Abierta</x:v>
      </x:c>
      <x:c r="S24" s="45" t="str"/>
      <x:c r="T24" s="45" t="n">
        <x:f>IF(AND(E24="Abierta",N24="Sí",ISNUMBER(I24),ISNUMBER(J24),ABS(I24)&lt;=90,ABS(J24)&lt;=180),1,0)</x:f>
        <x:v>1</x:v>
      </x:c>
    </x:row>
    <x:row r="25" ht="23" customHeight="1">
      <x:c r="A25" s="45" t="str">
        <x:v>Centro Norte</x:v>
      </x:c>
      <x:c r="B25" s="45" t="str">
        <x:v>Nancy Rodríguez</x:v>
      </x:c>
      <x:c r="C25" s="50" t="str">
        <x:v>38845</x:v>
      </x:c>
      <x:c r="D25" s="45" t="str">
        <x:v>Mundo E II</x:v>
      </x:c>
      <x:c r="E25" s="45" t="str">
        <x:v>Abierta</x:v>
      </x:c>
      <x:c r="F25" s="51" t="d">
        <x:v>2018-12-08T00:00:00.000Z</x:v>
      </x:c>
      <x:c r="G25" s="45" t="str">
        <x:v>Tlalnepantla</x:v>
      </x:c>
      <x:c r="H25" s="45" t="str">
        <x:v>Estado De México</x:v>
      </x:c>
      <x:c r="I25" s="52" t="n">
        <x:v>19.52497104</x:v>
      </x:c>
      <x:c r="J25" s="52" t="n">
        <x:v>-99.22911025</x:v>
      </x:c>
      <x:c r="K25" s="45" t="str">
        <x:v>Kiosko</x:v>
      </x:c>
      <x:c r="L25" s="45" t="str">
        <x:v>Retail</x:v>
      </x:c>
      <x:c r="M25" s="45" t="str">
        <x:v>C1</x:v>
      </x:c>
      <x:c r="N25" s="45" t="str">
        <x:v>Sí</x:v>
      </x:c>
      <x:c r="O25" s="45" t="str">
        <x:v>Nancy Carolina Rodriguez Medina</x:v>
      </x:c>
      <x:c r="P25" s="45" t="str">
        <x:v>Ops y Directorio Alsea · octubre 2026</x:v>
      </x:c>
      <x:c r="Q25" s="45" t="str">
        <x:v>CMS anterior</x:v>
      </x:c>
      <x:c r="R25" s="45" t="str">
        <x:v>Abierta</x:v>
      </x:c>
      <x:c r="S25" s="45" t="str"/>
      <x:c r="T25" s="45" t="n">
        <x:f>IF(AND(E25="Abierta",N25="Sí",ISNUMBER(I25),ISNUMBER(J25),ABS(I25)&lt;=90,ABS(J25)&lt;=180),1,0)</x:f>
        <x:v>1</x:v>
      </x:c>
    </x:row>
    <x:row r="26" ht="23" customHeight="1">
      <x:c r="A26" s="45" t="str">
        <x:v>Centro Norte</x:v>
      </x:c>
      <x:c r="B26" s="45" t="str">
        <x:v>Nancy Rodríguez</x:v>
      </x:c>
      <x:c r="C26" s="50" t="str">
        <x:v>43261</x:v>
      </x:c>
      <x:c r="D26" s="45" t="str">
        <x:v>Encuentro Tlanepantla</x:v>
      </x:c>
      <x:c r="E26" s="45" t="str">
        <x:v>Abierta</x:v>
      </x:c>
      <x:c r="F26" s="51" t="d">
        <x:v>2026-09-26T00:00:00.000Z</x:v>
      </x:c>
      <x:c r="G26" s="45" t="str">
        <x:v>Tlalnepantla</x:v>
      </x:c>
      <x:c r="H26" s="45" t="str">
        <x:v>Estado De México</x:v>
      </x:c>
      <x:c r="I26" s="52" t="n">
        <x:v>19.5327648421521</x:v>
      </x:c>
      <x:c r="J26" s="52" t="n">
        <x:v>-99.1727897635039</x:v>
      </x:c>
      <x:c r="K26" s="45" t="str">
        <x:v>Kiosko</x:v>
      </x:c>
      <x:c r="L26" s="45" t="str">
        <x:v>Retail</x:v>
      </x:c>
      <x:c r="M26" s="45" t="str">
        <x:v>C2</x:v>
      </x:c>
      <x:c r="N26" s="45" t="str">
        <x:v>Sí</x:v>
      </x:c>
      <x:c r="O26" s="45" t="str">
        <x:v>Nancy Carolina Rodriguez Medina</x:v>
      </x:c>
      <x:c r="P26" s="45" t="str">
        <x:v>Ops y Directorio Alsea · octubre 2026</x:v>
      </x:c>
      <x:c r="Q26" s="45" t="str">
        <x:v>CMS anterior</x:v>
      </x:c>
      <x:c r="R26" s="45" t="str">
        <x:v>Abierta</x:v>
      </x:c>
      <x:c r="S26" s="45" t="str"/>
      <x:c r="T26" s="45" t="n">
        <x:f>IF(AND(E26="Abierta",N26="Sí",ISNUMBER(I26),ISNUMBER(J26),ABS(I26)&lt;=90,ABS(J26)&lt;=180),1,0)</x:f>
        <x:v>1</x:v>
      </x:c>
    </x:row>
    <x:row r="27" ht="23" customHeight="1">
      <x:c r="A27" s="45" t="str">
        <x:v>Centro Norte</x:v>
      </x:c>
      <x:c r="B27" s="45" t="str">
        <x:v>Vanessa Carreño</x:v>
      </x:c>
      <x:c r="C27" s="50" t="str">
        <x:v>38205</x:v>
      </x:c>
      <x:c r="D27" s="45" t="str">
        <x:v>Lindavista</x:v>
      </x:c>
      <x:c r="E27" s="45" t="str">
        <x:v>Abierta</x:v>
      </x:c>
      <x:c r="F27" s="51" t="d">
        <x:v>2006-11-18T00:00:00.000Z</x:v>
      </x:c>
      <x:c r="G27" s="45" t="str">
        <x:v>Gustavo A. Madero</x:v>
      </x:c>
      <x:c r="H27" s="45" t="str">
        <x:v>Ciudad De México</x:v>
      </x:c>
      <x:c r="I27" s="52" t="n">
        <x:v>19.4864747</x:v>
      </x:c>
      <x:c r="J27" s="52" t="n">
        <x:v>-99.1306705</x:v>
      </x:c>
      <x:c r="K27" s="45" t="str">
        <x:v>Cafe</x:v>
      </x:c>
      <x:c r="L27" s="45" t="str">
        <x:v>Retail</x:v>
      </x:c>
      <x:c r="M27" s="45" t="str">
        <x:v>C2</x:v>
      </x:c>
      <x:c r="N27" s="45" t="str">
        <x:v>Sí</x:v>
      </x:c>
      <x:c r="O27" s="45" t="str">
        <x:v>Vanessa Carreño Rios</x:v>
      </x:c>
      <x:c r="P27" s="45" t="str">
        <x:v>Ops y Directorio Alsea · octubre 2026</x:v>
      </x:c>
      <x:c r="Q27" s="45" t="str">
        <x:v>CMS anterior</x:v>
      </x:c>
      <x:c r="R27" s="45" t="str">
        <x:v>Abierta</x:v>
      </x:c>
      <x:c r="S27" s="45" t="str"/>
      <x:c r="T27" s="45" t="n">
        <x:f>IF(AND(E27="Abierta",N27="Sí",ISNUMBER(I27),ISNUMBER(J27),ABS(I27)&lt;=90,ABS(J27)&lt;=180),1,0)</x:f>
        <x:v>1</x:v>
      </x:c>
    </x:row>
    <x:row r="28" ht="23" customHeight="1">
      <x:c r="A28" s="45" t="str">
        <x:v>Centro Norte</x:v>
      </x:c>
      <x:c r="B28" s="45" t="str">
        <x:v>Vanessa Carreño</x:v>
      </x:c>
      <x:c r="C28" s="50" t="str">
        <x:v>38207</x:v>
      </x:c>
      <x:c r="D28" s="45" t="str">
        <x:v>Lindavista II</x:v>
      </x:c>
      <x:c r="E28" s="45" t="str">
        <x:v>Abierta</x:v>
      </x:c>
      <x:c r="F28" s="51" t="d">
        <x:v>2006-11-21T00:00:00.000Z</x:v>
      </x:c>
      <x:c r="G28" s="45" t="str">
        <x:v>Gustavo A. Madero</x:v>
      </x:c>
      <x:c r="H28" s="45" t="str">
        <x:v>Ciudad De México</x:v>
      </x:c>
      <x:c r="I28" s="52" t="n">
        <x:v>19.48641994</x:v>
      </x:c>
      <x:c r="J28" s="52" t="n">
        <x:v>-99.13145725</x:v>
      </x:c>
      <x:c r="K28" s="45" t="str">
        <x:v>Kiosko</x:v>
      </x:c>
      <x:c r="L28" s="45" t="str">
        <x:v>Retail</x:v>
      </x:c>
      <x:c r="M28" s="45" t="str">
        <x:v>C2</x:v>
      </x:c>
      <x:c r="N28" s="45" t="str">
        <x:v>Sí</x:v>
      </x:c>
      <x:c r="O28" s="45" t="str">
        <x:v>Vanessa Carreño Rios</x:v>
      </x:c>
      <x:c r="P28" s="45" t="str">
        <x:v>Ops y Directorio Alsea · octubre 2026</x:v>
      </x:c>
      <x:c r="Q28" s="45" t="str">
        <x:v>CMS anterior</x:v>
      </x:c>
      <x:c r="R28" s="45" t="str">
        <x:v>Abierta</x:v>
      </x:c>
      <x:c r="S28" s="45" t="str"/>
      <x:c r="T28" s="45" t="n">
        <x:f>IF(AND(E28="Abierta",N28="Sí",ISNUMBER(I28),ISNUMBER(J28),ABS(I28)&lt;=90,ABS(J28)&lt;=180),1,0)</x:f>
        <x:v>1</x:v>
      </x:c>
    </x:row>
    <x:row r="29" ht="23" customHeight="1">
      <x:c r="A29" s="45" t="str">
        <x:v>Centro Norte</x:v>
      </x:c>
      <x:c r="B29" s="45" t="str">
        <x:v>Vanessa Carreño</x:v>
      </x:c>
      <x:c r="C29" s="50" t="str">
        <x:v>38371</x:v>
      </x:c>
      <x:c r="D29" s="45" t="str">
        <x:v>Montevideo DT</x:v>
      </x:c>
      <x:c r="E29" s="45" t="str">
        <x:v>Abierta</x:v>
      </x:c>
      <x:c r="F29" s="51" t="d">
        <x:v>2009-12-22T00:00:00.000Z</x:v>
      </x:c>
      <x:c r="G29" s="45" t="str">
        <x:v>Gustavo A. Madero</x:v>
      </x:c>
      <x:c r="H29" s="45" t="str">
        <x:v>Ciudad De México</x:v>
      </x:c>
      <x:c r="I29" s="52" t="n">
        <x:v>19.4898201</x:v>
      </x:c>
      <x:c r="J29" s="52" t="n">
        <x:v>-99.13027292</x:v>
      </x:c>
      <x:c r="K29" s="45" t="str">
        <x:v>Drive_Thru</x:v>
      </x:c>
      <x:c r="L29" s="45" t="str">
        <x:v>Neighborhood</x:v>
      </x:c>
      <x:c r="M29" s="45" t="str">
        <x:v>C2</x:v>
      </x:c>
      <x:c r="N29" s="45" t="str">
        <x:v>Sí</x:v>
      </x:c>
      <x:c r="O29" s="45" t="str">
        <x:v>Vanessa Carreño Rios</x:v>
      </x:c>
      <x:c r="P29" s="45" t="str">
        <x:v>Ops y Directorio Alsea · octubre 2026</x:v>
      </x:c>
      <x:c r="Q29" s="45" t="str">
        <x:v>CMS anterior</x:v>
      </x:c>
      <x:c r="R29" s="45" t="str">
        <x:v>Abierta</x:v>
      </x:c>
      <x:c r="S29" s="45" t="str"/>
      <x:c r="T29" s="45" t="n">
        <x:f>IF(AND(E29="Abierta",N29="Sí",ISNUMBER(I29),ISNUMBER(J29),ABS(I29)&lt;=90,ABS(J29)&lt;=180),1,0)</x:f>
        <x:v>1</x:v>
      </x:c>
    </x:row>
    <x:row r="30" ht="23" customHeight="1">
      <x:c r="A30" s="45" t="str">
        <x:v>Centro Norte</x:v>
      </x:c>
      <x:c r="B30" s="45" t="str">
        <x:v>Vanessa Carreño</x:v>
      </x:c>
      <x:c r="C30" s="50" t="str">
        <x:v>38411</x:v>
      </x:c>
      <x:c r="D30" s="45" t="str">
        <x:v>Torres Lindavista</x:v>
      </x:c>
      <x:c r="E30" s="45" t="str">
        <x:v>Abierta</x:v>
      </x:c>
      <x:c r="F30" s="51" t="d">
        <x:v>2011-04-03T00:00:00.000Z</x:v>
      </x:c>
      <x:c r="G30" s="45" t="str">
        <x:v>Gustavo A. Madero</x:v>
      </x:c>
      <x:c r="H30" s="45" t="str">
        <x:v>Ciudad De México</x:v>
      </x:c>
      <x:c r="I30" s="52" t="n">
        <x:v>19.50647617</x:v>
      </x:c>
      <x:c r="J30" s="52" t="n">
        <x:v>-99.1441572</x:v>
      </x:c>
      <x:c r="K30" s="45" t="str">
        <x:v>Cafe</x:v>
      </x:c>
      <x:c r="L30" s="45" t="str">
        <x:v>Retail</x:v>
      </x:c>
      <x:c r="M30" s="45" t="str">
        <x:v>C2</x:v>
      </x:c>
      <x:c r="N30" s="45" t="str">
        <x:v>Sí</x:v>
      </x:c>
      <x:c r="O30" s="45" t="str">
        <x:v>Vanessa Carreño Rios</x:v>
      </x:c>
      <x:c r="P30" s="45" t="str">
        <x:v>Ops y Directorio Alsea · octubre 2026</x:v>
      </x:c>
      <x:c r="Q30" s="45" t="str">
        <x:v>CMS anterior</x:v>
      </x:c>
      <x:c r="R30" s="45" t="str">
        <x:v>Abierta</x:v>
      </x:c>
      <x:c r="S30" s="45" t="str"/>
      <x:c r="T30" s="45" t="n">
        <x:f>IF(AND(E30="Abierta",N30="Sí",ISNUMBER(I30),ISNUMBER(J30),ABS(I30)&lt;=90,ABS(J30)&lt;=180),1,0)</x:f>
        <x:v>1</x:v>
      </x:c>
    </x:row>
    <x:row r="31" ht="23" customHeight="1">
      <x:c r="A31" s="45" t="str">
        <x:v>Centro Norte</x:v>
      </x:c>
      <x:c r="B31" s="45" t="str">
        <x:v>Vanessa Carreño</x:v>
      </x:c>
      <x:c r="C31" s="50" t="str">
        <x:v>38527</x:v>
      </x:c>
      <x:c r="D31" s="45" t="str">
        <x:v>Camarones</x:v>
      </x:c>
      <x:c r="E31" s="45" t="str">
        <x:v>Abierta</x:v>
      </x:c>
      <x:c r="F31" s="51" t="d">
        <x:v>2014-01-10T00:00:00.000Z</x:v>
      </x:c>
      <x:c r="G31" s="45" t="str">
        <x:v>Azcapotzalco</x:v>
      </x:c>
      <x:c r="H31" s="45" t="str">
        <x:v>Ciudad De México</x:v>
      </x:c>
      <x:c r="I31" s="52" t="n">
        <x:v>19.47180993</x:v>
      </x:c>
      <x:c r="J31" s="52" t="n">
        <x:v>-99.1800422</x:v>
      </x:c>
      <x:c r="K31" s="45" t="str">
        <x:v>Drive_Thru</x:v>
      </x:c>
      <x:c r="L31" s="45" t="str">
        <x:v>Neighborhood</x:v>
      </x:c>
      <x:c r="M31" s="45" t="str">
        <x:v>C2</x:v>
      </x:c>
      <x:c r="N31" s="45" t="str">
        <x:v>Sí</x:v>
      </x:c>
      <x:c r="O31" s="45" t="str">
        <x:v>Vanessa Carreño Rios</x:v>
      </x:c>
      <x:c r="P31" s="45" t="str">
        <x:v>Ops y Directorio Alsea · octubre 2026</x:v>
      </x:c>
      <x:c r="Q31" s="45" t="str">
        <x:v>CMS anterior</x:v>
      </x:c>
      <x:c r="R31" s="45" t="str">
        <x:v>Abierta</x:v>
      </x:c>
      <x:c r="S31" s="45" t="str"/>
      <x:c r="T31" s="45" t="n">
        <x:f>IF(AND(E31="Abierta",N31="Sí",ISNUMBER(I31),ISNUMBER(J31),ABS(I31)&lt;=90,ABS(J31)&lt;=180),1,0)</x:f>
        <x:v>1</x:v>
      </x:c>
    </x:row>
    <x:row r="32" ht="23" customHeight="1">
      <x:c r="A32" s="45" t="str">
        <x:v>Centro Norte</x:v>
      </x:c>
      <x:c r="B32" s="45" t="str">
        <x:v>Vanessa Carreño</x:v>
      </x:c>
      <x:c r="C32" s="50" t="str">
        <x:v>38546</x:v>
      </x:c>
      <x:c r="D32" s="45" t="str">
        <x:v>Patio Claveria</x:v>
      </x:c>
      <x:c r="E32" s="45" t="str">
        <x:v>Abierta</x:v>
      </x:c>
      <x:c r="F32" s="51" t="d">
        <x:v>2014-09-23T00:00:00.000Z</x:v>
      </x:c>
      <x:c r="G32" s="45" t="str">
        <x:v>Azcapotzalco</x:v>
      </x:c>
      <x:c r="H32" s="45" t="str">
        <x:v>Ciudad De México</x:v>
      </x:c>
      <x:c r="I32" s="52" t="n">
        <x:v>19.46372479</x:v>
      </x:c>
      <x:c r="J32" s="52" t="n">
        <x:v>-99.18212386</x:v>
      </x:c>
      <x:c r="K32" s="45" t="str">
        <x:v>Cafe</x:v>
      </x:c>
      <x:c r="L32" s="45" t="str">
        <x:v>Retail</x:v>
      </x:c>
      <x:c r="M32" s="45" t="str">
        <x:v>C2</x:v>
      </x:c>
      <x:c r="N32" s="45" t="str">
        <x:v>Sí</x:v>
      </x:c>
      <x:c r="O32" s="45" t="str">
        <x:v>Vanessa Carreño Rios</x:v>
      </x:c>
      <x:c r="P32" s="45" t="str">
        <x:v>Ops y Directorio Alsea · octubre 2026</x:v>
      </x:c>
      <x:c r="Q32" s="45" t="str">
        <x:v>CMS anterior</x:v>
      </x:c>
      <x:c r="R32" s="45" t="str">
        <x:v>Abierta</x:v>
      </x:c>
      <x:c r="S32" s="45" t="str"/>
      <x:c r="T32" s="45" t="n">
        <x:f>IF(AND(E32="Abierta",N32="Sí",ISNUMBER(I32),ISNUMBER(J32),ABS(I32)&lt;=90,ABS(J32)&lt;=180),1,0)</x:f>
        <x:v>1</x:v>
      </x:c>
    </x:row>
    <x:row r="33" ht="23" customHeight="1">
      <x:c r="A33" s="45" t="str">
        <x:v>Centro Norte</x:v>
      </x:c>
      <x:c r="B33" s="45" t="str">
        <x:v>Vanessa Carreño</x:v>
      </x:c>
      <x:c r="C33" s="50" t="str">
        <x:v>38651</x:v>
      </x:c>
      <x:c r="D33" s="45" t="str">
        <x:v>Via Vallejo</x:v>
      </x:c>
      <x:c r="E33" s="45" t="str">
        <x:v>Abierta</x:v>
      </x:c>
      <x:c r="F33" s="51" t="d">
        <x:v>2016-06-24T00:00:00.000Z</x:v>
      </x:c>
      <x:c r="G33" s="45" t="str">
        <x:v>Azcapotzalco</x:v>
      </x:c>
      <x:c r="H33" s="45" t="str">
        <x:v>Ciudad De México</x:v>
      </x:c>
      <x:c r="I33" s="52" t="n">
        <x:v>19.48725287</x:v>
      </x:c>
      <x:c r="J33" s="52" t="n">
        <x:v>-99.15168203</x:v>
      </x:c>
      <x:c r="K33" s="45" t="str">
        <x:v>Cafe</x:v>
      </x:c>
      <x:c r="L33" s="45" t="str">
        <x:v>Retail</x:v>
      </x:c>
      <x:c r="M33" s="45" t="str">
        <x:v>C1</x:v>
      </x:c>
      <x:c r="N33" s="45" t="str">
        <x:v>Sí</x:v>
      </x:c>
      <x:c r="O33" s="45" t="str">
        <x:v>Vanessa Carreño Rios</x:v>
      </x:c>
      <x:c r="P33" s="45" t="str">
        <x:v>Ops y Directorio Alsea · octubre 2026</x:v>
      </x:c>
      <x:c r="Q33" s="45" t="str">
        <x:v>CMS anterior</x:v>
      </x:c>
      <x:c r="R33" s="45" t="str">
        <x:v>Abierta</x:v>
      </x:c>
      <x:c r="S33" s="45" t="str"/>
      <x:c r="T33" s="45" t="n">
        <x:f>IF(AND(E33="Abierta",N33="Sí",ISNUMBER(I33),ISNUMBER(J33),ABS(I33)&lt;=90,ABS(J33)&lt;=180),1,0)</x:f>
        <x:v>1</x:v>
      </x:c>
    </x:row>
    <x:row r="34" ht="23" customHeight="1">
      <x:c r="A34" s="45" t="str">
        <x:v>Centro Norte</x:v>
      </x:c>
      <x:c r="B34" s="45" t="str">
        <x:v>Vanessa Carreño</x:v>
      </x:c>
      <x:c r="C34" s="50" t="str">
        <x:v>38677</x:v>
      </x:c>
      <x:c r="D34" s="45" t="str">
        <x:v>Patio la Raza</x:v>
      </x:c>
      <x:c r="E34" s="45" t="str">
        <x:v>Abierta</x:v>
      </x:c>
      <x:c r="F34" s="51" t="d">
        <x:v>2016-12-14T00:00:00.000Z</x:v>
      </x:c>
      <x:c r="G34" s="45" t="str">
        <x:v>Azcapotzalco</x:v>
      </x:c>
      <x:c r="H34" s="45" t="str">
        <x:v>Ciudad De México</x:v>
      </x:c>
      <x:c r="I34" s="52" t="n">
        <x:v>19.46811471</x:v>
      </x:c>
      <x:c r="J34" s="52" t="n">
        <x:v>-99.14467073</x:v>
      </x:c>
      <x:c r="K34" s="45" t="str">
        <x:v>Cafe</x:v>
      </x:c>
      <x:c r="L34" s="45" t="str">
        <x:v>Retail</x:v>
      </x:c>
      <x:c r="M34" s="45" t="str">
        <x:v>C1</x:v>
      </x:c>
      <x:c r="N34" s="45" t="str">
        <x:v>Sí</x:v>
      </x:c>
      <x:c r="O34" s="45" t="str">
        <x:v>Vanessa Carreño Rios</x:v>
      </x:c>
      <x:c r="P34" s="45" t="str">
        <x:v>Ops y Directorio Alsea · octubre 2026</x:v>
      </x:c>
      <x:c r="Q34" s="45" t="str">
        <x:v>CMS anterior</x:v>
      </x:c>
      <x:c r="R34" s="45" t="str">
        <x:v>Abierta</x:v>
      </x:c>
      <x:c r="S34" s="45" t="str"/>
      <x:c r="T34" s="45" t="n">
        <x:f>IF(AND(E34="Abierta",N34="Sí",ISNUMBER(I34),ISNUMBER(J34),ABS(I34)&lt;=90,ABS(J34)&lt;=180),1,0)</x:f>
        <x:v>1</x:v>
      </x:c>
    </x:row>
    <x:row r="35" ht="23" customHeight="1">
      <x:c r="A35" s="45" t="str">
        <x:v>Centro Norte</x:v>
      </x:c>
      <x:c r="B35" s="45" t="str">
        <x:v>Vanessa Carreño</x:v>
      </x:c>
      <x:c r="C35" s="50" t="str">
        <x:v>38837</x:v>
      </x:c>
      <x:c r="D35" s="45" t="str">
        <x:v>Centenario Azcapotzalco</x:v>
      </x:c>
      <x:c r="E35" s="45" t="str">
        <x:v>Abierta</x:v>
      </x:c>
      <x:c r="F35" s="51" t="d">
        <x:v>2018-11-29T00:00:00.000Z</x:v>
      </x:c>
      <x:c r="G35" s="45" t="str">
        <x:v>Azcapotzalco</x:v>
      </x:c>
      <x:c r="H35" s="45" t="str">
        <x:v>Ciudad De México</x:v>
      </x:c>
      <x:c r="I35" s="52" t="n">
        <x:v>19.47849506</x:v>
      </x:c>
      <x:c r="J35" s="52" t="n">
        <x:v>-99.18850073</x:v>
      </x:c>
      <x:c r="K35" s="45" t="str">
        <x:v>Cafe</x:v>
      </x:c>
      <x:c r="L35" s="45" t="str">
        <x:v>Retail</x:v>
      </x:c>
      <x:c r="M35" s="45" t="str">
        <x:v>C2</x:v>
      </x:c>
      <x:c r="N35" s="45" t="str">
        <x:v>Sí</x:v>
      </x:c>
      <x:c r="O35" s="45" t="str">
        <x:v>Vanessa Carreño Rios</x:v>
      </x:c>
      <x:c r="P35" s="45" t="str">
        <x:v>Ops y Directorio Alsea · octubre 2026</x:v>
      </x:c>
      <x:c r="Q35" s="45" t="str">
        <x:v>CMS anterior</x:v>
      </x:c>
      <x:c r="R35" s="45" t="str">
        <x:v>Abierta</x:v>
      </x:c>
      <x:c r="S35" s="45" t="str"/>
      <x:c r="T35" s="45" t="n">
        <x:f>IF(AND(E35="Abierta",N35="Sí",ISNUMBER(I35),ISNUMBER(J35),ABS(I35)&lt;=90,ABS(J35)&lt;=180),1,0)</x:f>
        <x:v>1</x:v>
      </x:c>
    </x:row>
    <x:row r="36" ht="23" customHeight="1">
      <x:c r="A36" s="45" t="str">
        <x:v>Centro Norte</x:v>
      </x:c>
      <x:c r="B36" s="45" t="str">
        <x:v>Vanessa Carreño</x:v>
      </x:c>
      <x:c r="C36" s="50" t="str">
        <x:v>43111</x:v>
      </x:c>
      <x:c r="D36" s="45" t="str">
        <x:v>Montevideo Insurgentes</x:v>
      </x:c>
      <x:c r="E36" s="45" t="str">
        <x:v>Abierta</x:v>
      </x:c>
      <x:c r="F36" s="51" t="d">
        <x:v>2025-04-14T00:00:00.000Z</x:v>
      </x:c>
      <x:c r="G36" s="45" t="str">
        <x:v>Gustavo A. Madero</x:v>
      </x:c>
      <x:c r="H36" s="45" t="str">
        <x:v>Ciudad De México</x:v>
      </x:c>
      <x:c r="I36" s="52" t="n">
        <x:v>19.48767471</x:v>
      </x:c>
      <x:c r="J36" s="52" t="n">
        <x:v>-99.1245027</x:v>
      </x:c>
      <x:c r="K36" s="45" t="str">
        <x:v>Cafe</x:v>
      </x:c>
      <x:c r="L36" s="45" t="str">
        <x:v>Transfers</x:v>
      </x:c>
      <x:c r="M36" s="45" t="str">
        <x:v>C2</x:v>
      </x:c>
      <x:c r="N36" s="45" t="str">
        <x:v>Sí</x:v>
      </x:c>
      <x:c r="O36" s="45" t="str">
        <x:v>Vanessa Carreño Rios</x:v>
      </x:c>
      <x:c r="P36" s="45" t="str">
        <x:v>Ops y Directorio Alsea · octubre 2026</x:v>
      </x:c>
      <x:c r="Q36" s="45" t="str">
        <x:v>CMS anterior</x:v>
      </x:c>
      <x:c r="R36" s="45" t="str">
        <x:v>Abierta</x:v>
      </x:c>
      <x:c r="S36" s="45" t="str"/>
      <x:c r="T36" s="45" t="n">
        <x:f>IF(AND(E36="Abierta",N36="Sí",ISNUMBER(I36),ISNUMBER(J36),ABS(I36)&lt;=90,ABS(J36)&lt;=180),1,0)</x:f>
        <x:v>1</x:v>
      </x:c>
    </x:row>
    <x:row r="37" ht="23" customHeight="1">
      <x:c r="A37" s="45" t="str">
        <x:v>Centro Norte</x:v>
      </x:c>
      <x:c r="B37" s="45" t="str">
        <x:v>Vanessa Carreño</x:v>
      </x:c>
      <x:c r="C37" s="50" t="str">
        <x:v>43132</x:v>
      </x:c>
      <x:c r="D37" s="45" t="str">
        <x:v>Plaza Vista Norte</x:v>
      </x:c>
      <x:c r="E37" s="45" t="str">
        <x:v>Abierta</x:v>
      </x:c>
      <x:c r="F37" s="51" t="d">
        <x:v>2024-12-29T00:00:00.000Z</x:v>
      </x:c>
      <x:c r="G37" s="45" t="str">
        <x:v>Gustavo A. Madero</x:v>
      </x:c>
      <x:c r="H37" s="45" t="str">
        <x:v>Ciudad De México</x:v>
      </x:c>
      <x:c r="I37" s="52" t="n">
        <x:v>19.50161364</x:v>
      </x:c>
      <x:c r="J37" s="52" t="n">
        <x:v>-99.12125306</x:v>
      </x:c>
      <x:c r="K37" s="45" t="str">
        <x:v>Cafe</x:v>
      </x:c>
      <x:c r="L37" s="45" t="str">
        <x:v>Retail</x:v>
      </x:c>
      <x:c r="M37" s="45" t="str">
        <x:v>C2</x:v>
      </x:c>
      <x:c r="N37" s="45" t="str">
        <x:v>Sí</x:v>
      </x:c>
      <x:c r="O37" s="45" t="str">
        <x:v>Vanessa Carreño Rios</x:v>
      </x:c>
      <x:c r="P37" s="45" t="str">
        <x:v>Ops y Directorio Alsea · octubre 2026</x:v>
      </x:c>
      <x:c r="Q37" s="45" t="str">
        <x:v>CMS anterior</x:v>
      </x:c>
      <x:c r="R37" s="45" t="str">
        <x:v>Abierta</x:v>
      </x:c>
      <x:c r="S37" s="45" t="str"/>
      <x:c r="T37" s="45" t="n">
        <x:f>IF(AND(E37="Abierta",N37="Sí",ISNUMBER(I37),ISNUMBER(J37),ABS(I37)&lt;=90,ABS(J37)&lt;=180),1,0)</x:f>
        <x:v>1</x:v>
      </x:c>
    </x:row>
    <x:row r="38" ht="23" customHeight="1">
      <x:c r="A38" s="45" t="str">
        <x:v>Centro Norte</x:v>
      </x:c>
      <x:c r="B38" s="45" t="str">
        <x:v>Vanessa Carreño</x:v>
      </x:c>
      <x:c r="C38" s="50" t="str">
        <x:v>43194</x:v>
      </x:c>
      <x:c r="D38" s="45" t="str">
        <x:v>Atana Lindavista</x:v>
      </x:c>
      <x:c r="E38" s="45" t="str">
        <x:v>Abierta</x:v>
      </x:c>
      <x:c r="F38" s="51" t="d">
        <x:v>2026-01-25T00:00:00.000Z</x:v>
      </x:c>
      <x:c r="G38" s="45" t="str">
        <x:v>Gustavo A. Madero</x:v>
      </x:c>
      <x:c r="H38" s="45" t="str">
        <x:v>Ciudad De México</x:v>
      </x:c>
      <x:c r="I38" s="52" t="n">
        <x:v>19.51739925</x:v>
      </x:c>
      <x:c r="J38" s="52" t="n">
        <x:v>-99.14272428</x:v>
      </x:c>
      <x:c r="K38" s="45" t="str">
        <x:v>Kiosko</x:v>
      </x:c>
      <x:c r="L38" s="45" t="str">
        <x:v>Retail</x:v>
      </x:c>
      <x:c r="M38" s="45" t="str">
        <x:v>C2</x:v>
      </x:c>
      <x:c r="N38" s="45" t="str">
        <x:v>Sí</x:v>
      </x:c>
      <x:c r="O38" s="45" t="str">
        <x:v>Vanessa Carreño Rios</x:v>
      </x:c>
      <x:c r="P38" s="45" t="str">
        <x:v>Ops y Directorio Alsea · octubre 2026</x:v>
      </x:c>
      <x:c r="Q38" s="45" t="str">
        <x:v>CMS anterior</x:v>
      </x:c>
      <x:c r="R38" s="45" t="str">
        <x:v>Abierta</x:v>
      </x:c>
      <x:c r="S38" s="45" t="str"/>
      <x:c r="T38" s="45" t="n">
        <x:f>IF(AND(E38="Abierta",N38="Sí",ISNUMBER(I38),ISNUMBER(J38),ABS(I38)&lt;=90,ABS(J38)&lt;=180),1,0)</x:f>
        <x:v>1</x:v>
      </x:c>
    </x:row>
    <x:row r="39" ht="23" customHeight="1">
      <x:c r="A39" s="45" t="str">
        <x:v>Centro Norte</x:v>
      </x:c>
      <x:c r="B39" s="45" t="str">
        <x:v>Vanessa Carreño</x:v>
      </x:c>
      <x:c r="C39" s="50" t="str">
        <x:v>43195</x:v>
      </x:c>
      <x:c r="D39" s="45" t="str">
        <x:v>Parque Jadin kiosko</x:v>
      </x:c>
      <x:c r="E39" s="45" t="str">
        <x:v>Abierta</x:v>
      </x:c>
      <x:c r="F39" s="51" t="d">
        <x:v>2025-12-16T00:00:00.000Z</x:v>
      </x:c>
      <x:c r="G39" s="45" t="str">
        <x:v>Azcapotzalco</x:v>
      </x:c>
      <x:c r="H39" s="45" t="str">
        <x:v>Ciudad De México</x:v>
      </x:c>
      <x:c r="I39" s="52" t="n">
        <x:v>19.46900437</x:v>
      </x:c>
      <x:c r="J39" s="52" t="n">
        <x:v>-99.1594926</x:v>
      </x:c>
      <x:c r="K39" s="45" t="str">
        <x:v>Kiosko</x:v>
      </x:c>
      <x:c r="L39" s="45" t="str">
        <x:v>Retail</x:v>
      </x:c>
      <x:c r="M39" s="45" t="str">
        <x:v>C2</x:v>
      </x:c>
      <x:c r="N39" s="45" t="str">
        <x:v>Sí</x:v>
      </x:c>
      <x:c r="O39" s="45" t="str">
        <x:v>Vanessa Carreño Rios</x:v>
      </x:c>
      <x:c r="P39" s="45" t="str">
        <x:v>Ops y Directorio Alsea · octubre 2026</x:v>
      </x:c>
      <x:c r="Q39" s="45" t="str">
        <x:v>CMS anterior</x:v>
      </x:c>
      <x:c r="R39" s="45" t="str">
        <x:v>Abierta</x:v>
      </x:c>
      <x:c r="S39" s="45" t="str"/>
      <x:c r="T39" s="45" t="n">
        <x:f>IF(AND(E39="Abierta",N39="Sí",ISNUMBER(I39),ISNUMBER(J39),ABS(I39)&lt;=90,ABS(J39)&lt;=180),1,0)</x:f>
        <x:v>1</x:v>
      </x:c>
    </x:row>
    <x:row r="40" ht="23" customHeight="1">
      <x:c r="A40" s="45" t="str">
        <x:v>Centro Norte</x:v>
      </x:c>
      <x:c r="B40" s="45" t="str">
        <x:v>Veronica García</x:v>
      </x:c>
      <x:c r="C40" s="50" t="str">
        <x:v>38431</x:v>
      </x:c>
      <x:c r="D40" s="45" t="str">
        <x:v>Eduardo Molina</x:v>
      </x:c>
      <x:c r="E40" s="45" t="str">
        <x:v>Abierta</x:v>
      </x:c>
      <x:c r="F40" s="51" t="d">
        <x:v>2011-12-07T00:00:00.000Z</x:v>
      </x:c>
      <x:c r="G40" s="45" t="str">
        <x:v>Gustavo A. Madero</x:v>
      </x:c>
      <x:c r="H40" s="45" t="str">
        <x:v>Ciudad De México</x:v>
      </x:c>
      <x:c r="I40" s="52" t="n">
        <x:v>19.47958733</x:v>
      </x:c>
      <x:c r="J40" s="52" t="n">
        <x:v>-99.09604871</x:v>
      </x:c>
      <x:c r="K40" s="45" t="str">
        <x:v>Cafe</x:v>
      </x:c>
      <x:c r="L40" s="45" t="str">
        <x:v>Retail</x:v>
      </x:c>
      <x:c r="M40" s="45" t="str">
        <x:v>C1</x:v>
      </x:c>
      <x:c r="N40" s="45" t="str">
        <x:v>Sí</x:v>
      </x:c>
      <x:c r="O40" s="45" t="str">
        <x:v>Veronica Garcia Ortega</x:v>
      </x:c>
      <x:c r="P40" s="45" t="str">
        <x:v>Ops y Directorio Alsea · octubre 2026</x:v>
      </x:c>
      <x:c r="Q40" s="45" t="str">
        <x:v>CMS anterior</x:v>
      </x:c>
      <x:c r="R40" s="45" t="str">
        <x:v>Abierta</x:v>
      </x:c>
      <x:c r="S40" s="45" t="str"/>
      <x:c r="T40" s="45" t="n">
        <x:f>IF(AND(E40="Abierta",N40="Sí",ISNUMBER(I40),ISNUMBER(J40),ABS(I40)&lt;=90,ABS(J40)&lt;=180),1,0)</x:f>
        <x:v>1</x:v>
      </x:c>
    </x:row>
    <x:row r="41" ht="23" customHeight="1">
      <x:c r="A41" s="45" t="str">
        <x:v>Centro Norte</x:v>
      </x:c>
      <x:c r="B41" s="45" t="str">
        <x:v>Veronica García</x:v>
      </x:c>
      <x:c r="C41" s="50" t="str">
        <x:v>38529</x:v>
      </x:c>
      <x:c r="D41" s="45" t="str">
        <x:v>Bosques de Aragon</x:v>
      </x:c>
      <x:c r="E41" s="45" t="str">
        <x:v>Abierta</x:v>
      </x:c>
      <x:c r="F41" s="51" t="d">
        <x:v>2014-02-19T00:00:00.000Z</x:v>
      </x:c>
      <x:c r="G41" s="45" t="str">
        <x:v>Gustavo A. Madero</x:v>
      </x:c>
      <x:c r="H41" s="45" t="str">
        <x:v>Ciudad De México</x:v>
      </x:c>
      <x:c r="I41" s="52" t="n">
        <x:v>19.46560093</x:v>
      </x:c>
      <x:c r="J41" s="52" t="n">
        <x:v>-99.08451316</x:v>
      </x:c>
      <x:c r="K41" s="45" t="str">
        <x:v>Cafe</x:v>
      </x:c>
      <x:c r="L41" s="45" t="str">
        <x:v>Retail</x:v>
      </x:c>
      <x:c r="M41" s="45" t="str">
        <x:v>C2</x:v>
      </x:c>
      <x:c r="N41" s="45" t="str">
        <x:v>Sí</x:v>
      </x:c>
      <x:c r="O41" s="45" t="str">
        <x:v>Veronica Garcia Ortega</x:v>
      </x:c>
      <x:c r="P41" s="45" t="str">
        <x:v>Ops y Directorio Alsea · octubre 2026</x:v>
      </x:c>
      <x:c r="Q41" s="45" t="str">
        <x:v>CMS anterior</x:v>
      </x:c>
      <x:c r="R41" s="45" t="str">
        <x:v>Abierta</x:v>
      </x:c>
      <x:c r="S41" s="45" t="str"/>
      <x:c r="T41" s="45" t="n">
        <x:f>IF(AND(E41="Abierta",N41="Sí",ISNUMBER(I41),ISNUMBER(J41),ABS(I41)&lt;=90,ABS(J41)&lt;=180),1,0)</x:f>
        <x:v>1</x:v>
      </x:c>
    </x:row>
    <x:row r="42" ht="23" customHeight="1">
      <x:c r="A42" s="45" t="str">
        <x:v>Centro Norte</x:v>
      </x:c>
      <x:c r="B42" s="45" t="str">
        <x:v>Veronica García</x:v>
      </x:c>
      <x:c r="C42" s="50" t="str">
        <x:v>38719</x:v>
      </x:c>
      <x:c r="D42" s="45" t="str">
        <x:v>Plaza Fortuna</x:v>
      </x:c>
      <x:c r="E42" s="45" t="str">
        <x:v>Abierta</x:v>
      </x:c>
      <x:c r="F42" s="51" t="d">
        <x:v>2017-03-27T00:00:00.000Z</x:v>
      </x:c>
      <x:c r="G42" s="45" t="str">
        <x:v>Gustavo A. Madero</x:v>
      </x:c>
      <x:c r="H42" s="45" t="str">
        <x:v>Ciudad De México</x:v>
      </x:c>
      <x:c r="I42" s="52" t="n">
        <x:v>19.48354117</x:v>
      </x:c>
      <x:c r="J42" s="52" t="n">
        <x:v>-99.13327892</x:v>
      </x:c>
      <x:c r="K42" s="45" t="str">
        <x:v>Cafe</x:v>
      </x:c>
      <x:c r="L42" s="45" t="str">
        <x:v>Retail</x:v>
      </x:c>
      <x:c r="M42" s="45" t="str">
        <x:v>C1</x:v>
      </x:c>
      <x:c r="N42" s="45" t="str">
        <x:v>Sí</x:v>
      </x:c>
      <x:c r="O42" s="45" t="str">
        <x:v>Veronica Garcia Ortega</x:v>
      </x:c>
      <x:c r="P42" s="45" t="str">
        <x:v>Ops y Directorio Alsea · octubre 2026</x:v>
      </x:c>
      <x:c r="Q42" s="45" t="str">
        <x:v>CMS anterior</x:v>
      </x:c>
      <x:c r="R42" s="45" t="str">
        <x:v>Abierta</x:v>
      </x:c>
      <x:c r="S42" s="45" t="str"/>
      <x:c r="T42" s="45" t="n">
        <x:f>IF(AND(E42="Abierta",N42="Sí",ISNUMBER(I42),ISNUMBER(J42),ABS(I42)&lt;=90,ABS(J42)&lt;=180),1,0)</x:f>
        <x:v>1</x:v>
      </x:c>
    </x:row>
    <x:row r="43" ht="23" customHeight="1">
      <x:c r="A43" s="45" t="str">
        <x:v>Centro Norte</x:v>
      </x:c>
      <x:c r="B43" s="45" t="str">
        <x:v>Veronica García</x:v>
      </x:c>
      <x:c r="C43" s="50" t="str">
        <x:v>38811</x:v>
      </x:c>
      <x:c r="D43" s="45" t="str">
        <x:v>Plaza Tepeyac</x:v>
      </x:c>
      <x:c r="E43" s="45" t="str">
        <x:v>Abierta</x:v>
      </x:c>
      <x:c r="F43" s="51" t="d">
        <x:v>2018-06-18T00:00:00.000Z</x:v>
      </x:c>
      <x:c r="G43" s="45" t="str">
        <x:v>Gustavo A. Madero</x:v>
      </x:c>
      <x:c r="H43" s="45" t="str">
        <x:v>Ciudad De México</x:v>
      </x:c>
      <x:c r="I43" s="52" t="n">
        <x:v>19.47171664</x:v>
      </x:c>
      <x:c r="J43" s="52" t="n">
        <x:v>-99.1193661</x:v>
      </x:c>
      <x:c r="K43" s="45" t="str">
        <x:v>Kiosko</x:v>
      </x:c>
      <x:c r="L43" s="45" t="str">
        <x:v>Retail</x:v>
      </x:c>
      <x:c r="M43" s="45" t="str">
        <x:v>C2</x:v>
      </x:c>
      <x:c r="N43" s="45" t="str">
        <x:v>Sí</x:v>
      </x:c>
      <x:c r="O43" s="45" t="str">
        <x:v>Veronica Garcia Ortega</x:v>
      </x:c>
      <x:c r="P43" s="45" t="str">
        <x:v>Ops y Directorio Alsea · octubre 2026</x:v>
      </x:c>
      <x:c r="Q43" s="45" t="str">
        <x:v>CMS anterior</x:v>
      </x:c>
      <x:c r="R43" s="45" t="str">
        <x:v>Abierta</x:v>
      </x:c>
      <x:c r="S43" s="45" t="str"/>
      <x:c r="T43" s="45" t="n">
        <x:f>IF(AND(E43="Abierta",N43="Sí",ISNUMBER(I43),ISNUMBER(J43),ABS(I43)&lt;=90,ABS(J43)&lt;=180),1,0)</x:f>
        <x:v>1</x:v>
      </x:c>
    </x:row>
    <x:row r="44" ht="23" customHeight="1">
      <x:c r="A44" s="45" t="str">
        <x:v>Centro Norte</x:v>
      </x:c>
      <x:c r="B44" s="45" t="str">
        <x:v>Veronica García</x:v>
      </x:c>
      <x:c r="C44" s="50" t="str">
        <x:v>38903</x:v>
      </x:c>
      <x:c r="D44" s="45" t="str">
        <x:v>Encuentro Oceania</x:v>
      </x:c>
      <x:c r="E44" s="45" t="str">
        <x:v>Abierta</x:v>
      </x:c>
      <x:c r="F44" s="51" t="d">
        <x:v>2021-12-23T00:00:00.000Z</x:v>
      </x:c>
      <x:c r="G44" s="45" t="str">
        <x:v>Venustiano Carranza</x:v>
      </x:c>
      <x:c r="H44" s="45" t="str">
        <x:v>Ciudad De México</x:v>
      </x:c>
      <x:c r="I44" s="52" t="n">
        <x:v>19.44013166</x:v>
      </x:c>
      <x:c r="J44" s="52" t="n">
        <x:v>-99.0941487</x:v>
      </x:c>
      <x:c r="K44" s="45" t="str">
        <x:v>Cafe</x:v>
      </x:c>
      <x:c r="L44" s="45" t="str">
        <x:v>Retail</x:v>
      </x:c>
      <x:c r="M44" s="45" t="str">
        <x:v>C1</x:v>
      </x:c>
      <x:c r="N44" s="45" t="str">
        <x:v>Sí</x:v>
      </x:c>
      <x:c r="O44" s="45" t="str">
        <x:v>Veronica Garcia Ortega</x:v>
      </x:c>
      <x:c r="P44" s="45" t="str">
        <x:v>Ops y Directorio Alsea · octubre 2026</x:v>
      </x:c>
      <x:c r="Q44" s="45" t="str">
        <x:v>CMS anterior</x:v>
      </x:c>
      <x:c r="R44" s="45" t="str">
        <x:v>Abierta</x:v>
      </x:c>
      <x:c r="S44" s="45" t="str"/>
      <x:c r="T44" s="45" t="n">
        <x:f>IF(AND(E44="Abierta",N44="Sí",ISNUMBER(I44),ISNUMBER(J44),ABS(I44)&lt;=90,ABS(J44)&lt;=180),1,0)</x:f>
        <x:v>1</x:v>
      </x:c>
    </x:row>
    <x:row r="45" ht="23" customHeight="1">
      <x:c r="A45" s="45" t="str">
        <x:v>Centro Norte</x:v>
      </x:c>
      <x:c r="B45" s="45" t="str">
        <x:v>Veronica García</x:v>
      </x:c>
      <x:c r="C45" s="50" t="str">
        <x:v>38924</x:v>
      </x:c>
      <x:c r="D45" s="45" t="str">
        <x:v>Plaza Aeropuerto</x:v>
      </x:c>
      <x:c r="E45" s="45" t="str">
        <x:v>Abierta</x:v>
      </x:c>
      <x:c r="F45" s="51" t="d">
        <x:v>2022-09-24T00:00:00.000Z</x:v>
      </x:c>
      <x:c r="G45" s="45" t="str">
        <x:v>Venustiano Carranza</x:v>
      </x:c>
      <x:c r="H45" s="45" t="str">
        <x:v>Ciudad De México</x:v>
      </x:c>
      <x:c r="I45" s="52" t="n">
        <x:v>19.42118392</x:v>
      </x:c>
      <x:c r="J45" s="52" t="n">
        <x:v>-99.0966938</x:v>
      </x:c>
      <x:c r="K45" s="45" t="str">
        <x:v>Kiosko</x:v>
      </x:c>
      <x:c r="L45" s="45" t="str">
        <x:v>Retail</x:v>
      </x:c>
      <x:c r="M45" s="45" t="str">
        <x:v>C2</x:v>
      </x:c>
      <x:c r="N45" s="45" t="str">
        <x:v>Sí</x:v>
      </x:c>
      <x:c r="O45" s="45" t="str">
        <x:v>Veronica Garcia Ortega</x:v>
      </x:c>
      <x:c r="P45" s="45" t="str">
        <x:v>Ops y Directorio Alsea · octubre 2026</x:v>
      </x:c>
      <x:c r="Q45" s="45" t="str">
        <x:v>CMS anterior</x:v>
      </x:c>
      <x:c r="R45" s="45" t="str">
        <x:v>Abierta</x:v>
      </x:c>
      <x:c r="S45" s="45" t="str"/>
      <x:c r="T45" s="45" t="n">
        <x:f>IF(AND(E45="Abierta",N45="Sí",ISNUMBER(I45),ISNUMBER(J45),ABS(I45)&lt;=90,ABS(J45)&lt;=180),1,0)</x:f>
        <x:v>1</x:v>
      </x:c>
    </x:row>
    <x:row r="46" ht="23" customHeight="1">
      <x:c r="A46" s="45" t="str">
        <x:v>Centro Norte</x:v>
      </x:c>
      <x:c r="B46" s="45" t="str">
        <x:v>Veronica García</x:v>
      </x:c>
      <x:c r="C46" s="50" t="str">
        <x:v>38930</x:v>
      </x:c>
      <x:c r="D46" s="45" t="str">
        <x:v>Blvd. Aeropuerto dt</x:v>
      </x:c>
      <x:c r="E46" s="45" t="str">
        <x:v>Abierta</x:v>
      </x:c>
      <x:c r="F46" s="51" t="d">
        <x:v>2022-09-29T00:00:00.000Z</x:v>
      </x:c>
      <x:c r="G46" s="45" t="str">
        <x:v>Venustiano Carranza</x:v>
      </x:c>
      <x:c r="H46" s="45" t="str">
        <x:v>Ciudad De México</x:v>
      </x:c>
      <x:c r="I46" s="52" t="n">
        <x:v>19.4246878</x:v>
      </x:c>
      <x:c r="J46" s="52" t="n">
        <x:v>-99.09329076</x:v>
      </x:c>
      <x:c r="K46" s="45" t="str">
        <x:v>Drive_Thru</x:v>
      </x:c>
      <x:c r="L46" s="45" t="str">
        <x:v>Transfers</x:v>
      </x:c>
      <x:c r="M46" s="45" t="str">
        <x:v>C2</x:v>
      </x:c>
      <x:c r="N46" s="45" t="str">
        <x:v>Sí</x:v>
      </x:c>
      <x:c r="O46" s="45" t="str">
        <x:v>Veronica Garcia Ortega</x:v>
      </x:c>
      <x:c r="P46" s="45" t="str">
        <x:v>Ops y Directorio Alsea · octubre 2026</x:v>
      </x:c>
      <x:c r="Q46" s="45" t="str">
        <x:v>CMS anterior</x:v>
      </x:c>
      <x:c r="R46" s="45" t="str">
        <x:v>Abierta</x:v>
      </x:c>
      <x:c r="S46" s="45" t="str"/>
      <x:c r="T46" s="45" t="n">
        <x:f>IF(AND(E46="Abierta",N46="Sí",ISNUMBER(I46),ISNUMBER(J46),ABS(I46)&lt;=90,ABS(J46)&lt;=180),1,0)</x:f>
        <x:v>1</x:v>
      </x:c>
    </x:row>
    <x:row r="47" ht="23" customHeight="1">
      <x:c r="A47" s="45" t="str">
        <x:v>Centro Norte</x:v>
      </x:c>
      <x:c r="B47" s="45" t="str">
        <x:v>Veronica García</x:v>
      </x:c>
      <x:c r="C47" s="50" t="str">
        <x:v>38937</x:v>
      </x:c>
      <x:c r="D47" s="45" t="str">
        <x:v>Parque Tepeyac Piso 1</x:v>
      </x:c>
      <x:c r="E47" s="45" t="str">
        <x:v>Abierta</x:v>
      </x:c>
      <x:c r="F47" s="51" t="d">
        <x:v>2022-11-10T00:00:00.000Z</x:v>
      </x:c>
      <x:c r="G47" s="45" t="str">
        <x:v>Gustavo A. Madero</x:v>
      </x:c>
      <x:c r="H47" s="45" t="str">
        <x:v>Ciudad De México</x:v>
      </x:c>
      <x:c r="I47" s="52" t="n">
        <x:v>19.47774424</x:v>
      </x:c>
      <x:c r="J47" s="52" t="n">
        <x:v>-99.09910405</x:v>
      </x:c>
      <x:c r="K47" s="45" t="str">
        <x:v>Cafe</x:v>
      </x:c>
      <x:c r="L47" s="45" t="str">
        <x:v>Retail</x:v>
      </x:c>
      <x:c r="M47" s="45" t="str">
        <x:v>C2</x:v>
      </x:c>
      <x:c r="N47" s="45" t="str">
        <x:v>Sí</x:v>
      </x:c>
      <x:c r="O47" s="45" t="str">
        <x:v>Veronica Garcia Ortega</x:v>
      </x:c>
      <x:c r="P47" s="45" t="str">
        <x:v>Ops y Directorio Alsea · octubre 2026</x:v>
      </x:c>
      <x:c r="Q47" s="45" t="str">
        <x:v>CMS anterior</x:v>
      </x:c>
      <x:c r="R47" s="45" t="str">
        <x:v>Abierta</x:v>
      </x:c>
      <x:c r="S47" s="45" t="str"/>
      <x:c r="T47" s="45" t="n">
        <x:f>IF(AND(E47="Abierta",N47="Sí",ISNUMBER(I47),ISNUMBER(J47),ABS(I47)&lt;=90,ABS(J47)&lt;=180),1,0)</x:f>
        <x:v>1</x:v>
      </x:c>
    </x:row>
    <x:row r="48" ht="23" customHeight="1">
      <x:c r="A48" s="45" t="str">
        <x:v>Centro Norte</x:v>
      </x:c>
      <x:c r="B48" s="45" t="str">
        <x:v>Veronica García</x:v>
      </x:c>
      <x:c r="C48" s="50" t="str">
        <x:v>38965</x:v>
      </x:c>
      <x:c r="D48" s="45" t="str">
        <x:v>Parque Tepeyac Piso 2</x:v>
      </x:c>
      <x:c r="E48" s="45" t="str">
        <x:v>Abierta</x:v>
      </x:c>
      <x:c r="F48" s="51" t="d">
        <x:v>2023-09-14T00:00:00.000Z</x:v>
      </x:c>
      <x:c r="G48" s="45" t="str">
        <x:v>Gustavo A. Madero</x:v>
      </x:c>
      <x:c r="H48" s="45" t="str">
        <x:v>Ciudad De México</x:v>
      </x:c>
      <x:c r="I48" s="52" t="n">
        <x:v>19.47784704</x:v>
      </x:c>
      <x:c r="J48" s="52" t="n">
        <x:v>-99.09905673</x:v>
      </x:c>
      <x:c r="K48" s="45" t="str">
        <x:v>Cafe</x:v>
      </x:c>
      <x:c r="L48" s="45" t="str">
        <x:v>Retail</x:v>
      </x:c>
      <x:c r="M48" s="45" t="str">
        <x:v>C2</x:v>
      </x:c>
      <x:c r="N48" s="45" t="str">
        <x:v>Sí</x:v>
      </x:c>
      <x:c r="O48" s="45" t="str">
        <x:v>Veronica Garcia Ortega</x:v>
      </x:c>
      <x:c r="P48" s="45" t="str">
        <x:v>Ops y Directorio Alsea · octubre 2026</x:v>
      </x:c>
      <x:c r="Q48" s="45" t="str">
        <x:v>CMS anterior</x:v>
      </x:c>
      <x:c r="R48" s="45" t="str">
        <x:v>Abierta</x:v>
      </x:c>
      <x:c r="S48" s="45" t="str"/>
      <x:c r="T48" s="45" t="n">
        <x:f>IF(AND(E48="Abierta",N48="Sí",ISNUMBER(I48),ISNUMBER(J48),ABS(I48)&lt;=90,ABS(J48)&lt;=180),1,0)</x:f>
        <x:v>1</x:v>
      </x:c>
    </x:row>
    <x:row r="49" ht="23" customHeight="1">
      <x:c r="A49" s="45" t="str">
        <x:v>Centro Norte</x:v>
      </x:c>
      <x:c r="B49" s="45" t="str">
        <x:v>Veronica García</x:v>
      </x:c>
      <x:c r="C49" s="50" t="str">
        <x:v>38992</x:v>
      </x:c>
      <x:c r="D49" s="45" t="str">
        <x:v>Tapo Puerta Oriente</x:v>
      </x:c>
      <x:c r="E49" s="45" t="str">
        <x:v>Abierta</x:v>
      </x:c>
      <x:c r="F49" s="51" t="d">
        <x:v>2023-12-30T00:00:00.000Z</x:v>
      </x:c>
      <x:c r="G49" s="45" t="str">
        <x:v>Venustiano Carranza</x:v>
      </x:c>
      <x:c r="H49" s="45" t="str">
        <x:v>Ciudad De México</x:v>
      </x:c>
      <x:c r="I49" s="52" t="n">
        <x:v>19.43085206</x:v>
      </x:c>
      <x:c r="J49" s="52" t="n">
        <x:v>-99.11476917</x:v>
      </x:c>
      <x:c r="K49" s="45" t="str">
        <x:v>Cafe</x:v>
      </x:c>
      <x:c r="L49" s="45" t="str">
        <x:v>Travel_and_Channel</x:v>
      </x:c>
      <x:c r="M49" s="45" t="str">
        <x:v>C2</x:v>
      </x:c>
      <x:c r="N49" s="45" t="str">
        <x:v>Sí</x:v>
      </x:c>
      <x:c r="O49" s="45" t="str">
        <x:v>Veronica Garcia Ortega</x:v>
      </x:c>
      <x:c r="P49" s="45" t="str">
        <x:v>Ops y Directorio Alsea · octubre 2026</x:v>
      </x:c>
      <x:c r="Q49" s="45" t="str">
        <x:v>CMS anterior</x:v>
      </x:c>
      <x:c r="R49" s="45" t="str">
        <x:v>Abierta</x:v>
      </x:c>
      <x:c r="S49" s="45" t="str"/>
      <x:c r="T49" s="45" t="n">
        <x:f>IF(AND(E49="Abierta",N49="Sí",ISNUMBER(I49),ISNUMBER(J49),ABS(I49)&lt;=90,ABS(J49)&lt;=180),1,0)</x:f>
        <x:v>1</x:v>
      </x:c>
    </x:row>
    <x:row r="50" ht="23" customHeight="1">
      <x:c r="A50" s="45" t="str">
        <x:v>Centro Norte</x:v>
      </x:c>
      <x:c r="B50" s="45" t="str">
        <x:v>Veronica García</x:v>
      </x:c>
      <x:c r="C50" s="50" t="str">
        <x:v>38995</x:v>
      </x:c>
      <x:c r="D50" s="45" t="str">
        <x:v>Encuentro Oceania II</x:v>
      </x:c>
      <x:c r="E50" s="45" t="str">
        <x:v>Abierta</x:v>
      </x:c>
      <x:c r="F50" s="51" t="d">
        <x:v>2023-10-31T00:00:00.000Z</x:v>
      </x:c>
      <x:c r="G50" s="45" t="str">
        <x:v>Venustiano Carranza</x:v>
      </x:c>
      <x:c r="H50" s="45" t="str">
        <x:v>Ciudad De México</x:v>
      </x:c>
      <x:c r="I50" s="52" t="n">
        <x:v>19.43896908</x:v>
      </x:c>
      <x:c r="J50" s="52" t="n">
        <x:v>-99.09459811</x:v>
      </x:c>
      <x:c r="K50" s="45" t="str">
        <x:v>Cafe</x:v>
      </x:c>
      <x:c r="L50" s="45" t="str">
        <x:v>Retail</x:v>
      </x:c>
      <x:c r="M50" s="45" t="str">
        <x:v>C1</x:v>
      </x:c>
      <x:c r="N50" s="45" t="str">
        <x:v>Sí</x:v>
      </x:c>
      <x:c r="O50" s="45" t="str">
        <x:v>Veronica Garcia Ortega</x:v>
      </x:c>
      <x:c r="P50" s="45" t="str">
        <x:v>Ops y Directorio Alsea · octubre 2026</x:v>
      </x:c>
      <x:c r="Q50" s="45" t="str">
        <x:v>CMS anterior</x:v>
      </x:c>
      <x:c r="R50" s="45" t="str">
        <x:v>Abierta</x:v>
      </x:c>
      <x:c r="S50" s="45" t="str"/>
      <x:c r="T50" s="45" t="n">
        <x:f>IF(AND(E50="Abierta",N50="Sí",ISNUMBER(I50),ISNUMBER(J50),ABS(I50)&lt;=90,ABS(J50)&lt;=180),1,0)</x:f>
        <x:v>1</x:v>
      </x:c>
    </x:row>
    <x:row r="51" ht="23" customHeight="1">
      <x:c r="A51" s="45" t="str">
        <x:v>Centro Norte</x:v>
      </x:c>
      <x:c r="B51" s="45" t="str">
        <x:v>Yazmin Chabela</x:v>
      </x:c>
      <x:c r="C51" s="50" t="str">
        <x:v>38117</x:v>
      </x:c>
      <x:c r="D51" s="45" t="str">
        <x:v>Satelite</x:v>
      </x:c>
      <x:c r="E51" s="45" t="str">
        <x:v>Abierta</x:v>
      </x:c>
      <x:c r="F51" s="51" t="d">
        <x:v>2003-09-28T00:00:00.000Z</x:v>
      </x:c>
      <x:c r="G51" s="45" t="str">
        <x:v>Naucalpan</x:v>
      </x:c>
      <x:c r="H51" s="45" t="str">
        <x:v>Estado De México</x:v>
      </x:c>
      <x:c r="I51" s="52" t="n">
        <x:v>19.50687435</x:v>
      </x:c>
      <x:c r="J51" s="52" t="n">
        <x:v>-99.23383088</x:v>
      </x:c>
      <x:c r="K51" s="45" t="str">
        <x:v>Cafe</x:v>
      </x:c>
      <x:c r="L51" s="45" t="str">
        <x:v>Retail</x:v>
      </x:c>
      <x:c r="M51" s="45" t="str">
        <x:v>C1</x:v>
      </x:c>
      <x:c r="N51" s="45" t="str">
        <x:v>Sí</x:v>
      </x:c>
      <x:c r="O51" s="45" t="str">
        <x:v>Yazmin Chabela Guadarrama</x:v>
      </x:c>
      <x:c r="P51" s="45" t="str">
        <x:v>Ops y Directorio Alsea · octubre 2026</x:v>
      </x:c>
      <x:c r="Q51" s="45" t="str">
        <x:v>CMS anterior</x:v>
      </x:c>
      <x:c r="R51" s="45" t="str">
        <x:v>Abierta</x:v>
      </x:c>
      <x:c r="S51" s="45" t="str"/>
      <x:c r="T51" s="45" t="n">
        <x:f>IF(AND(E51="Abierta",N51="Sí",ISNUMBER(I51),ISNUMBER(J51),ABS(I51)&lt;=90,ABS(J51)&lt;=180),1,0)</x:f>
        <x:v>1</x:v>
      </x:c>
    </x:row>
    <x:row r="52" ht="23" customHeight="1">
      <x:c r="A52" s="45" t="str">
        <x:v>Centro Norte</x:v>
      </x:c>
      <x:c r="B52" s="45" t="str">
        <x:v>Yazmin Chabela</x:v>
      </x:c>
      <x:c r="C52" s="50" t="str">
        <x:v>38176</x:v>
      </x:c>
      <x:c r="D52" s="45" t="str">
        <x:v>Periferico Satélite DT</x:v>
      </x:c>
      <x:c r="E52" s="45" t="str">
        <x:v>Abierta</x:v>
      </x:c>
      <x:c r="F52" s="51" t="d">
        <x:v>2022-05-23T00:00:00.000Z</x:v>
      </x:c>
      <x:c r="G52" s="45" t="str">
        <x:v>Naucalpan</x:v>
      </x:c>
      <x:c r="H52" s="45" t="str">
        <x:v>Estado De México</x:v>
      </x:c>
      <x:c r="I52" s="52" t="n">
        <x:v>19.50731704</x:v>
      </x:c>
      <x:c r="J52" s="52" t="n">
        <x:v>-99.23714076</x:v>
      </x:c>
      <x:c r="K52" s="45" t="str">
        <x:v>Drive_Thru</x:v>
      </x:c>
      <x:c r="L52" s="45" t="str">
        <x:v>Transfers</x:v>
      </x:c>
      <x:c r="M52" s="45" t="str">
        <x:v>C2</x:v>
      </x:c>
      <x:c r="N52" s="45" t="str">
        <x:v>Sí</x:v>
      </x:c>
      <x:c r="O52" s="45" t="str">
        <x:v>Yazmin Chabela Guadarrama</x:v>
      </x:c>
      <x:c r="P52" s="45" t="str">
        <x:v>Ops y Directorio Alsea · octubre 2026</x:v>
      </x:c>
      <x:c r="Q52" s="45" t="str">
        <x:v>CMS anterior</x:v>
      </x:c>
      <x:c r="R52" s="45" t="str">
        <x:v>Abierta</x:v>
      </x:c>
      <x:c r="S52" s="45" t="str"/>
      <x:c r="T52" s="45" t="n">
        <x:f>IF(AND(E52="Abierta",N52="Sí",ISNUMBER(I52),ISNUMBER(J52),ABS(I52)&lt;=90,ABS(J52)&lt;=180),1,0)</x:f>
        <x:v>1</x:v>
      </x:c>
    </x:row>
    <x:row r="53" ht="23" customHeight="1">
      <x:c r="A53" s="45" t="str">
        <x:v>Centro Norte</x:v>
      </x:c>
      <x:c r="B53" s="45" t="str">
        <x:v>Yazmin Chabela</x:v>
      </x:c>
      <x:c r="C53" s="50" t="str">
        <x:v>38197</x:v>
      </x:c>
      <x:c r="D53" s="45" t="str">
        <x:v>Echegaray</x:v>
      </x:c>
      <x:c r="E53" s="45" t="str">
        <x:v>Abierta</x:v>
      </x:c>
      <x:c r="F53" s="51" t="d">
        <x:v>2006-09-05T00:00:00.000Z</x:v>
      </x:c>
      <x:c r="G53" s="45" t="str">
        <x:v>Naucalpan</x:v>
      </x:c>
      <x:c r="H53" s="45" t="str">
        <x:v>Estado De México</x:v>
      </x:c>
      <x:c r="I53" s="52" t="n">
        <x:v>19.48699554</x:v>
      </x:c>
      <x:c r="J53" s="52" t="n">
        <x:v>-99.2329265</x:v>
      </x:c>
      <x:c r="K53" s="45" t="str">
        <x:v>Cafe</x:v>
      </x:c>
      <x:c r="L53" s="45" t="str">
        <x:v>Neighborhood</x:v>
      </x:c>
      <x:c r="M53" s="45" t="str">
        <x:v>C2</x:v>
      </x:c>
      <x:c r="N53" s="45" t="str">
        <x:v>Sí</x:v>
      </x:c>
      <x:c r="O53" s="45" t="str">
        <x:v>Yazmin Chabela Guadarrama</x:v>
      </x:c>
      <x:c r="P53" s="45" t="str">
        <x:v>Ops y Directorio Alsea · octubre 2026</x:v>
      </x:c>
      <x:c r="Q53" s="45" t="str">
        <x:v>CMS anterior</x:v>
      </x:c>
      <x:c r="R53" s="45" t="str">
        <x:v>Abierta</x:v>
      </x:c>
      <x:c r="S53" s="45" t="str"/>
      <x:c r="T53" s="45" t="n">
        <x:f>IF(AND(E53="Abierta",N53="Sí",ISNUMBER(I53),ISNUMBER(J53),ABS(I53)&lt;=90,ABS(J53)&lt;=180),1,0)</x:f>
        <x:v>1</x:v>
      </x:c>
    </x:row>
    <x:row r="54" ht="23" customHeight="1">
      <x:c r="A54" s="45" t="str">
        <x:v>Centro Norte</x:v>
      </x:c>
      <x:c r="B54" s="45" t="str">
        <x:v>Yazmin Chabela</x:v>
      </x:c>
      <x:c r="C54" s="50" t="str">
        <x:v>38427</x:v>
      </x:c>
      <x:c r="D54" s="45" t="str">
        <x:v>Plaza Satelite</x:v>
      </x:c>
      <x:c r="E54" s="45" t="str">
        <x:v>Abierta</x:v>
      </x:c>
      <x:c r="F54" s="51" t="d">
        <x:v>2011-11-12T00:00:00.000Z</x:v>
      </x:c>
      <x:c r="G54" s="45" t="str">
        <x:v>Naucalpan</x:v>
      </x:c>
      <x:c r="H54" s="45" t="str">
        <x:v>Estado De México</x:v>
      </x:c>
      <x:c r="I54" s="52" t="n">
        <x:v>19.51106961</x:v>
      </x:c>
      <x:c r="J54" s="52" t="n">
        <x:v>-99.23339456</x:v>
      </x:c>
      <x:c r="K54" s="45" t="str">
        <x:v>Cafe</x:v>
      </x:c>
      <x:c r="L54" s="45" t="str">
        <x:v>Retail</x:v>
      </x:c>
      <x:c r="M54" s="45" t="str">
        <x:v>C2</x:v>
      </x:c>
      <x:c r="N54" s="45" t="str">
        <x:v>Sí</x:v>
      </x:c>
      <x:c r="O54" s="45" t="str">
        <x:v>Yazmin Chabela Guadarrama</x:v>
      </x:c>
      <x:c r="P54" s="45" t="str">
        <x:v>Ops y Directorio Alsea · octubre 2026</x:v>
      </x:c>
      <x:c r="Q54" s="45" t="str">
        <x:v>CMS anterior</x:v>
      </x:c>
      <x:c r="R54" s="45" t="str">
        <x:v>Abierta</x:v>
      </x:c>
      <x:c r="S54" s="45" t="str"/>
      <x:c r="T54" s="45" t="n">
        <x:f>IF(AND(E54="Abierta",N54="Sí",ISNUMBER(I54),ISNUMBER(J54),ABS(I54)&lt;=90,ABS(J54)&lt;=180),1,0)</x:f>
        <x:v>1</x:v>
      </x:c>
    </x:row>
    <x:row r="55" ht="23" customHeight="1">
      <x:c r="A55" s="45" t="str">
        <x:v>Centro Norte</x:v>
      </x:c>
      <x:c r="B55" s="45" t="str">
        <x:v>Yazmin Chabela</x:v>
      </x:c>
      <x:c r="C55" s="50" t="str">
        <x:v>38458</x:v>
      </x:c>
      <x:c r="D55" s="45" t="str">
        <x:v>El Rosario</x:v>
      </x:c>
      <x:c r="E55" s="45" t="str">
        <x:v>Abierta</x:v>
      </x:c>
      <x:c r="F55" s="51" t="d">
        <x:v>2012-06-28T00:00:00.000Z</x:v>
      </x:c>
      <x:c r="G55" s="45" t="str">
        <x:v>Azcapotzalco</x:v>
      </x:c>
      <x:c r="H55" s="45" t="str">
        <x:v>Ciudad De México</x:v>
      </x:c>
      <x:c r="I55" s="52" t="n">
        <x:v>19.50335206</x:v>
      </x:c>
      <x:c r="J55" s="52" t="n">
        <x:v>-99.2034101</x:v>
      </x:c>
      <x:c r="K55" s="45" t="str">
        <x:v>Kiosko</x:v>
      </x:c>
      <x:c r="L55" s="45" t="str">
        <x:v>Retail</x:v>
      </x:c>
      <x:c r="M55" s="45" t="str">
        <x:v>C1</x:v>
      </x:c>
      <x:c r="N55" s="45" t="str">
        <x:v>Sí</x:v>
      </x:c>
      <x:c r="O55" s="45" t="str">
        <x:v>Yazmin Chabela Guadarrama</x:v>
      </x:c>
      <x:c r="P55" s="45" t="str">
        <x:v>Ops y Directorio Alsea · octubre 2026</x:v>
      </x:c>
      <x:c r="Q55" s="45" t="str">
        <x:v>CMS anterior</x:v>
      </x:c>
      <x:c r="R55" s="45" t="str">
        <x:v>Abierta</x:v>
      </x:c>
      <x:c r="S55" s="45" t="str"/>
      <x:c r="T55" s="45" t="n">
        <x:f>IF(AND(E55="Abierta",N55="Sí",ISNUMBER(I55),ISNUMBER(J55),ABS(I55)&lt;=90,ABS(J55)&lt;=180),1,0)</x:f>
        <x:v>1</x:v>
      </x:c>
    </x:row>
    <x:row r="56" ht="23" customHeight="1">
      <x:c r="A56" s="45" t="str">
        <x:v>Centro Norte</x:v>
      </x:c>
      <x:c r="B56" s="45" t="str">
        <x:v>Yazmin Chabela</x:v>
      </x:c>
      <x:c r="C56" s="50" t="str">
        <x:v>38475</x:v>
      </x:c>
      <x:c r="D56" s="45" t="str">
        <x:v>Satelite Centro Civico</x:v>
      </x:c>
      <x:c r="E56" s="45" t="str">
        <x:v>Abierta</x:v>
      </x:c>
      <x:c r="F56" s="51" t="d">
        <x:v>2012-12-06T00:00:00.000Z</x:v>
      </x:c>
      <x:c r="G56" s="45" t="str">
        <x:v>Naucalpan</x:v>
      </x:c>
      <x:c r="H56" s="45" t="str">
        <x:v>Estado De México</x:v>
      </x:c>
      <x:c r="I56" s="52" t="n">
        <x:v>19.51066846</x:v>
      </x:c>
      <x:c r="J56" s="52" t="n">
        <x:v>-99.22947256</x:v>
      </x:c>
      <x:c r="K56" s="45" t="str">
        <x:v>Cafe</x:v>
      </x:c>
      <x:c r="L56" s="45" t="str">
        <x:v>Neighborhood</x:v>
      </x:c>
      <x:c r="M56" s="45" t="str">
        <x:v>C1</x:v>
      </x:c>
      <x:c r="N56" s="45" t="str">
        <x:v>Sí</x:v>
      </x:c>
      <x:c r="O56" s="45" t="str">
        <x:v>Yazmin Chabela Guadarrama</x:v>
      </x:c>
      <x:c r="P56" s="45" t="str">
        <x:v>Ops y Directorio Alsea · octubre 2026</x:v>
      </x:c>
      <x:c r="Q56" s="45" t="str">
        <x:v>CMS anterior</x:v>
      </x:c>
      <x:c r="R56" s="45" t="str">
        <x:v>Abierta</x:v>
      </x:c>
      <x:c r="S56" s="45" t="str"/>
      <x:c r="T56" s="45" t="n">
        <x:f>IF(AND(E56="Abierta",N56="Sí",ISNUMBER(I56),ISNUMBER(J56),ABS(I56)&lt;=90,ABS(J56)&lt;=180),1,0)</x:f>
        <x:v>1</x:v>
      </x:c>
    </x:row>
    <x:row r="57" ht="23" customHeight="1">
      <x:c r="A57" s="45" t="str">
        <x:v>Centro Norte</x:v>
      </x:c>
      <x:c r="B57" s="45" t="str">
        <x:v>Yazmin Chabela</x:v>
      </x:c>
      <x:c r="C57" s="50" t="str">
        <x:v>38561</x:v>
      </x:c>
      <x:c r="D57" s="45" t="str">
        <x:v>Parque Toreo</x:v>
      </x:c>
      <x:c r="E57" s="45" t="str">
        <x:v>Abierta</x:v>
      </x:c>
      <x:c r="F57" s="51" t="d">
        <x:v>2014-11-28T00:00:00.000Z</x:v>
      </x:c>
      <x:c r="G57" s="45" t="str">
        <x:v>Naucalpan</x:v>
      </x:c>
      <x:c r="H57" s="45" t="str">
        <x:v>Estado De México</x:v>
      </x:c>
      <x:c r="I57" s="52" t="n">
        <x:v>19.45468934</x:v>
      </x:c>
      <x:c r="J57" s="52" t="n">
        <x:v>-99.21902146</x:v>
      </x:c>
      <x:c r="K57" s="45" t="str">
        <x:v>Cafe</x:v>
      </x:c>
      <x:c r="L57" s="45" t="str">
        <x:v>Retail</x:v>
      </x:c>
      <x:c r="M57" s="45" t="str">
        <x:v>C2</x:v>
      </x:c>
      <x:c r="N57" s="45" t="str">
        <x:v>Sí</x:v>
      </x:c>
      <x:c r="O57" s="45" t="str">
        <x:v>Yazmin Chabela Guadarrama</x:v>
      </x:c>
      <x:c r="P57" s="45" t="str">
        <x:v>Ops y Directorio Alsea · octubre 2026</x:v>
      </x:c>
      <x:c r="Q57" s="45" t="str">
        <x:v>CMS anterior</x:v>
      </x:c>
      <x:c r="R57" s="45" t="str">
        <x:v>Abierta</x:v>
      </x:c>
      <x:c r="S57" s="45" t="str"/>
      <x:c r="T57" s="45" t="n">
        <x:f>IF(AND(E57="Abierta",N57="Sí",ISNUMBER(I57),ISNUMBER(J57),ABS(I57)&lt;=90,ABS(J57)&lt;=180),1,0)</x:f>
        <x:v>1</x:v>
      </x:c>
    </x:row>
    <x:row r="58" ht="23" customHeight="1">
      <x:c r="A58" s="45" t="str">
        <x:v>Centro Norte</x:v>
      </x:c>
      <x:c r="B58" s="45" t="str">
        <x:v>Yazmin Chabela</x:v>
      </x:c>
      <x:c r="C58" s="50" t="str">
        <x:v>38590</x:v>
      </x:c>
      <x:c r="D58" s="45" t="str">
        <x:v>Parque Toreo II</x:v>
      </x:c>
      <x:c r="E58" s="45" t="str">
        <x:v>Abierta</x:v>
      </x:c>
      <x:c r="F58" s="51" t="d">
        <x:v>2015-08-29T00:00:00.000Z</x:v>
      </x:c>
      <x:c r="G58" s="45" t="str">
        <x:v>Naucalpan</x:v>
      </x:c>
      <x:c r="H58" s="45" t="str">
        <x:v>Estado De México</x:v>
      </x:c>
      <x:c r="I58" s="52" t="n">
        <x:v>19.45465704</x:v>
      </x:c>
      <x:c r="J58" s="52" t="n">
        <x:v>-99.219035</x:v>
      </x:c>
      <x:c r="K58" s="45" t="str">
        <x:v>Kiosko</x:v>
      </x:c>
      <x:c r="L58" s="45" t="str">
        <x:v>Retail</x:v>
      </x:c>
      <x:c r="M58" s="45" t="str">
        <x:v>C2</x:v>
      </x:c>
      <x:c r="N58" s="45" t="str">
        <x:v>Sí</x:v>
      </x:c>
      <x:c r="O58" s="45" t="str">
        <x:v>Yazmin Chabela Guadarrama</x:v>
      </x:c>
      <x:c r="P58" s="45" t="str">
        <x:v>Ops y Directorio Alsea · octubre 2026</x:v>
      </x:c>
      <x:c r="Q58" s="45" t="str">
        <x:v>CMS anterior</x:v>
      </x:c>
      <x:c r="R58" s="45" t="str">
        <x:v>Abierta</x:v>
      </x:c>
      <x:c r="S58" s="45" t="str"/>
      <x:c r="T58" s="45" t="n">
        <x:f>IF(AND(E58="Abierta",N58="Sí",ISNUMBER(I58),ISNUMBER(J58),ABS(I58)&lt;=90,ABS(J58)&lt;=180),1,0)</x:f>
        <x:v>1</x:v>
      </x:c>
    </x:row>
    <x:row r="59" ht="23" customHeight="1">
      <x:c r="A59" s="45" t="str">
        <x:v>Centro Norte</x:v>
      </x:c>
      <x:c r="B59" s="45" t="str">
        <x:v>Yazmin Chabela</x:v>
      </x:c>
      <x:c r="C59" s="50" t="str">
        <x:v>38656</x:v>
      </x:c>
      <x:c r="D59" s="45" t="str">
        <x:v>Viveros de la Loma</x:v>
      </x:c>
      <x:c r="E59" s="45" t="str">
        <x:v>Abierta</x:v>
      </x:c>
      <x:c r="F59" s="51" t="d">
        <x:v>2016-07-28T00:00:00.000Z</x:v>
      </x:c>
      <x:c r="G59" s="45" t="str">
        <x:v>Tlalnepantla</x:v>
      </x:c>
      <x:c r="H59" s="45" t="str">
        <x:v>Estado De México</x:v>
      </x:c>
      <x:c r="I59" s="52" t="n">
        <x:v>19.52537517</x:v>
      </x:c>
      <x:c r="J59" s="52" t="n">
        <x:v>-99.22494146</x:v>
      </x:c>
      <x:c r="K59" s="45" t="str">
        <x:v>Drive_Thru</x:v>
      </x:c>
      <x:c r="L59" s="45" t="str">
        <x:v>Neighborhood</x:v>
      </x:c>
      <x:c r="M59" s="45" t="str">
        <x:v>C2</x:v>
      </x:c>
      <x:c r="N59" s="45" t="str">
        <x:v>Sí</x:v>
      </x:c>
      <x:c r="O59" s="45" t="str">
        <x:v>Yazmin Chabela Guadarrama</x:v>
      </x:c>
      <x:c r="P59" s="45" t="str">
        <x:v>Ops y Directorio Alsea · octubre 2026</x:v>
      </x:c>
      <x:c r="Q59" s="45" t="str">
        <x:v>CMS anterior</x:v>
      </x:c>
      <x:c r="R59" s="45" t="str">
        <x:v>Abierta</x:v>
      </x:c>
      <x:c r="S59" s="45" t="str"/>
      <x:c r="T59" s="45" t="n">
        <x:f>IF(AND(E59="Abierta",N59="Sí",ISNUMBER(I59),ISNUMBER(J59),ABS(I59)&lt;=90,ABS(J59)&lt;=180),1,0)</x:f>
        <x:v>1</x:v>
      </x:c>
    </x:row>
    <x:row r="60" ht="23" customHeight="1">
      <x:c r="A60" s="45" t="str">
        <x:v>Centro Norte</x:v>
      </x:c>
      <x:c r="B60" s="45" t="str">
        <x:v>Yazmin Chabela</x:v>
      </x:c>
      <x:c r="C60" s="50" t="str">
        <x:v>38695</x:v>
      </x:c>
      <x:c r="D60" s="45" t="str">
        <x:v>Cetram 4 Caminos</x:v>
      </x:c>
      <x:c r="E60" s="45" t="str">
        <x:v>Abierta</x:v>
      </x:c>
      <x:c r="F60" s="51" t="d">
        <x:v>2016-12-09T00:00:00.000Z</x:v>
      </x:c>
      <x:c r="G60" s="45" t="str">
        <x:v>Naucalpan</x:v>
      </x:c>
      <x:c r="H60" s="45" t="str">
        <x:v>Estado De México</x:v>
      </x:c>
      <x:c r="I60" s="52" t="n">
        <x:v>19.46049483</x:v>
      </x:c>
      <x:c r="J60" s="52" t="n">
        <x:v>-99.21517073</x:v>
      </x:c>
      <x:c r="K60" s="45" t="str">
        <x:v>Cafe</x:v>
      </x:c>
      <x:c r="L60" s="45" t="str">
        <x:v>Travel_and_Channel</x:v>
      </x:c>
      <x:c r="M60" s="45" t="str">
        <x:v>C1</x:v>
      </x:c>
      <x:c r="N60" s="45" t="str">
        <x:v>Sí</x:v>
      </x:c>
      <x:c r="O60" s="45" t="str">
        <x:v>Yazmin Chabela Guadarrama</x:v>
      </x:c>
      <x:c r="P60" s="45" t="str">
        <x:v>Ops y Directorio Alsea · octubre 2026</x:v>
      </x:c>
      <x:c r="Q60" s="45" t="str">
        <x:v>CMS anterior</x:v>
      </x:c>
      <x:c r="R60" s="45" t="str">
        <x:v>Abierta</x:v>
      </x:c>
      <x:c r="S60" s="45" t="str"/>
      <x:c r="T60" s="45" t="n">
        <x:f>IF(AND(E60="Abierta",N60="Sí",ISNUMBER(I60),ISNUMBER(J60),ABS(I60)&lt;=90,ABS(J60)&lt;=180),1,0)</x:f>
        <x:v>1</x:v>
      </x:c>
    </x:row>
    <x:row r="61" ht="23" customHeight="1">
      <x:c r="A61" s="45" t="str">
        <x:v>Centro Norte</x:v>
      </x:c>
      <x:c r="B61" s="45" t="str">
        <x:v>Yazmin Chabela</x:v>
      </x:c>
      <x:c r="C61" s="50" t="str">
        <x:v>38770</x:v>
      </x:c>
      <x:c r="D61" s="45" t="str">
        <x:v>Gustavo Baz 29</x:v>
      </x:c>
      <x:c r="E61" s="45" t="str">
        <x:v>Abierta</x:v>
      </x:c>
      <x:c r="F61" s="51" t="d">
        <x:v>2018-02-04T00:00:00.000Z</x:v>
      </x:c>
      <x:c r="G61" s="45" t="str">
        <x:v>Tlalnepantla</x:v>
      </x:c>
      <x:c r="H61" s="45" t="str">
        <x:v>Estado De México</x:v>
      </x:c>
      <x:c r="I61" s="52" t="n">
        <x:v>19.50908671</x:v>
      </x:c>
      <x:c r="J61" s="52" t="n">
        <x:v>-99.21982398</x:v>
      </x:c>
      <x:c r="K61" s="45" t="str">
        <x:v>Cafe</x:v>
      </x:c>
      <x:c r="L61" s="45" t="str">
        <x:v>Retail</x:v>
      </x:c>
      <x:c r="M61" s="45" t="str">
        <x:v>C1</x:v>
      </x:c>
      <x:c r="N61" s="45" t="str">
        <x:v>Sí</x:v>
      </x:c>
      <x:c r="O61" s="45" t="str">
        <x:v>Yazmin Chabela Guadarrama</x:v>
      </x:c>
      <x:c r="P61" s="45" t="str">
        <x:v>Ops y Directorio Alsea · octubre 2026</x:v>
      </x:c>
      <x:c r="Q61" s="45" t="str">
        <x:v>CMS anterior</x:v>
      </x:c>
      <x:c r="R61" s="45" t="str">
        <x:v>Abierta</x:v>
      </x:c>
      <x:c r="S61" s="45" t="str"/>
      <x:c r="T61" s="45" t="n">
        <x:f>IF(AND(E61="Abierta",N61="Sí",ISNUMBER(I61),ISNUMBER(J61),ABS(I61)&lt;=90,ABS(J61)&lt;=180),1,0)</x:f>
        <x:v>1</x:v>
      </x:c>
    </x:row>
    <x:row r="62" ht="23" customHeight="1">
      <x:c r="A62" s="45" t="str">
        <x:v>Centro Norte</x:v>
      </x:c>
      <x:c r="B62" s="45" t="str">
        <x:v>Yazmin Chabela</x:v>
      </x:c>
      <x:c r="C62" s="50" t="str">
        <x:v>38859</x:v>
      </x:c>
      <x:c r="D62" s="45" t="str">
        <x:v>Plaza Satelite II N1</x:v>
      </x:c>
      <x:c r="E62" s="45" t="str">
        <x:v>Abierta</x:v>
      </x:c>
      <x:c r="F62" s="51" t="d">
        <x:v>2019-02-11T00:00:00.000Z</x:v>
      </x:c>
      <x:c r="G62" s="45" t="str">
        <x:v>Naucalpan</x:v>
      </x:c>
      <x:c r="H62" s="45" t="str">
        <x:v>Estado De México</x:v>
      </x:c>
      <x:c r="I62" s="52" t="n">
        <x:v>19.51026426</x:v>
      </x:c>
      <x:c r="J62" s="52" t="n">
        <x:v>-99.23423103</x:v>
      </x:c>
      <x:c r="K62" s="45" t="str">
        <x:v>Cafe</x:v>
      </x:c>
      <x:c r="L62" s="45" t="str">
        <x:v>Retail</x:v>
      </x:c>
      <x:c r="M62" s="45" t="str">
        <x:v>C2</x:v>
      </x:c>
      <x:c r="N62" s="45" t="str">
        <x:v>Sí</x:v>
      </x:c>
      <x:c r="O62" s="45" t="str">
        <x:v>Yazmin Chabela Guadarrama</x:v>
      </x:c>
      <x:c r="P62" s="45" t="str">
        <x:v>Ops y Directorio Alsea · octubre 2026</x:v>
      </x:c>
      <x:c r="Q62" s="45" t="str">
        <x:v>CMS anterior</x:v>
      </x:c>
      <x:c r="R62" s="45" t="str">
        <x:v>Abierta</x:v>
      </x:c>
      <x:c r="S62" s="45" t="str"/>
      <x:c r="T62" s="45" t="n">
        <x:f>IF(AND(E62="Abierta",N62="Sí",ISNUMBER(I62),ISNUMBER(J62),ABS(I62)&lt;=90,ABS(J62)&lt;=180),1,0)</x:f>
        <x:v>1</x:v>
      </x:c>
    </x:row>
    <x:row r="63" ht="23" customHeight="1">
      <x:c r="A63" s="45" t="str">
        <x:v>Centro Norte</x:v>
      </x:c>
      <x:c r="B63" s="45" t="str">
        <x:v>Yazmin Chabela</x:v>
      </x:c>
      <x:c r="C63" s="50" t="str">
        <x:v>43152</x:v>
      </x:c>
      <x:c r="D63" s="45" t="str">
        <x:v>Samara Satélite</x:v>
      </x:c>
      <x:c r="E63" s="45" t="str">
        <x:v>Abierta</x:v>
      </x:c>
      <x:c r="F63" s="51" t="d">
        <x:v>2025-08-26T00:00:00.000Z</x:v>
      </x:c>
      <x:c r="G63" s="45" t="str">
        <x:v>Naucalpan</x:v>
      </x:c>
      <x:c r="H63" s="45" t="str">
        <x:v>Estado De México</x:v>
      </x:c>
      <x:c r="I63" s="52" t="n">
        <x:v>19.50621108</x:v>
      </x:c>
      <x:c r="J63" s="52" t="n">
        <x:v>-99.23568797</x:v>
      </x:c>
      <x:c r="K63" s="45" t="str">
        <x:v>Cafe</x:v>
      </x:c>
      <x:c r="L63" s="45" t="str">
        <x:v>Retail</x:v>
      </x:c>
      <x:c r="M63" s="45" t="str">
        <x:v>C1</x:v>
      </x:c>
      <x:c r="N63" s="45" t="str">
        <x:v>Sí</x:v>
      </x:c>
      <x:c r="O63" s="45" t="str">
        <x:v>Yazmin Chabela Guadarrama</x:v>
      </x:c>
      <x:c r="P63" s="45" t="str">
        <x:v>Ops y Directorio Alsea · octubre 2026</x:v>
      </x:c>
      <x:c r="Q63" s="45" t="str">
        <x:v>CMS anterior</x:v>
      </x:c>
      <x:c r="R63" s="45" t="str">
        <x:v>Abierta</x:v>
      </x:c>
      <x:c r="S63" s="45" t="str"/>
      <x:c r="T63" s="45" t="n">
        <x:f>IF(AND(E63="Abierta",N63="Sí",ISNUMBER(I63),ISNUMBER(J63),ABS(I63)&lt;=90,ABS(J63)&lt;=180),1,0)</x:f>
        <x:v>1</x:v>
      </x:c>
    </x:row>
    <x:row r="64" ht="23" customHeight="1">
      <x:c r="A64" s="45" t="str">
        <x:v>Centro Norte</x:v>
      </x:c>
      <x:c r="B64" s="45" t="str">
        <x:v>Yazmin Chabela</x:v>
      </x:c>
      <x:c r="C64" s="50" t="str">
        <x:v>43302</x:v>
      </x:c>
      <x:c r="D64" s="45" t="str">
        <x:v>Toreo Waltmar</x:v>
      </x:c>
      <x:c r="E64" s="45" t="str">
        <x:v>Próxima Apertura</x:v>
      </x:c>
      <x:c r="F64" s="51"/>
      <x:c r="G64" s="45" t="str">
        <x:v>Naucalpan</x:v>
      </x:c>
      <x:c r="H64" s="45" t="str">
        <x:v>Estado De México</x:v>
      </x:c>
      <x:c r="I64" s="52" t="n">
        <x:v>19.4506098125196</x:v>
      </x:c>
      <x:c r="J64" s="52" t="n">
        <x:v>-99.2180774805589</x:v>
      </x:c>
      <x:c r="K64" s="45" t="str">
        <x:v>Kiosko</x:v>
      </x:c>
      <x:c r="L64" s="45" t="str">
        <x:v>Hypermarket</x:v>
      </x:c>
      <x:c r="M64" s="45" t="str">
        <x:v>C2</x:v>
      </x:c>
      <x:c r="N64" s="45" t="str">
        <x:v>Sí</x:v>
      </x:c>
      <x:c r="O64" s="45" t="str">
        <x:v>Yazmin Chabela</x:v>
      </x:c>
      <x:c r="P64" s="45" t="str">
        <x:v>CMS anterior</x:v>
      </x:c>
      <x:c r="Q64" s="45" t="str">
        <x:v>Confirmada por el Regional</x:v>
      </x:c>
      <x:c r="R64" s="45" t="str"/>
      <x:c r="S64" s="45" t="str"/>
      <x:c r="T64" s="45" t="n">
        <x:f>IF(AND(E64="Abierta",N64="Sí",ISNUMBER(I64),ISNUMBER(J64),ABS(I64)&lt;=90,ABS(J64)&lt;=180),1,0)</x:f>
        <x:v>0</x:v>
      </x:c>
    </x:row>
    <x:row r="65" ht="23" customHeight="1">
      <x:c r="A65" s="45" t="str">
        <x:v>Centro Norte</x:v>
      </x:c>
      <x:c r="B65" s="45" t="str">
        <x:v>Yazmin García</x:v>
      </x:c>
      <x:c r="C65" s="50" t="str">
        <x:v>38115</x:v>
      </x:c>
      <x:c r="D65" s="45" t="str">
        <x:v>Zona Azul</x:v>
      </x:c>
      <x:c r="E65" s="45" t="str">
        <x:v>Abierta</x:v>
      </x:c>
      <x:c r="F65" s="51" t="d">
        <x:v>2003-08-15T00:00:00.000Z</x:v>
      </x:c>
      <x:c r="G65" s="45" t="str">
        <x:v>Naucalpan</x:v>
      </x:c>
      <x:c r="H65" s="45" t="str">
        <x:v>Estado De México</x:v>
      </x:c>
      <x:c r="I65" s="52" t="n">
        <x:v>19.50634876</x:v>
      </x:c>
      <x:c r="J65" s="52" t="n">
        <x:v>-99.24655516</x:v>
      </x:c>
      <x:c r="K65" s="45" t="str">
        <x:v>Cafe</x:v>
      </x:c>
      <x:c r="L65" s="45" t="str">
        <x:v>Neighborhood</x:v>
      </x:c>
      <x:c r="M65" s="45" t="str">
        <x:v>C1</x:v>
      </x:c>
      <x:c r="N65" s="45" t="str">
        <x:v>Sí</x:v>
      </x:c>
      <x:c r="O65" s="45" t="str">
        <x:v>Yazmín Haydee Garcia González</x:v>
      </x:c>
      <x:c r="P65" s="45" t="str">
        <x:v>Ops y Directorio Alsea · octubre 2026</x:v>
      </x:c>
      <x:c r="Q65" s="45" t="str">
        <x:v>CMS anterior</x:v>
      </x:c>
      <x:c r="R65" s="45" t="str">
        <x:v>Abierta</x:v>
      </x:c>
      <x:c r="S65" s="45" t="str"/>
      <x:c r="T65" s="45" t="n">
        <x:f>IF(AND(E65="Abierta",N65="Sí",ISNUMBER(I65),ISNUMBER(J65),ABS(I65)&lt;=90,ABS(J65)&lt;=180),1,0)</x:f>
        <x:v>1</x:v>
      </x:c>
    </x:row>
    <x:row r="66" ht="23" customHeight="1">
      <x:c r="A66" s="45" t="str">
        <x:v>Centro Norte</x:v>
      </x:c>
      <x:c r="B66" s="45" t="str">
        <x:v>Yazmin García</x:v>
      </x:c>
      <x:c r="C66" s="50" t="str">
        <x:v>38119</x:v>
      </x:c>
      <x:c r="D66" s="45" t="str">
        <x:v>Lomas Verdes</x:v>
      </x:c>
      <x:c r="E66" s="45" t="str">
        <x:v>Abierta</x:v>
      </x:c>
      <x:c r="F66" s="51" t="d">
        <x:v>2003-10-31T00:00:00.000Z</x:v>
      </x:c>
      <x:c r="G66" s="45" t="str">
        <x:v>Naucalpan</x:v>
      </x:c>
      <x:c r="H66" s="45" t="str">
        <x:v>Estado De México</x:v>
      </x:c>
      <x:c r="I66" s="52" t="n">
        <x:v>19.50654087</x:v>
      </x:c>
      <x:c r="J66" s="52" t="n">
        <x:v>-99.25921766</x:v>
      </x:c>
      <x:c r="K66" s="45" t="str">
        <x:v>Cafe</x:v>
      </x:c>
      <x:c r="L66" s="45" t="str">
        <x:v>Retail</x:v>
      </x:c>
      <x:c r="M66" s="45" t="str">
        <x:v>C1</x:v>
      </x:c>
      <x:c r="N66" s="45" t="str">
        <x:v>Sí</x:v>
      </x:c>
      <x:c r="O66" s="45" t="str">
        <x:v>Yazmín Haydee Garcia González</x:v>
      </x:c>
      <x:c r="P66" s="45" t="str">
        <x:v>Ops y Directorio Alsea · octubre 2026</x:v>
      </x:c>
      <x:c r="Q66" s="45" t="str">
        <x:v>CMS anterior</x:v>
      </x:c>
      <x:c r="R66" s="45" t="str">
        <x:v>Abierta</x:v>
      </x:c>
      <x:c r="S66" s="45" t="str"/>
      <x:c r="T66" s="45" t="n">
        <x:f>IF(AND(E66="Abierta",N66="Sí",ISNUMBER(I66),ISNUMBER(J66),ABS(I66)&lt;=90,ABS(J66)&lt;=180),1,0)</x:f>
        <x:v>1</x:v>
      </x:c>
    </x:row>
    <x:row r="67" ht="23" customHeight="1">
      <x:c r="A67" s="45" t="str">
        <x:v>Centro Norte</x:v>
      </x:c>
      <x:c r="B67" s="45" t="str">
        <x:v>Yazmin García</x:v>
      </x:c>
      <x:c r="C67" s="50" t="str">
        <x:v>38142</x:v>
      </x:c>
      <x:c r="D67" s="45" t="str">
        <x:v>Zona Esmeralda</x:v>
      </x:c>
      <x:c r="E67" s="45" t="str">
        <x:v>Abierta</x:v>
      </x:c>
      <x:c r="F67" s="51" t="d">
        <x:v>2004-12-17T00:00:00.000Z</x:v>
      </x:c>
      <x:c r="G67" s="45" t="str">
        <x:v>Atizapan De Zaragoza</x:v>
      </x:c>
      <x:c r="H67" s="45" t="str">
        <x:v>Estado De México</x:v>
      </x:c>
      <x:c r="I67" s="52" t="n">
        <x:v>19.55907624</x:v>
      </x:c>
      <x:c r="J67" s="52" t="n">
        <x:v>-99.29683123</x:v>
      </x:c>
      <x:c r="K67" s="45" t="str">
        <x:v>Cafe</x:v>
      </x:c>
      <x:c r="L67" s="45" t="str">
        <x:v>Retail</x:v>
      </x:c>
      <x:c r="M67" s="45" t="str">
        <x:v>C2</x:v>
      </x:c>
      <x:c r="N67" s="45" t="str">
        <x:v>Sí</x:v>
      </x:c>
      <x:c r="O67" s="45" t="str">
        <x:v>Yazmín Haydee Garcia González</x:v>
      </x:c>
      <x:c r="P67" s="45" t="str">
        <x:v>Ops y Directorio Alsea · octubre 2026</x:v>
      </x:c>
      <x:c r="Q67" s="45" t="str">
        <x:v>CMS anterior</x:v>
      </x:c>
      <x:c r="R67" s="45" t="str">
        <x:v>Abierta</x:v>
      </x:c>
      <x:c r="S67" s="45" t="str"/>
      <x:c r="T67" s="45" t="n">
        <x:f>IF(AND(E67="Abierta",N67="Sí",ISNUMBER(I67),ISNUMBER(J67),ABS(I67)&lt;=90,ABS(J67)&lt;=180),1,0)</x:f>
        <x:v>1</x:v>
      </x:c>
    </x:row>
    <x:row r="68" ht="23" customHeight="1">
      <x:c r="A68" s="45" t="str">
        <x:v>Centro Norte</x:v>
      </x:c>
      <x:c r="B68" s="45" t="str">
        <x:v>Yazmin García</x:v>
      </x:c>
      <x:c r="C68" s="50" t="str">
        <x:v>38149</x:v>
      </x:c>
      <x:c r="D68" s="45" t="str">
        <x:v>Bellavista</x:v>
      </x:c>
      <x:c r="E68" s="45" t="str">
        <x:v>Abierta</x:v>
      </x:c>
      <x:c r="F68" s="51" t="d">
        <x:v>2005-03-31T00:00:00.000Z</x:v>
      </x:c>
      <x:c r="G68" s="45" t="str">
        <x:v>Tlalnepantla</x:v>
      </x:c>
      <x:c r="H68" s="45" t="str">
        <x:v>Estado De México</x:v>
      </x:c>
      <x:c r="I68" s="52" t="n">
        <x:v>19.51894704</x:v>
      </x:c>
      <x:c r="J68" s="52" t="n">
        <x:v>-99.24687786</x:v>
      </x:c>
      <x:c r="K68" s="45" t="str">
        <x:v>Cafe</x:v>
      </x:c>
      <x:c r="L68" s="45" t="str">
        <x:v>Retail</x:v>
      </x:c>
      <x:c r="M68" s="45" t="str">
        <x:v>C2</x:v>
      </x:c>
      <x:c r="N68" s="45" t="str">
        <x:v>Sí</x:v>
      </x:c>
      <x:c r="O68" s="45" t="str">
        <x:v>Yazmín Haydee Garcia González</x:v>
      </x:c>
      <x:c r="P68" s="45" t="str">
        <x:v>Ops y Directorio Alsea · octubre 2026</x:v>
      </x:c>
      <x:c r="Q68" s="45" t="str">
        <x:v>CMS anterior</x:v>
      </x:c>
      <x:c r="R68" s="45" t="str">
        <x:v>Abierta</x:v>
      </x:c>
      <x:c r="S68" s="45" t="str"/>
      <x:c r="T68" s="45" t="n">
        <x:f>IF(AND(E68="Abierta",N68="Sí",ISNUMBER(I68),ISNUMBER(J68),ABS(I68)&lt;=90,ABS(J68)&lt;=180),1,0)</x:f>
        <x:v>1</x:v>
      </x:c>
    </x:row>
    <x:row r="69" ht="23" customHeight="1">
      <x:c r="A69" s="45" t="str">
        <x:v>Centro Norte</x:v>
      </x:c>
      <x:c r="B69" s="45" t="str">
        <x:v>Yazmin García</x:v>
      </x:c>
      <x:c r="C69" s="50" t="str">
        <x:v>38266</x:v>
      </x:c>
      <x:c r="D69" s="45" t="str">
        <x:v>San Mateo</x:v>
      </x:c>
      <x:c r="E69" s="45" t="str">
        <x:v>Abierta</x:v>
      </x:c>
      <x:c r="F69" s="51" t="d">
        <x:v>2007-10-31T00:00:00.000Z</x:v>
      </x:c>
      <x:c r="G69" s="45" t="str">
        <x:v>Naucalpan</x:v>
      </x:c>
      <x:c r="H69" s="45" t="str">
        <x:v>Estado De México</x:v>
      </x:c>
      <x:c r="I69" s="52" t="n">
        <x:v>19.48381649</x:v>
      </x:c>
      <x:c r="J69" s="52" t="n">
        <x:v>-99.249929</x:v>
      </x:c>
      <x:c r="K69" s="45" t="str">
        <x:v>Cafe</x:v>
      </x:c>
      <x:c r="L69" s="45" t="str">
        <x:v>Retail</x:v>
      </x:c>
      <x:c r="M69" s="45" t="str">
        <x:v>C1</x:v>
      </x:c>
      <x:c r="N69" s="45" t="str">
        <x:v>Sí</x:v>
      </x:c>
      <x:c r="O69" s="45" t="str">
        <x:v>Yazmín Haydee Garcia González</x:v>
      </x:c>
      <x:c r="P69" s="45" t="str">
        <x:v>Ops y Directorio Alsea · octubre 2026</x:v>
      </x:c>
      <x:c r="Q69" s="45" t="str">
        <x:v>CMS anterior</x:v>
      </x:c>
      <x:c r="R69" s="45" t="str">
        <x:v>Abierta</x:v>
      </x:c>
      <x:c r="S69" s="45" t="str"/>
      <x:c r="T69" s="45" t="n">
        <x:f>IF(AND(E69="Abierta",N69="Sí",ISNUMBER(I69),ISNUMBER(J69),ABS(I69)&lt;=90,ABS(J69)&lt;=180),1,0)</x:f>
        <x:v>1</x:v>
      </x:c>
    </x:row>
    <x:row r="70" ht="23" customHeight="1">
      <x:c r="A70" s="45" t="str">
        <x:v>Centro Norte</x:v>
      </x:c>
      <x:c r="B70" s="45" t="str">
        <x:v>Yazmin García</x:v>
      </x:c>
      <x:c r="C70" s="50" t="str">
        <x:v>38270</x:v>
      </x:c>
      <x:c r="D70" s="45" t="str">
        <x:v>Lomas Verdes II</x:v>
      </x:c>
      <x:c r="E70" s="45" t="str">
        <x:v>Abierta</x:v>
      </x:c>
      <x:c r="F70" s="51" t="d">
        <x:v>2007-11-15T00:00:00.000Z</x:v>
      </x:c>
      <x:c r="G70" s="45" t="str">
        <x:v>Naucalpan</x:v>
      </x:c>
      <x:c r="H70" s="45" t="str">
        <x:v>Estado De México</x:v>
      </x:c>
      <x:c r="I70" s="52" t="n">
        <x:v>19.51505213</x:v>
      </x:c>
      <x:c r="J70" s="52" t="n">
        <x:v>-99.26625577</x:v>
      </x:c>
      <x:c r="K70" s="45" t="str">
        <x:v>Cafe</x:v>
      </x:c>
      <x:c r="L70" s="45" t="str">
        <x:v>Retail</x:v>
      </x:c>
      <x:c r="M70" s="45" t="str">
        <x:v>C2</x:v>
      </x:c>
      <x:c r="N70" s="45" t="str">
        <x:v>Sí</x:v>
      </x:c>
      <x:c r="O70" s="45" t="str">
        <x:v>Yazmín Haydee Garcia González</x:v>
      </x:c>
      <x:c r="P70" s="45" t="str">
        <x:v>Ops y Directorio Alsea · octubre 2026</x:v>
      </x:c>
      <x:c r="Q70" s="45" t="str">
        <x:v>CMS anterior</x:v>
      </x:c>
      <x:c r="R70" s="45" t="str">
        <x:v>Abierta</x:v>
      </x:c>
      <x:c r="S70" s="45" t="str"/>
      <x:c r="T70" s="45" t="n">
        <x:f>IF(AND(E70="Abierta",N70="Sí",ISNUMBER(I70),ISNUMBER(J70),ABS(I70)&lt;=90,ABS(J70)&lt;=180),1,0)</x:f>
        <x:v>1</x:v>
      </x:c>
    </x:row>
    <x:row r="71" ht="23" customHeight="1">
      <x:c r="A71" s="45" t="str">
        <x:v>Centro Norte</x:v>
      </x:c>
      <x:c r="B71" s="45" t="str">
        <x:v>Yazmin García</x:v>
      </x:c>
      <x:c r="C71" s="50" t="str">
        <x:v>38363</x:v>
      </x:c>
      <x:c r="D71" s="45" t="str">
        <x:v>Galerias Atizapan</x:v>
      </x:c>
      <x:c r="E71" s="45" t="str">
        <x:v>Abierta</x:v>
      </x:c>
      <x:c r="F71" s="51" t="d">
        <x:v>2009-03-20T00:00:00.000Z</x:v>
      </x:c>
      <x:c r="G71" s="45" t="str">
        <x:v>Atizapan De Zaragoza</x:v>
      </x:c>
      <x:c r="H71" s="45" t="str">
        <x:v>Estado De México</x:v>
      </x:c>
      <x:c r="I71" s="52" t="n">
        <x:v>19.54919506</x:v>
      </x:c>
      <x:c r="J71" s="52" t="n">
        <x:v>-99.27443927</x:v>
      </x:c>
      <x:c r="K71" s="45" t="str">
        <x:v>Cafe</x:v>
      </x:c>
      <x:c r="L71" s="45" t="str">
        <x:v>Retail</x:v>
      </x:c>
      <x:c r="M71" s="45" t="str">
        <x:v>C2</x:v>
      </x:c>
      <x:c r="N71" s="45" t="str">
        <x:v>Sí</x:v>
      </x:c>
      <x:c r="O71" s="45" t="str">
        <x:v>Yazmín Haydee Garcia González</x:v>
      </x:c>
      <x:c r="P71" s="45" t="str">
        <x:v>Ops y Directorio Alsea · octubre 2026</x:v>
      </x:c>
      <x:c r="Q71" s="45" t="str">
        <x:v>CMS anterior</x:v>
      </x:c>
      <x:c r="R71" s="45" t="str">
        <x:v>Abierta</x:v>
      </x:c>
      <x:c r="S71" s="45" t="str"/>
      <x:c r="T71" s="45" t="n">
        <x:f>IF(AND(E71="Abierta",N71="Sí",ISNUMBER(I71),ISNUMBER(J71),ABS(I71)&lt;=90,ABS(J71)&lt;=180),1,0)</x:f>
        <x:v>1</x:v>
      </x:c>
    </x:row>
    <x:row r="72" ht="23" customHeight="1">
      <x:c r="A72" s="45" t="str">
        <x:v>Centro Norte</x:v>
      </x:c>
      <x:c r="B72" s="45" t="str">
        <x:v>Yazmin García</x:v>
      </x:c>
      <x:c r="C72" s="50" t="str">
        <x:v>38394</x:v>
      </x:c>
      <x:c r="D72" s="45" t="str">
        <x:v>Centro Comercial Lomas Verdes</x:v>
      </x:c>
      <x:c r="E72" s="45" t="str">
        <x:v>Abierta</x:v>
      </x:c>
      <x:c r="F72" s="51" t="d">
        <x:v>2010-11-12T00:00:00.000Z</x:v>
      </x:c>
      <x:c r="G72" s="45" t="str">
        <x:v>Naucalpan</x:v>
      </x:c>
      <x:c r="H72" s="45" t="str">
        <x:v>Estado De México</x:v>
      </x:c>
      <x:c r="I72" s="52" t="n">
        <x:v>19.49609752</x:v>
      </x:c>
      <x:c r="J72" s="52" t="n">
        <x:v>-99.2469041</x:v>
      </x:c>
      <x:c r="K72" s="45" t="str">
        <x:v>Kiosko</x:v>
      </x:c>
      <x:c r="L72" s="45" t="str">
        <x:v>Retail</x:v>
      </x:c>
      <x:c r="M72" s="45" t="str">
        <x:v>C1</x:v>
      </x:c>
      <x:c r="N72" s="45" t="str">
        <x:v>Sí</x:v>
      </x:c>
      <x:c r="O72" s="45" t="str">
        <x:v>Yazmín Haydee Garcia González</x:v>
      </x:c>
      <x:c r="P72" s="45" t="str">
        <x:v>Ops y Directorio Alsea · octubre 2026</x:v>
      </x:c>
      <x:c r="Q72" s="45" t="str">
        <x:v>CMS anterior</x:v>
      </x:c>
      <x:c r="R72" s="45" t="str">
        <x:v>Abierta</x:v>
      </x:c>
      <x:c r="S72" s="45" t="str"/>
      <x:c r="T72" s="45" t="n">
        <x:f>IF(AND(E72="Abierta",N72="Sí",ISNUMBER(I72),ISNUMBER(J72),ABS(I72)&lt;=90,ABS(J72)&lt;=180),1,0)</x:f>
        <x:v>1</x:v>
      </x:c>
    </x:row>
    <x:row r="73" ht="23" customHeight="1">
      <x:c r="A73" s="45" t="str">
        <x:v>Centro Norte</x:v>
      </x:c>
      <x:c r="B73" s="45" t="str">
        <x:v>Yazmin García</x:v>
      </x:c>
      <x:c r="C73" s="50" t="str">
        <x:v>38507</x:v>
      </x:c>
      <x:c r="D73" s="45" t="str">
        <x:v>Espacio Vista del Valle</x:v>
      </x:c>
      <x:c r="E73" s="45" t="str">
        <x:v>Abierta</x:v>
      </x:c>
      <x:c r="F73" s="51" t="d">
        <x:v>2013-09-19T00:00:00.000Z</x:v>
      </x:c>
      <x:c r="G73" s="45" t="str">
        <x:v>Naucalpan</x:v>
      </x:c>
      <x:c r="H73" s="45" t="str">
        <x:v>Estado De México</x:v>
      </x:c>
      <x:c r="I73" s="52" t="n">
        <x:v>19.47730506</x:v>
      </x:c>
      <x:c r="J73" s="52" t="n">
        <x:v>-99.26872646</x:v>
      </x:c>
      <x:c r="K73" s="45" t="str">
        <x:v>Cafe</x:v>
      </x:c>
      <x:c r="L73" s="45" t="str">
        <x:v>Retail</x:v>
      </x:c>
      <x:c r="M73" s="45" t="str">
        <x:v>C2</x:v>
      </x:c>
      <x:c r="N73" s="45" t="str">
        <x:v>Sí</x:v>
      </x:c>
      <x:c r="O73" s="45" t="str">
        <x:v>Yazmín Haydee Garcia González</x:v>
      </x:c>
      <x:c r="P73" s="45" t="str">
        <x:v>Ops y Directorio Alsea · octubre 2026</x:v>
      </x:c>
      <x:c r="Q73" s="45" t="str">
        <x:v>CMS anterior</x:v>
      </x:c>
      <x:c r="R73" s="45" t="str">
        <x:v>Abierta</x:v>
      </x:c>
      <x:c r="S73" s="45" t="str"/>
      <x:c r="T73" s="45" t="n">
        <x:f>IF(AND(E73="Abierta",N73="Sí",ISNUMBER(I73),ISNUMBER(J73),ABS(I73)&lt;=90,ABS(J73)&lt;=180),1,0)</x:f>
        <x:v>1</x:v>
      </x:c>
    </x:row>
    <x:row r="74" ht="23" customHeight="1">
      <x:c r="A74" s="45" t="str">
        <x:v>Centro Norte</x:v>
      </x:c>
      <x:c r="B74" s="45" t="str">
        <x:v>Yazmin García</x:v>
      </x:c>
      <x:c r="C74" s="50" t="str">
        <x:v>38535</x:v>
      </x:c>
      <x:c r="D74" s="45" t="str">
        <x:v>City Center Esmeralda</x:v>
      </x:c>
      <x:c r="E74" s="45" t="str">
        <x:v>Abierta</x:v>
      </x:c>
      <x:c r="F74" s="51" t="d">
        <x:v>2014-06-05T00:00:00.000Z</x:v>
      </x:c>
      <x:c r="G74" s="45" t="str">
        <x:v>Atizapan De Zaragoza</x:v>
      </x:c>
      <x:c r="H74" s="45" t="str">
        <x:v>Estado De México</x:v>
      </x:c>
      <x:c r="I74" s="52" t="n">
        <x:v>19.54964287</x:v>
      </x:c>
      <x:c r="J74" s="52" t="n">
        <x:v>-99.28755274</x:v>
      </x:c>
      <x:c r="K74" s="45" t="str">
        <x:v>Drive_Thru</x:v>
      </x:c>
      <x:c r="L74" s="45" t="str">
        <x:v>Retail</x:v>
      </x:c>
      <x:c r="M74" s="45" t="str">
        <x:v>C2</x:v>
      </x:c>
      <x:c r="N74" s="45" t="str">
        <x:v>Sí</x:v>
      </x:c>
      <x:c r="O74" s="45" t="str">
        <x:v>Yazmín Haydee Garcia González</x:v>
      </x:c>
      <x:c r="P74" s="45" t="str">
        <x:v>Ops y Directorio Alsea · octubre 2026</x:v>
      </x:c>
      <x:c r="Q74" s="45" t="str">
        <x:v>CMS anterior</x:v>
      </x:c>
      <x:c r="R74" s="45" t="str">
        <x:v>Abierta</x:v>
      </x:c>
      <x:c r="S74" s="45" t="str"/>
      <x:c r="T74" s="45" t="n">
        <x:f>IF(AND(E74="Abierta",N74="Sí",ISNUMBER(I74),ISNUMBER(J74),ABS(I74)&lt;=90,ABS(J74)&lt;=180),1,0)</x:f>
        <x:v>1</x:v>
      </x:c>
    </x:row>
    <x:row r="75" ht="23" customHeight="1">
      <x:c r="A75" s="45" t="str">
        <x:v>Centro Norte</x:v>
      </x:c>
      <x:c r="B75" s="45" t="str">
        <x:v>Yazmin García</x:v>
      </x:c>
      <x:c r="C75" s="50" t="str">
        <x:v>38925</x:v>
      </x:c>
      <x:c r="D75" s="45" t="str">
        <x:v>Star Medica Lomas Verdes</x:v>
      </x:c>
      <x:c r="E75" s="45" t="str">
        <x:v>Abierta</x:v>
      </x:c>
      <x:c r="F75" s="51" t="d">
        <x:v>2022-09-30T00:00:00.000Z</x:v>
      </x:c>
      <x:c r="G75" s="45" t="str">
        <x:v>Naucalpan</x:v>
      </x:c>
      <x:c r="H75" s="45" t="str">
        <x:v>Estado De México</x:v>
      </x:c>
      <x:c r="I75" s="52" t="n">
        <x:v>19.49898526</x:v>
      </x:c>
      <x:c r="J75" s="52" t="n">
        <x:v>-99.25087154</x:v>
      </x:c>
      <x:c r="K75" s="45" t="str">
        <x:v>Kiosko</x:v>
      </x:c>
      <x:c r="L75" s="45" t="str">
        <x:v>Institution</x:v>
      </x:c>
      <x:c r="M75" s="45" t="str">
        <x:v>C2</x:v>
      </x:c>
      <x:c r="N75" s="45" t="str">
        <x:v>Sí</x:v>
      </x:c>
      <x:c r="O75" s="45" t="str">
        <x:v>Yazmín Haydee Garcia González</x:v>
      </x:c>
      <x:c r="P75" s="45" t="str">
        <x:v>Ops y Directorio Alsea · octubre 2026</x:v>
      </x:c>
      <x:c r="Q75" s="45" t="str">
        <x:v>CMS anterior</x:v>
      </x:c>
      <x:c r="R75" s="45" t="str">
        <x:v>Abierta</x:v>
      </x:c>
      <x:c r="S75" s="45" t="str"/>
      <x:c r="T75" s="45" t="n">
        <x:f>IF(AND(E75="Abierta",N75="Sí",ISNUMBER(I75),ISNUMBER(J75),ABS(I75)&lt;=90,ABS(J75)&lt;=180),1,0)</x:f>
        <x:v>1</x:v>
      </x:c>
    </x:row>
    <x:row r="76" ht="23" customHeight="1">
      <x:c r="A76" s="45" t="str">
        <x:v>Centro Norte</x:v>
      </x:c>
      <x:c r="B76" s="45" t="str">
        <x:v>Yazmin García</x:v>
      </x:c>
      <x:c r="C76" s="50" t="str">
        <x:v>43043</x:v>
      </x:c>
      <x:c r="D76" s="45" t="str">
        <x:v>Atizapan</x:v>
      </x:c>
      <x:c r="E76" s="45" t="str">
        <x:v>Abierta</x:v>
      </x:c>
      <x:c r="F76" s="51" t="d">
        <x:v>2024-05-24T00:00:00.000Z</x:v>
      </x:c>
      <x:c r="G76" s="45" t="str">
        <x:v>Atizapan De Zaragoza</x:v>
      </x:c>
      <x:c r="H76" s="45" t="str">
        <x:v>Estado De México</x:v>
      </x:c>
      <x:c r="I76" s="52" t="n">
        <x:v>19.5546593</x:v>
      </x:c>
      <x:c r="J76" s="52" t="n">
        <x:v>-99.26766941</x:v>
      </x:c>
      <x:c r="K76" s="45" t="str">
        <x:v>Cafe</x:v>
      </x:c>
      <x:c r="L76" s="45" t="str">
        <x:v>Retail</x:v>
      </x:c>
      <x:c r="M76" s="45" t="str">
        <x:v>C1</x:v>
      </x:c>
      <x:c r="N76" s="45" t="str">
        <x:v>Sí</x:v>
      </x:c>
      <x:c r="O76" s="45" t="str">
        <x:v>Yazmín Haydee Garcia González</x:v>
      </x:c>
      <x:c r="P76" s="45" t="str">
        <x:v>Ops y Directorio Alsea · octubre 2026</x:v>
      </x:c>
      <x:c r="Q76" s="45" t="str">
        <x:v>CMS anterior</x:v>
      </x:c>
      <x:c r="R76" s="45" t="str">
        <x:v>Abierta</x:v>
      </x:c>
      <x:c r="S76" s="45" t="str"/>
      <x:c r="T76" s="45" t="n">
        <x:f>IF(AND(E76="Abierta",N76="Sí",ISNUMBER(I76),ISNUMBER(J76),ABS(I76)&lt;=90,ABS(J76)&lt;=180),1,0)</x:f>
        <x:v>1</x:v>
      </x:c>
    </x:row>
    <x:row r="77" ht="23" customHeight="1">
      <x:c r="A77" s="45" t="str">
        <x:v>Centro Norte</x:v>
      </x:c>
      <x:c r="B77" s="45" t="str">
        <x:v>Yazmin García</x:v>
      </x:c>
      <x:c r="C77" s="50" t="str">
        <x:v>43130</x:v>
      </x:c>
      <x:c r="D77" s="45" t="str">
        <x:v>Town Center Nicolás Romero</x:v>
      </x:c>
      <x:c r="E77" s="45" t="str">
        <x:v>Abierta</x:v>
      </x:c>
      <x:c r="F77" s="51" t="d">
        <x:v>2024-12-23T00:00:00.000Z</x:v>
      </x:c>
      <x:c r="G77" s="45" t="str">
        <x:v>Nicolás Romero</x:v>
      </x:c>
      <x:c r="H77" s="45" t="str">
        <x:v>Estado De México</x:v>
      </x:c>
      <x:c r="I77" s="52" t="n">
        <x:v>19.62665084</x:v>
      </x:c>
      <x:c r="J77" s="52" t="n">
        <x:v>-99.2932417</x:v>
      </x:c>
      <x:c r="K77" s="45" t="str">
        <x:v>Cafe</x:v>
      </x:c>
      <x:c r="L77" s="45" t="str">
        <x:v>Retail</x:v>
      </x:c>
      <x:c r="M77" s="45" t="str">
        <x:v>C1</x:v>
      </x:c>
      <x:c r="N77" s="45" t="str">
        <x:v>Sí</x:v>
      </x:c>
      <x:c r="O77" s="45" t="str">
        <x:v>Yazmín Haydee Garcia González</x:v>
      </x:c>
      <x:c r="P77" s="45" t="str">
        <x:v>Ops y Directorio Alsea · octubre 2026</x:v>
      </x:c>
      <x:c r="Q77" s="45" t="str">
        <x:v>CMS anterior</x:v>
      </x:c>
      <x:c r="R77" s="45" t="str">
        <x:v>Abierta</x:v>
      </x:c>
      <x:c r="S77" s="45" t="str"/>
      <x:c r="T77" s="45" t="n">
        <x:f>IF(AND(E77="Abierta",N77="Sí",ISNUMBER(I77),ISNUMBER(J77),ABS(I77)&lt;=90,ABS(J77)&lt;=180),1,0)</x:f>
        <x:v>1</x:v>
      </x:c>
    </x:row>
    <x:row r="78" ht="23" customHeight="1">
      <x:c r="A78" s="45" t="str">
        <x:v>Centro Sur</x:v>
      </x:c>
      <x:c r="B78" s="45" t="str">
        <x:v>Ariana Janet Gutierrez Martinez</x:v>
      </x:c>
      <x:c r="C78" s="50" t="str">
        <x:v>38226</x:v>
      </x:c>
      <x:c r="D78" s="45" t="str">
        <x:v>Via kiosko 515</x:v>
      </x:c>
      <x:c r="E78" s="45" t="str">
        <x:v>Abierta</x:v>
      </x:c>
      <x:c r="F78" s="51" t="d">
        <x:v>2022-12-31T00:00:00.000Z</x:v>
      </x:c>
      <x:c r="G78" s="45" t="str">
        <x:v>Iztacalco</x:v>
      </x:c>
      <x:c r="H78" s="45" t="str">
        <x:v>Ciudad De México</x:v>
      </x:c>
      <x:c r="I78" s="52" t="n">
        <x:v>19.4060249</x:v>
      </x:c>
      <x:c r="J78" s="52" t="n">
        <x:v>-99.1104201</x:v>
      </x:c>
      <x:c r="K78" s="45" t="str">
        <x:v>Kiosko</x:v>
      </x:c>
      <x:c r="L78" s="45" t="str">
        <x:v>Retail</x:v>
      </x:c>
      <x:c r="M78" s="45" t="str">
        <x:v>C2</x:v>
      </x:c>
      <x:c r="N78" s="45" t="str">
        <x:v>Sí</x:v>
      </x:c>
      <x:c r="O78" s="45" t="str">
        <x:v>Ariana Janet Gutierrez Martinez</x:v>
      </x:c>
      <x:c r="P78" s="45" t="str">
        <x:v>Ops y Directorio Alsea · octubre 2026</x:v>
      </x:c>
      <x:c r="Q78" s="45" t="str">
        <x:v>Puntos proporcionados</x:v>
      </x:c>
      <x:c r="R78" s="45" t="str">
        <x:v>Abierta</x:v>
      </x:c>
      <x:c r="S78" s="45" t="str"/>
      <x:c r="T78" s="45" t="n">
        <x:f>IF(AND(E78="Abierta",N78="Sí",ISNUMBER(I78),ISNUMBER(J78),ABS(I78)&lt;=90,ABS(J78)&lt;=180),1,0)</x:f>
        <x:v>1</x:v>
      </x:c>
    </x:row>
    <x:row r="79" ht="23" customHeight="1">
      <x:c r="A79" s="45" t="str">
        <x:v>Centro Sur</x:v>
      </x:c>
      <x:c r="B79" s="45" t="str">
        <x:v>Ariana Janet Gutierrez Martinez</x:v>
      </x:c>
      <x:c r="C79" s="50" t="str">
        <x:v>38279</x:v>
      </x:c>
      <x:c r="D79" s="45" t="str">
        <x:v>Tezontle ll</x:v>
      </x:c>
      <x:c r="E79" s="45" t="str">
        <x:v>Abierta</x:v>
      </x:c>
      <x:c r="F79" s="51" t="d">
        <x:v>2007-12-01T00:00:00.000Z</x:v>
      </x:c>
      <x:c r="G79" s="45" t="str">
        <x:v>Iztapalapa</x:v>
      </x:c>
      <x:c r="H79" s="45" t="str">
        <x:v>Ciudad De México</x:v>
      </x:c>
      <x:c r="I79" s="52" t="n">
        <x:v>19.3839402</x:v>
      </x:c>
      <x:c r="J79" s="52" t="n">
        <x:v>-99.0827831</x:v>
      </x:c>
      <x:c r="K79" s="45" t="str">
        <x:v>Cafe</x:v>
      </x:c>
      <x:c r="L79" s="45" t="str">
        <x:v>Retail</x:v>
      </x:c>
      <x:c r="M79" s="45" t="str">
        <x:v>C2</x:v>
      </x:c>
      <x:c r="N79" s="45" t="str">
        <x:v>Sí</x:v>
      </x:c>
      <x:c r="O79" s="45" t="str">
        <x:v>Ariana Janet Gutierrez Martinez</x:v>
      </x:c>
      <x:c r="P79" s="45" t="str">
        <x:v>Ops y Directorio Alsea · octubre 2026</x:v>
      </x:c>
      <x:c r="Q79" s="45" t="str">
        <x:v>Puntos proporcionados</x:v>
      </x:c>
      <x:c r="R79" s="45" t="str">
        <x:v>Abierta</x:v>
      </x:c>
      <x:c r="S79" s="45" t="str"/>
      <x:c r="T79" s="45" t="n">
        <x:f>IF(AND(E79="Abierta",N79="Sí",ISNUMBER(I79),ISNUMBER(J79),ABS(I79)&lt;=90,ABS(J79)&lt;=180),1,0)</x:f>
        <x:v>1</x:v>
      </x:c>
    </x:row>
    <x:row r="80" ht="23" customHeight="1">
      <x:c r="A80" s="45" t="str">
        <x:v>Centro Sur</x:v>
      </x:c>
      <x:c r="B80" s="45" t="str">
        <x:v>Ariana Janet Gutierrez Martinez</x:v>
      </x:c>
      <x:c r="C80" s="50" t="str">
        <x:v>38289</x:v>
      </x:c>
      <x:c r="D80" s="45" t="str">
        <x:v>Tezontle l</x:v>
      </x:c>
      <x:c r="E80" s="45" t="str">
        <x:v>Abierta</x:v>
      </x:c>
      <x:c r="F80" s="51" t="d">
        <x:v>2007-12-18T00:00:00.000Z</x:v>
      </x:c>
      <x:c r="G80" s="45" t="str">
        <x:v>Iztapalapa</x:v>
      </x:c>
      <x:c r="H80" s="45" t="str">
        <x:v>Ciudad De México</x:v>
      </x:c>
      <x:c r="I80" s="52" t="n">
        <x:v>19.3841205</x:v>
      </x:c>
      <x:c r="J80" s="52" t="n">
        <x:v>-99.082764</x:v>
      </x:c>
      <x:c r="K80" s="45" t="str">
        <x:v>Cafe</x:v>
      </x:c>
      <x:c r="L80" s="45" t="str">
        <x:v>Retail</x:v>
      </x:c>
      <x:c r="M80" s="45" t="str">
        <x:v>C2</x:v>
      </x:c>
      <x:c r="N80" s="45" t="str">
        <x:v>Sí</x:v>
      </x:c>
      <x:c r="O80" s="45" t="str">
        <x:v>Ariana Janet Gutierrez Martinez</x:v>
      </x:c>
      <x:c r="P80" s="45" t="str">
        <x:v>Ops y Directorio Alsea · octubre 2026</x:v>
      </x:c>
      <x:c r="Q80" s="45" t="str">
        <x:v>Puntos proporcionados</x:v>
      </x:c>
      <x:c r="R80" s="45" t="str">
        <x:v>Abierta</x:v>
      </x:c>
      <x:c r="S80" s="45" t="str"/>
      <x:c r="T80" s="45" t="n">
        <x:f>IF(AND(E80="Abierta",N80="Sí",ISNUMBER(I80),ISNUMBER(J80),ABS(I80)&lt;=90,ABS(J80)&lt;=180),1,0)</x:f>
        <x:v>1</x:v>
      </x:c>
    </x:row>
    <x:row r="81" ht="23" customHeight="1">
      <x:c r="A81" s="45" t="str">
        <x:v>Centro Sur</x:v>
      </x:c>
      <x:c r="B81" s="45" t="str">
        <x:v>Ariana Janet Gutierrez Martinez</x:v>
      </x:c>
      <x:c r="C81" s="50" t="str">
        <x:v>38418</x:v>
      </x:c>
      <x:c r="D81" s="45" t="str">
        <x:v>Plaza Oriente l</x:v>
      </x:c>
      <x:c r="E81" s="45" t="str">
        <x:v>Abierta</x:v>
      </x:c>
      <x:c r="F81" s="51" t="d">
        <x:v>2011-06-30T00:00:00.000Z</x:v>
      </x:c>
      <x:c r="G81" s="45" t="str">
        <x:v>Iztapalapa</x:v>
      </x:c>
      <x:c r="H81" s="45" t="str">
        <x:v>Ciudad De México</x:v>
      </x:c>
      <x:c r="I81" s="52" t="n">
        <x:v>19.384404</x:v>
      </x:c>
      <x:c r="J81" s="52" t="n">
        <x:v>-99.079233</x:v>
      </x:c>
      <x:c r="K81" s="45" t="str">
        <x:v>Cafe</x:v>
      </x:c>
      <x:c r="L81" s="45" t="str">
        <x:v>Retail</x:v>
      </x:c>
      <x:c r="M81" s="45" t="str">
        <x:v>C2</x:v>
      </x:c>
      <x:c r="N81" s="45" t="str">
        <x:v>Sí</x:v>
      </x:c>
      <x:c r="O81" s="45" t="str">
        <x:v>Ariana Janet Gutierrez Martinez</x:v>
      </x:c>
      <x:c r="P81" s="45" t="str">
        <x:v>Ops y Directorio Alsea · octubre 2026</x:v>
      </x:c>
      <x:c r="Q81" s="45" t="str">
        <x:v>Puntos proporcionados</x:v>
      </x:c>
      <x:c r="R81" s="45" t="str">
        <x:v>Abierta</x:v>
      </x:c>
      <x:c r="S81" s="45" t="str"/>
      <x:c r="T81" s="45" t="n">
        <x:f>IF(AND(E81="Abierta",N81="Sí",ISNUMBER(I81),ISNUMBER(J81),ABS(I81)&lt;=90,ABS(J81)&lt;=180),1,0)</x:f>
        <x:v>1</x:v>
      </x:c>
    </x:row>
    <x:row r="82" ht="23" customHeight="1">
      <x:c r="A82" s="45" t="str">
        <x:v>Centro Sur</x:v>
      </x:c>
      <x:c r="B82" s="45" t="str">
        <x:v>Ariana Janet Gutierrez Martinez</x:v>
      </x:c>
      <x:c r="C82" s="50" t="str">
        <x:v>38419</x:v>
      </x:c>
      <x:c r="D82" s="45" t="str">
        <x:v>Balbuena</x:v>
      </x:c>
      <x:c r="E82" s="45" t="str">
        <x:v>Abierta</x:v>
      </x:c>
      <x:c r="F82" s="51" t="d">
        <x:v>2011-06-30T00:00:00.000Z</x:v>
      </x:c>
      <x:c r="G82" s="45" t="str">
        <x:v>Venustiano Carranza</x:v>
      </x:c>
      <x:c r="H82" s="45" t="str">
        <x:v>Ciudad De México</x:v>
      </x:c>
      <x:c r="I82" s="52" t="n">
        <x:v>19.417779</x:v>
      </x:c>
      <x:c r="J82" s="52" t="n">
        <x:v>-99.102259</x:v>
      </x:c>
      <x:c r="K82" s="45" t="str">
        <x:v>Cafe</x:v>
      </x:c>
      <x:c r="L82" s="45" t="str">
        <x:v>Retail</x:v>
      </x:c>
      <x:c r="M82" s="45" t="str">
        <x:v>C2</x:v>
      </x:c>
      <x:c r="N82" s="45" t="str">
        <x:v>Sí</x:v>
      </x:c>
      <x:c r="O82" s="45" t="str">
        <x:v>Ariana Janet Gutierrez Martinez</x:v>
      </x:c>
      <x:c r="P82" s="45" t="str">
        <x:v>Ops y Directorio Alsea · octubre 2026</x:v>
      </x:c>
      <x:c r="Q82" s="45" t="str">
        <x:v>Puntos proporcionados</x:v>
      </x:c>
      <x:c r="R82" s="45" t="str">
        <x:v>Abierta</x:v>
      </x:c>
      <x:c r="S82" s="45" t="str"/>
      <x:c r="T82" s="45" t="n">
        <x:f>IF(AND(E82="Abierta",N82="Sí",ISNUMBER(I82),ISNUMBER(J82),ABS(I82)&lt;=90,ABS(J82)&lt;=180),1,0)</x:f>
        <x:v>1</x:v>
      </x:c>
    </x:row>
    <x:row r="83" ht="23" customHeight="1">
      <x:c r="A83" s="45" t="str">
        <x:v>Centro Sur</x:v>
      </x:c>
      <x:c r="B83" s="45" t="str">
        <x:v>Ariana Janet Gutierrez Martinez</x:v>
      </x:c>
      <x:c r="C83" s="50" t="str">
        <x:v>38468</x:v>
      </x:c>
      <x:c r="D83" s="45" t="str">
        <x:v>Portal Churubusco</x:v>
      </x:c>
      <x:c r="E83" s="45" t="str">
        <x:v>Abierta</x:v>
      </x:c>
      <x:c r="F83" s="51" t="d">
        <x:v>2012-10-12T00:00:00.000Z</x:v>
      </x:c>
      <x:c r="G83" s="45" t="str">
        <x:v>Iztapalapa</x:v>
      </x:c>
      <x:c r="H83" s="45" t="str">
        <x:v>Ciudad De México</x:v>
      </x:c>
      <x:c r="I83" s="52" t="n">
        <x:v>19.3686672</x:v>
      </x:c>
      <x:c r="J83" s="52" t="n">
        <x:v>-99.1214701</x:v>
      </x:c>
      <x:c r="K83" s="45" t="str">
        <x:v>Cafe</x:v>
      </x:c>
      <x:c r="L83" s="45" t="str">
        <x:v>Retail</x:v>
      </x:c>
      <x:c r="M83" s="45" t="str">
        <x:v>C1</x:v>
      </x:c>
      <x:c r="N83" s="45" t="str">
        <x:v>Sí</x:v>
      </x:c>
      <x:c r="O83" s="45" t="str">
        <x:v>Ariana Janet Gutierrez Martinez</x:v>
      </x:c>
      <x:c r="P83" s="45" t="str">
        <x:v>Ops y Directorio Alsea · octubre 2026</x:v>
      </x:c>
      <x:c r="Q83" s="45" t="str">
        <x:v>Puntos proporcionados</x:v>
      </x:c>
      <x:c r="R83" s="45" t="str">
        <x:v>Abierta</x:v>
      </x:c>
      <x:c r="S83" s="45" t="str"/>
      <x:c r="T83" s="45" t="n">
        <x:f>IF(AND(E83="Abierta",N83="Sí",ISNUMBER(I83),ISNUMBER(J83),ABS(I83)&lt;=90,ABS(J83)&lt;=180),1,0)</x:f>
        <x:v>1</x:v>
      </x:c>
    </x:row>
    <x:row r="84" ht="23" customHeight="1">
      <x:c r="A84" s="45" t="str">
        <x:v>Centro Sur</x:v>
      </x:c>
      <x:c r="B84" s="45" t="str">
        <x:v>Ariana Janet Gutierrez Martinez</x:v>
      </x:c>
      <x:c r="C84" s="50" t="str">
        <x:v>38477</x:v>
      </x:c>
      <x:c r="D84" s="45" t="str">
        <x:v>Zentralia churubusco</x:v>
      </x:c>
      <x:c r="E84" s="45" t="str">
        <x:v>Abierta</x:v>
      </x:c>
      <x:c r="F84" s="51" t="d">
        <x:v>2012-12-12T00:00:00.000Z</x:v>
      </x:c>
      <x:c r="G84" s="45" t="str">
        <x:v>Iztapalapa</x:v>
      </x:c>
      <x:c r="H84" s="45" t="str">
        <x:v>Ciudad De México</x:v>
      </x:c>
      <x:c r="I84" s="52" t="n">
        <x:v>19.3785337</x:v>
      </x:c>
      <x:c r="J84" s="52" t="n">
        <x:v>-99.1020487</x:v>
      </x:c>
      <x:c r="K84" s="45" t="str">
        <x:v>Cafe</x:v>
      </x:c>
      <x:c r="L84" s="45" t="str">
        <x:v>Retail</x:v>
      </x:c>
      <x:c r="M84" s="45" t="str">
        <x:v>C1</x:v>
      </x:c>
      <x:c r="N84" s="45" t="str">
        <x:v>Sí</x:v>
      </x:c>
      <x:c r="O84" s="45" t="str">
        <x:v>Ariana Janet Gutierrez Martinez</x:v>
      </x:c>
      <x:c r="P84" s="45" t="str">
        <x:v>Ops y Directorio Alsea · octubre 2026</x:v>
      </x:c>
      <x:c r="Q84" s="45" t="str">
        <x:v>Puntos proporcionados</x:v>
      </x:c>
      <x:c r="R84" s="45" t="str">
        <x:v>Abierta</x:v>
      </x:c>
      <x:c r="S84" s="45" t="str"/>
      <x:c r="T84" s="45" t="n">
        <x:f>IF(AND(E84="Abierta",N84="Sí",ISNUMBER(I84),ISNUMBER(J84),ABS(I84)&lt;=90,ABS(J84)&lt;=180),1,0)</x:f>
        <x:v>1</x:v>
      </x:c>
    </x:row>
    <x:row r="85" ht="23" customHeight="1">
      <x:c r="A85" s="45" t="str">
        <x:v>Centro Sur</x:v>
      </x:c>
      <x:c r="B85" s="45" t="str">
        <x:v>Ariana Janet Gutierrez Martinez</x:v>
      </x:c>
      <x:c r="C85" s="50" t="str">
        <x:v>38496</x:v>
      </x:c>
      <x:c r="D85" s="45" t="str">
        <x:v>Casa Taxqueña</x:v>
      </x:c>
      <x:c r="E85" s="45" t="str">
        <x:v>Abierta</x:v>
      </x:c>
      <x:c r="F85" s="51" t="d">
        <x:v>2013-07-04T00:00:00.000Z</x:v>
      </x:c>
      <x:c r="G85" s="45" t="str">
        <x:v>Coyoacán</x:v>
      </x:c>
      <x:c r="H85" s="45" t="str">
        <x:v>Ciudad De México</x:v>
      </x:c>
      <x:c r="I85" s="52" t="n">
        <x:v>19.3405615</x:v>
      </x:c>
      <x:c r="J85" s="52" t="n">
        <x:v>-99.1348807</x:v>
      </x:c>
      <x:c r="K85" s="45" t="str">
        <x:v>Cafe</x:v>
      </x:c>
      <x:c r="L85" s="45" t="str">
        <x:v>Neighborhood</x:v>
      </x:c>
      <x:c r="M85" s="45" t="str">
        <x:v>C1</x:v>
      </x:c>
      <x:c r="N85" s="45" t="str">
        <x:v>Sí</x:v>
      </x:c>
      <x:c r="O85" s="45" t="str">
        <x:v>Ariana Janet Gutierrez Martinez</x:v>
      </x:c>
      <x:c r="P85" s="45" t="str">
        <x:v>Ops y Directorio Alsea · octubre 2026</x:v>
      </x:c>
      <x:c r="Q85" s="45" t="str">
        <x:v>Puntos proporcionados</x:v>
      </x:c>
      <x:c r="R85" s="45" t="str">
        <x:v>Abierta</x:v>
      </x:c>
      <x:c r="S85" s="45" t="str"/>
      <x:c r="T85" s="45" t="n">
        <x:f>IF(AND(E85="Abierta",N85="Sí",ISNUMBER(I85),ISNUMBER(J85),ABS(I85)&lt;=90,ABS(J85)&lt;=180),1,0)</x:f>
        <x:v>1</x:v>
      </x:c>
    </x:row>
    <x:row r="86" ht="23" customHeight="1">
      <x:c r="A86" s="45" t="str">
        <x:v>Centro Sur</x:v>
      </x:c>
      <x:c r="B86" s="45" t="str">
        <x:v>Ariana Janet Gutierrez Martinez</x:v>
      </x:c>
      <x:c r="C86" s="50" t="str">
        <x:v>38611</x:v>
      </x:c>
      <x:c r="D86" s="45" t="str">
        <x:v>Plaza Basica</x:v>
      </x:c>
      <x:c r="E86" s="45" t="str">
        <x:v>Abierta</x:v>
      </x:c>
      <x:c r="F86" s="51" t="d">
        <x:v>2015-09-18T00:00:00.000Z</x:v>
      </x:c>
      <x:c r="G86" s="45" t="str">
        <x:v>Iztapalapa</x:v>
      </x:c>
      <x:c r="H86" s="45" t="str">
        <x:v>Ciudad De México</x:v>
      </x:c>
      <x:c r="I86" s="52" t="n">
        <x:v>19.3802678</x:v>
      </x:c>
      <x:c r="J86" s="52" t="n">
        <x:v>-99.0873532</x:v>
      </x:c>
      <x:c r="K86" s="45" t="str">
        <x:v>Drive_Thru</x:v>
      </x:c>
      <x:c r="L86" s="45" t="str">
        <x:v>Retail</x:v>
      </x:c>
      <x:c r="M86" s="45" t="str">
        <x:v>C2</x:v>
      </x:c>
      <x:c r="N86" s="45" t="str">
        <x:v>Sí</x:v>
      </x:c>
      <x:c r="O86" s="45" t="str">
        <x:v>Ariana Janet Gutierrez Martinez</x:v>
      </x:c>
      <x:c r="P86" s="45" t="str">
        <x:v>Ops y Directorio Alsea · octubre 2026</x:v>
      </x:c>
      <x:c r="Q86" s="45" t="str">
        <x:v>Puntos proporcionados</x:v>
      </x:c>
      <x:c r="R86" s="45" t="str">
        <x:v>Abierta</x:v>
      </x:c>
      <x:c r="S86" s="45" t="str"/>
      <x:c r="T86" s="45" t="n">
        <x:f>IF(AND(E86="Abierta",N86="Sí",ISNUMBER(I86),ISNUMBER(J86),ABS(I86)&lt;=90,ABS(J86)&lt;=180),1,0)</x:f>
        <x:v>1</x:v>
      </x:c>
    </x:row>
    <x:row r="87" ht="23" customHeight="1">
      <x:c r="A87" s="45" t="str">
        <x:v>Centro Sur</x:v>
      </x:c>
      <x:c r="B87" s="45" t="str">
        <x:v>Ariana Janet Gutierrez Martinez</x:v>
      </x:c>
      <x:c r="C87" s="50" t="str">
        <x:v>38645</x:v>
      </x:c>
      <x:c r="D87" s="45" t="str">
        <x:v>Plaza Central</x:v>
      </x:c>
      <x:c r="E87" s="45" t="str">
        <x:v>Abierta</x:v>
      </x:c>
      <x:c r="F87" s="51" t="d">
        <x:v>2016-04-20T00:00:00.000Z</x:v>
      </x:c>
      <x:c r="G87" s="45" t="str">
        <x:v>Iztapalapa</x:v>
      </x:c>
      <x:c r="H87" s="45" t="str">
        <x:v>Ciudad De México</x:v>
      </x:c>
      <x:c r="I87" s="52" t="n">
        <x:v>19.3767651</x:v>
      </x:c>
      <x:c r="J87" s="52" t="n">
        <x:v>-99.0954696</x:v>
      </x:c>
      <x:c r="K87" s="45" t="str">
        <x:v>Kiosko</x:v>
      </x:c>
      <x:c r="L87" s="45" t="str">
        <x:v>Retail</x:v>
      </x:c>
      <x:c r="M87" s="45" t="str">
        <x:v>C1</x:v>
      </x:c>
      <x:c r="N87" s="45" t="str">
        <x:v>Sí</x:v>
      </x:c>
      <x:c r="O87" s="45" t="str">
        <x:v>Ariana Janet Gutierrez Martinez</x:v>
      </x:c>
      <x:c r="P87" s="45" t="str">
        <x:v>Ops y Directorio Alsea · octubre 2026</x:v>
      </x:c>
      <x:c r="Q87" s="45" t="str">
        <x:v>Puntos proporcionados</x:v>
      </x:c>
      <x:c r="R87" s="45" t="str">
        <x:v>Abierta</x:v>
      </x:c>
      <x:c r="S87" s="45" t="str"/>
      <x:c r="T87" s="45" t="n">
        <x:f>IF(AND(E87="Abierta",N87="Sí",ISNUMBER(I87),ISNUMBER(J87),ABS(I87)&lt;=90,ABS(J87)&lt;=180),1,0)</x:f>
        <x:v>1</x:v>
      </x:c>
    </x:row>
    <x:row r="88" ht="23" customHeight="1">
      <x:c r="A88" s="45" t="str">
        <x:v>Centro Sur</x:v>
      </x:c>
      <x:c r="B88" s="45" t="str">
        <x:v>Ariana Janet Gutierrez Martinez</x:v>
      </x:c>
      <x:c r="C88" s="50" t="str">
        <x:v>38725</x:v>
      </x:c>
      <x:c r="D88" s="45" t="str">
        <x:v>Plaza Oriente ll</x:v>
      </x:c>
      <x:c r="E88" s="45" t="str">
        <x:v>Abierta</x:v>
      </x:c>
      <x:c r="F88" s="51" t="d">
        <x:v>2017-06-08T00:00:00.000Z</x:v>
      </x:c>
      <x:c r="G88" s="45" t="str">
        <x:v>Iztapalapa</x:v>
      </x:c>
      <x:c r="H88" s="45" t="str">
        <x:v>Ciudad De México</x:v>
      </x:c>
      <x:c r="I88" s="52" t="n">
        <x:v>19.3835534</x:v>
      </x:c>
      <x:c r="J88" s="52" t="n">
        <x:v>-99.0798852</x:v>
      </x:c>
      <x:c r="K88" s="45" t="str">
        <x:v>Cafe</x:v>
      </x:c>
      <x:c r="L88" s="45" t="str">
        <x:v>Retail</x:v>
      </x:c>
      <x:c r="M88" s="45" t="str">
        <x:v>C2</x:v>
      </x:c>
      <x:c r="N88" s="45" t="str">
        <x:v>Sí</x:v>
      </x:c>
      <x:c r="O88" s="45" t="str">
        <x:v>Ariana Janet Gutierrez Martinez</x:v>
      </x:c>
      <x:c r="P88" s="45" t="str">
        <x:v>Ops y Directorio Alsea · octubre 2026</x:v>
      </x:c>
      <x:c r="Q88" s="45" t="str">
        <x:v>Puntos proporcionados</x:v>
      </x:c>
      <x:c r="R88" s="45" t="str">
        <x:v>Abierta</x:v>
      </x:c>
      <x:c r="S88" s="45" t="str"/>
      <x:c r="T88" s="45" t="n">
        <x:f>IF(AND(E88="Abierta",N88="Sí",ISNUMBER(I88),ISNUMBER(J88),ABS(I88)&lt;=90,ABS(J88)&lt;=180),1,0)</x:f>
        <x:v>1</x:v>
      </x:c>
    </x:row>
    <x:row r="89" ht="23" customHeight="1">
      <x:c r="A89" s="45" t="str">
        <x:v>Centro Sur</x:v>
      </x:c>
      <x:c r="B89" s="45" t="str">
        <x:v>Ariana Janet Gutierrez Martinez</x:v>
      </x:c>
      <x:c r="C89" s="50" t="str">
        <x:v>43070</x:v>
      </x:c>
      <x:c r="D89" s="45" t="str">
        <x:v>Rojo Gomez DT</x:v>
      </x:c>
      <x:c r="E89" s="45" t="str">
        <x:v>Abierta</x:v>
      </x:c>
      <x:c r="F89" s="51" t="d">
        <x:v>2024-12-05T00:00:00.000Z</x:v>
      </x:c>
      <x:c r="G89" s="45" t="str">
        <x:v>Iztacalco</x:v>
      </x:c>
      <x:c r="H89" s="45" t="str">
        <x:v>Ciudad De México</x:v>
      </x:c>
      <x:c r="I89" s="52" t="n">
        <x:v>19.397734</x:v>
      </x:c>
      <x:c r="J89" s="52" t="n">
        <x:v>-99.072369</x:v>
      </x:c>
      <x:c r="K89" s="45" t="str">
        <x:v>Drive_Thru</x:v>
      </x:c>
      <x:c r="L89" s="45" t="str">
        <x:v>Transfers</x:v>
      </x:c>
      <x:c r="M89" s="45" t="str">
        <x:v>C2</x:v>
      </x:c>
      <x:c r="N89" s="45" t="str">
        <x:v>Sí</x:v>
      </x:c>
      <x:c r="O89" s="45" t="str">
        <x:v>Ariana Janet Gutierrez Martinez</x:v>
      </x:c>
      <x:c r="P89" s="45" t="str">
        <x:v>Ops y Directorio Alsea · octubre 2026</x:v>
      </x:c>
      <x:c r="Q89" s="45" t="str">
        <x:v>Puntos proporcionados</x:v>
      </x:c>
      <x:c r="R89" s="45" t="str">
        <x:v>Abierta</x:v>
      </x:c>
      <x:c r="S89" s="45" t="str"/>
      <x:c r="T89" s="45" t="n">
        <x:f>IF(AND(E89="Abierta",N89="Sí",ISNUMBER(I89),ISNUMBER(J89),ABS(I89)&lt;=90,ABS(J89)&lt;=180),1,0)</x:f>
        <x:v>1</x:v>
      </x:c>
    </x:row>
    <x:row r="90" ht="23" customHeight="1">
      <x:c r="A90" s="45" t="str">
        <x:v>Centro Sur</x:v>
      </x:c>
      <x:c r="B90" s="45" t="str">
        <x:v>Cesar Alfonso Castillo Romero</x:v>
      </x:c>
      <x:c r="C90" s="50" t="str">
        <x:v>38107</x:v>
      </x:c>
      <x:c r="D90" s="45" t="str">
        <x:v>Pedregal</x:v>
      </x:c>
      <x:c r="E90" s="45" t="str">
        <x:v>Abierta</x:v>
      </x:c>
      <x:c r="F90" s="51" t="d">
        <x:v>2003-03-18T00:00:00.000Z</x:v>
      </x:c>
      <x:c r="G90" s="45" t="str">
        <x:v>Álvaro Obregón</x:v>
      </x:c>
      <x:c r="H90" s="45" t="str">
        <x:v>Ciudad De México</x:v>
      </x:c>
      <x:c r="I90" s="52" t="n">
        <x:v>19.3176322</x:v>
      </x:c>
      <x:c r="J90" s="52" t="n">
        <x:v>-99.2102439</x:v>
      </x:c>
      <x:c r="K90" s="45" t="str">
        <x:v>Cafe</x:v>
      </x:c>
      <x:c r="L90" s="45" t="str">
        <x:v>Retail</x:v>
      </x:c>
      <x:c r="M90" s="45" t="str">
        <x:v>C2</x:v>
      </x:c>
      <x:c r="N90" s="45" t="str">
        <x:v>Sí</x:v>
      </x:c>
      <x:c r="O90" s="45" t="str">
        <x:v>Cesar Alfonso Castillo Romero</x:v>
      </x:c>
      <x:c r="P90" s="45" t="str">
        <x:v>Ops y Directorio Alsea · octubre 2026</x:v>
      </x:c>
      <x:c r="Q90" s="45" t="str">
        <x:v>Puntos proporcionados</x:v>
      </x:c>
      <x:c r="R90" s="45" t="str">
        <x:v>Abierta</x:v>
      </x:c>
      <x:c r="S90" s="45" t="str"/>
      <x:c r="T90" s="45" t="n">
        <x:f>IF(AND(E90="Abierta",N90="Sí",ISNUMBER(I90),ISNUMBER(J90),ABS(I90)&lt;=90,ABS(J90)&lt;=180),1,0)</x:f>
        <x:v>1</x:v>
      </x:c>
    </x:row>
    <x:row r="91" ht="23" customHeight="1">
      <x:c r="A91" s="45" t="str">
        <x:v>Centro Sur</x:v>
      </x:c>
      <x:c r="B91" s="45" t="str">
        <x:v>Cesar Alfonso Castillo Romero</x:v>
      </x:c>
      <x:c r="C91" s="50" t="str">
        <x:v>38116</x:v>
      </x:c>
      <x:c r="D91" s="45" t="str">
        <x:v>Santa Teresa</x:v>
      </x:c>
      <x:c r="E91" s="45" t="str">
        <x:v>Abierta</x:v>
      </x:c>
      <x:c r="F91" s="51" t="d">
        <x:v>2003-09-27T00:00:00.000Z</x:v>
      </x:c>
      <x:c r="G91" s="45" t="str">
        <x:v>Tlalpan</x:v>
      </x:c>
      <x:c r="H91" s="45" t="str">
        <x:v>Ciudad De México</x:v>
      </x:c>
      <x:c r="I91" s="52" t="n">
        <x:v>19.3105216</x:v>
      </x:c>
      <x:c r="J91" s="52" t="n">
        <x:v>-99.2242743</x:v>
      </x:c>
      <x:c r="K91" s="45" t="str">
        <x:v>Cafe</x:v>
      </x:c>
      <x:c r="L91" s="45" t="str">
        <x:v>Neighborhood</x:v>
      </x:c>
      <x:c r="M91" s="45" t="str">
        <x:v>C1</x:v>
      </x:c>
      <x:c r="N91" s="45" t="str">
        <x:v>Sí</x:v>
      </x:c>
      <x:c r="O91" s="45" t="str">
        <x:v>Cesar Alfonso Castillo Romero</x:v>
      </x:c>
      <x:c r="P91" s="45" t="str">
        <x:v>Ops y Directorio Alsea · octubre 2026</x:v>
      </x:c>
      <x:c r="Q91" s="45" t="str">
        <x:v>Puntos proporcionados</x:v>
      </x:c>
      <x:c r="R91" s="45" t="str">
        <x:v>Abierta</x:v>
      </x:c>
      <x:c r="S91" s="45" t="str"/>
      <x:c r="T91" s="45" t="n">
        <x:f>IF(AND(E91="Abierta",N91="Sí",ISNUMBER(I91),ISNUMBER(J91),ABS(I91)&lt;=90,ABS(J91)&lt;=180),1,0)</x:f>
        <x:v>1</x:v>
      </x:c>
    </x:row>
    <x:row r="92" ht="23" customHeight="1">
      <x:c r="A92" s="45" t="str">
        <x:v>Centro Sur</x:v>
      </x:c>
      <x:c r="B92" s="45" t="str">
        <x:v>Cesar Alfonso Castillo Romero</x:v>
      </x:c>
      <x:c r="C92" s="50" t="str">
        <x:v>38124</x:v>
      </x:c>
      <x:c r="D92" s="45" t="str">
        <x:v>San Jeronimo</x:v>
      </x:c>
      <x:c r="E92" s="45" t="str">
        <x:v>Abierta</x:v>
      </x:c>
      <x:c r="F92" s="51" t="d">
        <x:v>2004-02-19T00:00:00.000Z</x:v>
      </x:c>
      <x:c r="G92" s="45" t="str">
        <x:v>Magdalena Contreras</x:v>
      </x:c>
      <x:c r="H92" s="45" t="str">
        <x:v>Ciudad De México</x:v>
      </x:c>
      <x:c r="I92" s="52" t="n">
        <x:v>19.3286072</x:v>
      </x:c>
      <x:c r="J92" s="52" t="n">
        <x:v>-99.2124274</x:v>
      </x:c>
      <x:c r="K92" s="45" t="str">
        <x:v>Cafe</x:v>
      </x:c>
      <x:c r="L92" s="45" t="str">
        <x:v>Retail</x:v>
      </x:c>
      <x:c r="M92" s="45" t="str">
        <x:v>C2</x:v>
      </x:c>
      <x:c r="N92" s="45" t="str">
        <x:v>Sí</x:v>
      </x:c>
      <x:c r="O92" s="45" t="str">
        <x:v>Cesar Alfonso Castillo Romero</x:v>
      </x:c>
      <x:c r="P92" s="45" t="str">
        <x:v>Ops y Directorio Alsea · octubre 2026</x:v>
      </x:c>
      <x:c r="Q92" s="45" t="str">
        <x:v>Puntos proporcionados</x:v>
      </x:c>
      <x:c r="R92" s="45" t="str">
        <x:v>Abierta</x:v>
      </x:c>
      <x:c r="S92" s="45" t="str"/>
      <x:c r="T92" s="45" t="n">
        <x:f>IF(AND(E92="Abierta",N92="Sí",ISNUMBER(I92),ISNUMBER(J92),ABS(I92)&lt;=90,ABS(J92)&lt;=180),1,0)</x:f>
        <x:v>1</x:v>
      </x:c>
    </x:row>
    <x:row r="93" ht="23" customHeight="1">
      <x:c r="A93" s="45" t="str">
        <x:v>Centro Sur</x:v>
      </x:c>
      <x:c r="B93" s="45" t="str">
        <x:v>Cesar Alfonso Castillo Romero</x:v>
      </x:c>
      <x:c r="C93" s="50" t="str">
        <x:v>38129</x:v>
      </x:c>
      <x:c r="D93" s="45" t="str">
        <x:v>Plaza Santa Teresa</x:v>
      </x:c>
      <x:c r="E93" s="45" t="str">
        <x:v>Abierta</x:v>
      </x:c>
      <x:c r="F93" s="51" t="d">
        <x:v>2004-08-11T00:00:00.000Z</x:v>
      </x:c>
      <x:c r="G93" s="45" t="str">
        <x:v>Álvaro Obregón</x:v>
      </x:c>
      <x:c r="H93" s="45" t="str">
        <x:v>Ciudad De México</x:v>
      </x:c>
      <x:c r="I93" s="52" t="n">
        <x:v>19.3094619</x:v>
      </x:c>
      <x:c r="J93" s="52" t="n">
        <x:v>-99.213134</x:v>
      </x:c>
      <x:c r="K93" s="45" t="str">
        <x:v>Cafe</x:v>
      </x:c>
      <x:c r="L93" s="45" t="str">
        <x:v>Retail</x:v>
      </x:c>
      <x:c r="M93" s="45" t="str">
        <x:v>C2</x:v>
      </x:c>
      <x:c r="N93" s="45" t="str">
        <x:v>Sí</x:v>
      </x:c>
      <x:c r="O93" s="45" t="str">
        <x:v>Cesar Alfonso Castillo Romero</x:v>
      </x:c>
      <x:c r="P93" s="45" t="str">
        <x:v>Ops y Directorio Alsea · octubre 2026</x:v>
      </x:c>
      <x:c r="Q93" s="45" t="str">
        <x:v>Puntos proporcionados</x:v>
      </x:c>
      <x:c r="R93" s="45" t="str">
        <x:v>Abierta</x:v>
      </x:c>
      <x:c r="S93" s="45" t="str"/>
      <x:c r="T93" s="45" t="n">
        <x:f>IF(AND(E93="Abierta",N93="Sí",ISNUMBER(I93),ISNUMBER(J93),ABS(I93)&lt;=90,ABS(J93)&lt;=180),1,0)</x:f>
        <x:v>1</x:v>
      </x:c>
    </x:row>
    <x:row r="94" ht="23" customHeight="1">
      <x:c r="A94" s="45" t="str">
        <x:v>Centro Sur</x:v>
      </x:c>
      <x:c r="B94" s="45" t="str">
        <x:v>Cesar Alfonso Castillo Romero</x:v>
      </x:c>
      <x:c r="C94" s="50" t="str">
        <x:v>38169</x:v>
      </x:c>
      <x:c r="D94" s="45" t="str">
        <x:v>Altavista</x:v>
      </x:c>
      <x:c r="E94" s="45" t="str">
        <x:v>Abierta</x:v>
      </x:c>
      <x:c r="F94" s="51" t="d">
        <x:v>2005-12-07T00:00:00.000Z</x:v>
      </x:c>
      <x:c r="G94" s="45" t="str">
        <x:v>Álvaro Obregón</x:v>
      </x:c>
      <x:c r="H94" s="45" t="str">
        <x:v>Ciudad De México</x:v>
      </x:c>
      <x:c r="I94" s="52" t="n">
        <x:v>19.3495584</x:v>
      </x:c>
      <x:c r="J94" s="52" t="n">
        <x:v>-99.1970437</x:v>
      </x:c>
      <x:c r="K94" s="45" t="str">
        <x:v>Cafe</x:v>
      </x:c>
      <x:c r="L94" s="45" t="str">
        <x:v>Retail</x:v>
      </x:c>
      <x:c r="M94" s="45" t="str">
        <x:v>C2</x:v>
      </x:c>
      <x:c r="N94" s="45" t="str">
        <x:v>Sí</x:v>
      </x:c>
      <x:c r="O94" s="45" t="str">
        <x:v>Cesar Alfonso Castillo Romero</x:v>
      </x:c>
      <x:c r="P94" s="45" t="str">
        <x:v>Ops y Directorio Alsea · octubre 2026</x:v>
      </x:c>
      <x:c r="Q94" s="45" t="str">
        <x:v>Puntos proporcionados</x:v>
      </x:c>
      <x:c r="R94" s="45" t="str">
        <x:v>Abierta</x:v>
      </x:c>
      <x:c r="S94" s="45" t="str"/>
      <x:c r="T94" s="45" t="n">
        <x:f>IF(AND(E94="Abierta",N94="Sí",ISNUMBER(I94),ISNUMBER(J94),ABS(I94)&lt;=90,ABS(J94)&lt;=180),1,0)</x:f>
        <x:v>1</x:v>
      </x:c>
    </x:row>
    <x:row r="95" ht="23" customHeight="1">
      <x:c r="A95" s="45" t="str">
        <x:v>Centro Sur</x:v>
      </x:c>
      <x:c r="B95" s="45" t="str">
        <x:v>Cesar Alfonso Castillo Romero</x:v>
      </x:c>
      <x:c r="C95" s="50" t="str">
        <x:v>38398</x:v>
      </x:c>
      <x:c r="D95" s="45" t="str">
        <x:v>Mexfund Pedregal</x:v>
      </x:c>
      <x:c r="E95" s="45" t="str">
        <x:v>Abierta</x:v>
      </x:c>
      <x:c r="F95" s="51" t="d">
        <x:v>2010-12-03T00:00:00.000Z</x:v>
      </x:c>
      <x:c r="G95" s="45" t="str">
        <x:v>Álvaro Obregón</x:v>
      </x:c>
      <x:c r="H95" s="45" t="str">
        <x:v>Ciudad De México</x:v>
      </x:c>
      <x:c r="I95" s="52" t="n">
        <x:v>19.3066325</x:v>
      </x:c>
      <x:c r="J95" s="52" t="n">
        <x:v>-99.2095405</x:v>
      </x:c>
      <x:c r="K95" s="45" t="str">
        <x:v>Cafe</x:v>
      </x:c>
      <x:c r="L95" s="45" t="str">
        <x:v>Retail</x:v>
      </x:c>
      <x:c r="M95" s="45" t="str">
        <x:v>C2</x:v>
      </x:c>
      <x:c r="N95" s="45" t="str">
        <x:v>Sí</x:v>
      </x:c>
      <x:c r="O95" s="45" t="str">
        <x:v>Cesar Alfonso Castillo Romero</x:v>
      </x:c>
      <x:c r="P95" s="45" t="str">
        <x:v>Ops y Directorio Alsea · octubre 2026</x:v>
      </x:c>
      <x:c r="Q95" s="45" t="str">
        <x:v>Puntos proporcionados</x:v>
      </x:c>
      <x:c r="R95" s="45" t="str">
        <x:v>Abierta</x:v>
      </x:c>
      <x:c r="S95" s="45" t="str"/>
      <x:c r="T95" s="45" t="n">
        <x:f>IF(AND(E95="Abierta",N95="Sí",ISNUMBER(I95),ISNUMBER(J95),ABS(I95)&lt;=90,ABS(J95)&lt;=180),1,0)</x:f>
        <x:v>1</x:v>
      </x:c>
    </x:row>
    <x:row r="96" ht="23" customHeight="1">
      <x:c r="A96" s="45" t="str">
        <x:v>Centro Sur</x:v>
      </x:c>
      <x:c r="B96" s="45" t="str">
        <x:v>Cesar Alfonso Castillo Romero</x:v>
      </x:c>
      <x:c r="C96" s="50" t="str">
        <x:v>38428</x:v>
      </x:c>
      <x:c r="D96" s="45" t="str">
        <x:v>Jardines del Pedregal</x:v>
      </x:c>
      <x:c r="E96" s="45" t="str">
        <x:v>Abierta</x:v>
      </x:c>
      <x:c r="F96" s="51" t="d">
        <x:v>2011-11-21T00:00:00.000Z</x:v>
      </x:c>
      <x:c r="G96" s="45" t="str">
        <x:v>Coyoacán</x:v>
      </x:c>
      <x:c r="H96" s="45" t="str">
        <x:v>Ciudad De México</x:v>
      </x:c>
      <x:c r="I96" s="52" t="n">
        <x:v>19.3347427</x:v>
      </x:c>
      <x:c r="J96" s="52" t="n">
        <x:v>-99.1986207</x:v>
      </x:c>
      <x:c r="K96" s="45" t="str">
        <x:v>Cafe</x:v>
      </x:c>
      <x:c r="L96" s="45" t="str">
        <x:v>Office_Complex</x:v>
      </x:c>
      <x:c r="M96" s="45" t="str">
        <x:v>C2</x:v>
      </x:c>
      <x:c r="N96" s="45" t="str">
        <x:v>Sí</x:v>
      </x:c>
      <x:c r="O96" s="45" t="str">
        <x:v>Cesar Alfonso Castillo Romero</x:v>
      </x:c>
      <x:c r="P96" s="45" t="str">
        <x:v>Ops y Directorio Alsea · octubre 2026</x:v>
      </x:c>
      <x:c r="Q96" s="45" t="str">
        <x:v>Puntos proporcionados</x:v>
      </x:c>
      <x:c r="R96" s="45" t="str">
        <x:v>Abierta</x:v>
      </x:c>
      <x:c r="S96" s="45" t="str"/>
      <x:c r="T96" s="45" t="n">
        <x:f>IF(AND(E96="Abierta",N96="Sí",ISNUMBER(I96),ISNUMBER(J96),ABS(I96)&lt;=90,ABS(J96)&lt;=180),1,0)</x:f>
        <x:v>1</x:v>
      </x:c>
    </x:row>
    <x:row r="97" ht="23" customHeight="1">
      <x:c r="A97" s="45" t="str">
        <x:v>Centro Sur</x:v>
      </x:c>
      <x:c r="B97" s="45" t="str">
        <x:v>Cesar Alfonso Castillo Romero</x:v>
      </x:c>
      <x:c r="C97" s="50" t="str">
        <x:v>38447</x:v>
      </x:c>
      <x:c r="D97" s="45" t="str">
        <x:v>Hospital Angeles del Pedregal</x:v>
      </x:c>
      <x:c r="E97" s="45" t="str">
        <x:v>Abierta</x:v>
      </x:c>
      <x:c r="F97" s="51" t="d">
        <x:v>2013-03-01T00:00:00.000Z</x:v>
      </x:c>
      <x:c r="G97" s="45" t="str">
        <x:v>Álvaro Obregón</x:v>
      </x:c>
      <x:c r="H97" s="45" t="str">
        <x:v>Ciudad De México</x:v>
      </x:c>
      <x:c r="I97" s="52" t="n">
        <x:v>19.3126595</x:v>
      </x:c>
      <x:c r="J97" s="52" t="n">
        <x:v>-99.2211874</x:v>
      </x:c>
      <x:c r="K97" s="45" t="str">
        <x:v>Cafe</x:v>
      </x:c>
      <x:c r="L97" s="45" t="str">
        <x:v>Institution</x:v>
      </x:c>
      <x:c r="M97" s="45" t="str">
        <x:v>C2</x:v>
      </x:c>
      <x:c r="N97" s="45" t="str">
        <x:v>Sí</x:v>
      </x:c>
      <x:c r="O97" s="45" t="str">
        <x:v>Cesar Alfonso Castillo Romero</x:v>
      </x:c>
      <x:c r="P97" s="45" t="str">
        <x:v>Ops y Directorio Alsea · octubre 2026</x:v>
      </x:c>
      <x:c r="Q97" s="45" t="str">
        <x:v>Puntos proporcionados</x:v>
      </x:c>
      <x:c r="R97" s="45" t="str">
        <x:v>Abierta</x:v>
      </x:c>
      <x:c r="S97" s="45" t="str"/>
      <x:c r="T97" s="45" t="n">
        <x:f>IF(AND(E97="Abierta",N97="Sí",ISNUMBER(I97),ISNUMBER(J97),ABS(I97)&lt;=90,ABS(J97)&lt;=180),1,0)</x:f>
        <x:v>1</x:v>
      </x:c>
    </x:row>
    <x:row r="98" ht="23" customHeight="1">
      <x:c r="A98" s="45" t="str">
        <x:v>Centro Sur</x:v>
      </x:c>
      <x:c r="B98" s="45" t="str">
        <x:v>Cesar Alfonso Castillo Romero</x:v>
      </x:c>
      <x:c r="C98" s="50" t="str">
        <x:v>38544</x:v>
      </x:c>
      <x:c r="D98" s="45" t="str">
        <x:v>Picacho Ajusco</x:v>
      </x:c>
      <x:c r="E98" s="45" t="str">
        <x:v>Abierta</x:v>
      </x:c>
      <x:c r="F98" s="51" t="d">
        <x:v>2014-08-23T00:00:00.000Z</x:v>
      </x:c>
      <x:c r="G98" s="45" t="str">
        <x:v>Tlalpan</x:v>
      </x:c>
      <x:c r="H98" s="45" t="str">
        <x:v>Ciudad De México</x:v>
      </x:c>
      <x:c r="I98" s="52" t="n">
        <x:v>19.2917636</x:v>
      </x:c>
      <x:c r="J98" s="52" t="n">
        <x:v>-99.2171345</x:v>
      </x:c>
      <x:c r="K98" s="45" t="str">
        <x:v>Cafe</x:v>
      </x:c>
      <x:c r="L98" s="45" t="str">
        <x:v>Retail</x:v>
      </x:c>
      <x:c r="M98" s="45" t="str">
        <x:v>C1</x:v>
      </x:c>
      <x:c r="N98" s="45" t="str">
        <x:v>Sí</x:v>
      </x:c>
      <x:c r="O98" s="45" t="str">
        <x:v>Cesar Alfonso Castillo Romero</x:v>
      </x:c>
      <x:c r="P98" s="45" t="str">
        <x:v>Ops y Directorio Alsea · octubre 2026</x:v>
      </x:c>
      <x:c r="Q98" s="45" t="str">
        <x:v>Puntos proporcionados</x:v>
      </x:c>
      <x:c r="R98" s="45" t="str">
        <x:v>Abierta</x:v>
      </x:c>
      <x:c r="S98" s="45" t="str"/>
      <x:c r="T98" s="45" t="n">
        <x:f>IF(AND(E98="Abierta",N98="Sí",ISNUMBER(I98),ISNUMBER(J98),ABS(I98)&lt;=90,ABS(J98)&lt;=180),1,0)</x:f>
        <x:v>1</x:v>
      </x:c>
    </x:row>
    <x:row r="99" ht="23" customHeight="1">
      <x:c r="A99" s="45" t="str">
        <x:v>Centro Sur</x:v>
      </x:c>
      <x:c r="B99" s="45" t="str">
        <x:v>Cesar Alfonso Castillo Romero</x:v>
      </x:c>
      <x:c r="C99" s="50" t="str">
        <x:v>38571</x:v>
      </x:c>
      <x:c r="D99" s="45" t="str">
        <x:v>Jolie Place</x:v>
      </x:c>
      <x:c r="E99" s="45" t="str">
        <x:v>Abierta</x:v>
      </x:c>
      <x:c r="F99" s="51" t="d">
        <x:v>2015-05-25T00:00:00.000Z</x:v>
      </x:c>
      <x:c r="G99" s="45" t="str">
        <x:v>Álvaro Obregón</x:v>
      </x:c>
      <x:c r="H99" s="45" t="str">
        <x:v>Ciudad De México</x:v>
      </x:c>
      <x:c r="I99" s="52" t="n">
        <x:v>19.319165</x:v>
      </x:c>
      <x:c r="J99" s="52" t="n">
        <x:v>-99.2110727</x:v>
      </x:c>
      <x:c r="K99" s="45" t="str">
        <x:v>Cafe</x:v>
      </x:c>
      <x:c r="L99" s="45" t="str">
        <x:v>Retail</x:v>
      </x:c>
      <x:c r="M99" s="45" t="str">
        <x:v>C2</x:v>
      </x:c>
      <x:c r="N99" s="45" t="str">
        <x:v>Sí</x:v>
      </x:c>
      <x:c r="O99" s="45" t="str">
        <x:v>Cesar Alfonso Castillo Romero</x:v>
      </x:c>
      <x:c r="P99" s="45" t="str">
        <x:v>Ops y Directorio Alsea · octubre 2026</x:v>
      </x:c>
      <x:c r="Q99" s="45" t="str">
        <x:v>Puntos proporcionados</x:v>
      </x:c>
      <x:c r="R99" s="45" t="str">
        <x:v>Abierta</x:v>
      </x:c>
      <x:c r="S99" s="45" t="str"/>
      <x:c r="T99" s="45" t="n">
        <x:f>IF(AND(E99="Abierta",N99="Sí",ISNUMBER(I99),ISNUMBER(J99),ABS(I99)&lt;=90,ABS(J99)&lt;=180),1,0)</x:f>
        <x:v>1</x:v>
      </x:c>
    </x:row>
    <x:row r="100" ht="23" customHeight="1">
      <x:c r="A100" s="45" t="str">
        <x:v>Centro Sur</x:v>
      </x:c>
      <x:c r="B100" s="45" t="str">
        <x:v>Cesar Alfonso Castillo Romero</x:v>
      </x:c>
      <x:c r="C100" s="50" t="str">
        <x:v>38580</x:v>
      </x:c>
      <x:c r="D100" s="45" t="str">
        <x:v>Pasaje San Jeronimo</x:v>
      </x:c>
      <x:c r="E100" s="45" t="str">
        <x:v>Abierta</x:v>
      </x:c>
      <x:c r="F100" s="51" t="d">
        <x:v>2015-05-06T00:00:00.000Z</x:v>
      </x:c>
      <x:c r="G100" s="45" t="str">
        <x:v>Magdalena Contreras</x:v>
      </x:c>
      <x:c r="H100" s="45" t="str">
        <x:v>Ciudad De México</x:v>
      </x:c>
      <x:c r="I100" s="52" t="n">
        <x:v>19.3297263</x:v>
      </x:c>
      <x:c r="J100" s="52" t="n">
        <x:v>-99.2158941</x:v>
      </x:c>
      <x:c r="K100" s="45" t="str">
        <x:v>Cafe</x:v>
      </x:c>
      <x:c r="L100" s="45" t="str">
        <x:v>Retail</x:v>
      </x:c>
      <x:c r="M100" s="45" t="str">
        <x:v>C2</x:v>
      </x:c>
      <x:c r="N100" s="45" t="str">
        <x:v>Sí</x:v>
      </x:c>
      <x:c r="O100" s="45" t="str">
        <x:v>Cesar Alfonso Castillo Romero</x:v>
      </x:c>
      <x:c r="P100" s="45" t="str">
        <x:v>Ops y Directorio Alsea · octubre 2026</x:v>
      </x:c>
      <x:c r="Q100" s="45" t="str">
        <x:v>Puntos proporcionados</x:v>
      </x:c>
      <x:c r="R100" s="45" t="str">
        <x:v>Abierta</x:v>
      </x:c>
      <x:c r="S100" s="45" t="str"/>
      <x:c r="T100" s="45" t="n">
        <x:f>IF(AND(E100="Abierta",N100="Sí",ISNUMBER(I100),ISNUMBER(J100),ABS(I100)&lt;=90,ABS(J100)&lt;=180),1,0)</x:f>
        <x:v>1</x:v>
      </x:c>
    </x:row>
    <x:row r="101" ht="23" customHeight="1">
      <x:c r="A101" s="45" t="str">
        <x:v>Centro Sur</x:v>
      </x:c>
      <x:c r="B101" s="45" t="str">
        <x:v>Cesar Alfonso Castillo Romero</x:v>
      </x:c>
      <x:c r="C101" s="50" t="str">
        <x:v>38615</x:v>
      </x:c>
      <x:c r="D101" s="45" t="str">
        <x:v>Grand San Jeronimo</x:v>
      </x:c>
      <x:c r="E101" s="45" t="str">
        <x:v>Abierta</x:v>
      </x:c>
      <x:c r="F101" s="51" t="d">
        <x:v>2015-09-30T00:00:00.000Z</x:v>
      </x:c>
      <x:c r="G101" s="45" t="str">
        <x:v>Álvaro Obregón</x:v>
      </x:c>
      <x:c r="H101" s="45" t="str">
        <x:v>Ciudad De México</x:v>
      </x:c>
      <x:c r="I101" s="52" t="n">
        <x:v>19.3362355</x:v>
      </x:c>
      <x:c r="J101" s="52" t="n">
        <x:v>-99.2000486</x:v>
      </x:c>
      <x:c r="K101" s="45" t="str">
        <x:v>Cafe</x:v>
      </x:c>
      <x:c r="L101" s="45" t="str">
        <x:v>Retail</x:v>
      </x:c>
      <x:c r="M101" s="45" t="str">
        <x:v>C2</x:v>
      </x:c>
      <x:c r="N101" s="45" t="str">
        <x:v>Sí</x:v>
      </x:c>
      <x:c r="O101" s="45" t="str">
        <x:v>Cesar Alfonso Castillo Romero</x:v>
      </x:c>
      <x:c r="P101" s="45" t="str">
        <x:v>Ops y Directorio Alsea · octubre 2026</x:v>
      </x:c>
      <x:c r="Q101" s="45" t="str">
        <x:v>Puntos proporcionados</x:v>
      </x:c>
      <x:c r="R101" s="45" t="str">
        <x:v>Abierta</x:v>
      </x:c>
      <x:c r="S101" s="45" t="str"/>
      <x:c r="T101" s="45" t="n">
        <x:f>IF(AND(E101="Abierta",N101="Sí",ISNUMBER(I101),ISNUMBER(J101),ABS(I101)&lt;=90,ABS(J101)&lt;=180),1,0)</x:f>
        <x:v>1</x:v>
      </x:c>
    </x:row>
    <x:row r="102" ht="23" customHeight="1">
      <x:c r="A102" s="45" t="str">
        <x:v>Centro Sur</x:v>
      </x:c>
      <x:c r="B102" s="45" t="str">
        <x:v>Cesar Alfonso Castillo Romero</x:v>
      </x:c>
      <x:c r="C102" s="50" t="str">
        <x:v>38691</x:v>
      </x:c>
      <x:c r="D102" s="45" t="str">
        <x:v>Patio Revolución</x:v>
      </x:c>
      <x:c r="E102" s="45" t="str">
        <x:v>Abierta</x:v>
      </x:c>
      <x:c r="F102" s="51" t="d">
        <x:v>2016-10-25T00:00:00.000Z</x:v>
      </x:c>
      <x:c r="G102" s="45" t="str">
        <x:v>Álvaro Obregón</x:v>
      </x:c>
      <x:c r="H102" s="45" t="str">
        <x:v>Ciudad De México</x:v>
      </x:c>
      <x:c r="I102" s="52" t="n">
        <x:v>19.3417674</x:v>
      </x:c>
      <x:c r="J102" s="52" t="n">
        <x:v>-99.1914317</x:v>
      </x:c>
      <x:c r="K102" s="45" t="str">
        <x:v>Cafe</x:v>
      </x:c>
      <x:c r="L102" s="45" t="str">
        <x:v>Retail</x:v>
      </x:c>
      <x:c r="M102" s="45" t="str">
        <x:v>C1</x:v>
      </x:c>
      <x:c r="N102" s="45" t="str">
        <x:v>Sí</x:v>
      </x:c>
      <x:c r="O102" s="45" t="str">
        <x:v>Cesar Alfonso Castillo Romero</x:v>
      </x:c>
      <x:c r="P102" s="45" t="str">
        <x:v>Ops y Directorio Alsea · octubre 2026</x:v>
      </x:c>
      <x:c r="Q102" s="45" t="str">
        <x:v>Puntos proporcionados</x:v>
      </x:c>
      <x:c r="R102" s="45" t="str">
        <x:v>Abierta</x:v>
      </x:c>
      <x:c r="S102" s="45" t="str"/>
      <x:c r="T102" s="45" t="n">
        <x:f>IF(AND(E102="Abierta",N102="Sí",ISNUMBER(I102),ISNUMBER(J102),ABS(I102)&lt;=90,ABS(J102)&lt;=180),1,0)</x:f>
        <x:v>1</x:v>
      </x:c>
    </x:row>
    <x:row r="103" ht="23" customHeight="1">
      <x:c r="A103" s="45" t="str">
        <x:v>Centro Sur</x:v>
      </x:c>
      <x:c r="B103" s="45" t="str">
        <x:v>Cesar Alfonso Castillo Romero</x:v>
      </x:c>
      <x:c r="C103" s="50" t="str">
        <x:v>43159</x:v>
      </x:c>
      <x:c r="D103" s="45" t="str">
        <x:v>Hospital Angeles del Pedregal II</x:v>
      </x:c>
      <x:c r="E103" s="45" t="str">
        <x:v>Abierta</x:v>
      </x:c>
      <x:c r="F103" s="51" t="d">
        <x:v>2025-12-15T00:00:00.000Z</x:v>
      </x:c>
      <x:c r="G103" s="45" t="str">
        <x:v>Magdalena Contreras</x:v>
      </x:c>
      <x:c r="H103" s="45" t="str">
        <x:v>Ciudad De México</x:v>
      </x:c>
      <x:c r="I103" s="52" t="n">
        <x:v>19.3119762</x:v>
      </x:c>
      <x:c r="J103" s="52" t="n">
        <x:v>-99.2214669</x:v>
      </x:c>
      <x:c r="K103" s="45" t="str">
        <x:v>Cafe</x:v>
      </x:c>
      <x:c r="L103" s="45" t="str">
        <x:v>Institution</x:v>
      </x:c>
      <x:c r="M103" s="45" t="str">
        <x:v>C2</x:v>
      </x:c>
      <x:c r="N103" s="45" t="str">
        <x:v>Sí</x:v>
      </x:c>
      <x:c r="O103" s="45" t="str">
        <x:v>Cesar Alfonso Castillo Romero</x:v>
      </x:c>
      <x:c r="P103" s="45" t="str">
        <x:v>Ops y Directorio Alsea · octubre 2026</x:v>
      </x:c>
      <x:c r="Q103" s="45" t="str">
        <x:v>Puntos proporcionados</x:v>
      </x:c>
      <x:c r="R103" s="45" t="str">
        <x:v>Abierta</x:v>
      </x:c>
      <x:c r="S103" s="45" t="str"/>
      <x:c r="T103" s="45" t="n">
        <x:f>IF(AND(E103="Abierta",N103="Sí",ISNUMBER(I103),ISNUMBER(J103),ABS(I103)&lt;=90,ABS(J103)&lt;=180),1,0)</x:f>
        <x:v>1</x:v>
      </x:c>
    </x:row>
    <x:row r="104" ht="23" customHeight="1">
      <x:c r="A104" s="45" t="str">
        <x:v>Centro Sur</x:v>
      </x:c>
      <x:c r="B104" s="45" t="str">
        <x:v>Fernando Eduardo Verdugo Saldaña</x:v>
      </x:c>
      <x:c r="C104" s="50" t="str">
        <x:v>38114</x:v>
      </x:c>
      <x:c r="D104" s="45" t="str">
        <x:v>Miramontes</x:v>
      </x:c>
      <x:c r="E104" s="45" t="str">
        <x:v>Abierta</x:v>
      </x:c>
      <x:c r="F104" s="51" t="d">
        <x:v>2003-08-08T00:00:00.000Z</x:v>
      </x:c>
      <x:c r="G104" s="45" t="str">
        <x:v>Coyoacán</x:v>
      </x:c>
      <x:c r="H104" s="45" t="str">
        <x:v>Ciudad De México</x:v>
      </x:c>
      <x:c r="I104" s="52" t="n">
        <x:v>19.3097284</x:v>
      </x:c>
      <x:c r="J104" s="52" t="n">
        <x:v>-99.124232</x:v>
      </x:c>
      <x:c r="K104" s="45" t="str">
        <x:v>Cafe</x:v>
      </x:c>
      <x:c r="L104" s="45" t="str">
        <x:v>Retail</x:v>
      </x:c>
      <x:c r="M104" s="45" t="str">
        <x:v>C2</x:v>
      </x:c>
      <x:c r="N104" s="45" t="str">
        <x:v>Sí</x:v>
      </x:c>
      <x:c r="O104" s="45" t="str">
        <x:v>Fernando Eduardo Verdugo Saldaña</x:v>
      </x:c>
      <x:c r="P104" s="45" t="str">
        <x:v>Ops y Directorio Alsea · octubre 2026</x:v>
      </x:c>
      <x:c r="Q104" s="45" t="str">
        <x:v>Puntos proporcionados</x:v>
      </x:c>
      <x:c r="R104" s="45" t="str">
        <x:v>Abierta</x:v>
      </x:c>
      <x:c r="S104" s="45" t="str"/>
      <x:c r="T104" s="45" t="n">
        <x:f>IF(AND(E104="Abierta",N104="Sí",ISNUMBER(I104),ISNUMBER(J104),ABS(I104)&lt;=90,ABS(J104)&lt;=180),1,0)</x:f>
        <x:v>1</x:v>
      </x:c>
    </x:row>
    <x:row r="105" ht="23" customHeight="1">
      <x:c r="A105" s="45" t="str">
        <x:v>Centro Sur</x:v>
      </x:c>
      <x:c r="B105" s="45" t="str">
        <x:v>Fernando Eduardo Verdugo Saldaña</x:v>
      </x:c>
      <x:c r="C105" s="50" t="str">
        <x:v>38360</x:v>
      </x:c>
      <x:c r="D105" s="45" t="str">
        <x:v>Plaza la Hacienda</x:v>
      </x:c>
      <x:c r="E105" s="45" t="str">
        <x:v>Abierta</x:v>
      </x:c>
      <x:c r="F105" s="51" t="d">
        <x:v>2008-12-22T00:00:00.000Z</x:v>
      </x:c>
      <x:c r="G105" s="45" t="str">
        <x:v>Tlalpan</x:v>
      </x:c>
      <x:c r="H105" s="45" t="str">
        <x:v>Ciudad De México</x:v>
      </x:c>
      <x:c r="I105" s="52" t="n">
        <x:v>19.267232</x:v>
      </x:c>
      <x:c r="J105" s="52" t="n">
        <x:v>-99.108969</x:v>
      </x:c>
      <x:c r="K105" s="45" t="str">
        <x:v>Cafe</x:v>
      </x:c>
      <x:c r="L105" s="45" t="str">
        <x:v>Neighborhood</x:v>
      </x:c>
      <x:c r="M105" s="45" t="str">
        <x:v>C2</x:v>
      </x:c>
      <x:c r="N105" s="45" t="str">
        <x:v>Sí</x:v>
      </x:c>
      <x:c r="O105" s="45" t="str">
        <x:v>Fernando Eduardo Verdugo Saldaña</x:v>
      </x:c>
      <x:c r="P105" s="45" t="str">
        <x:v>Ops y Directorio Alsea · octubre 2026</x:v>
      </x:c>
      <x:c r="Q105" s="45" t="str">
        <x:v>Puntos proporcionados</x:v>
      </x:c>
      <x:c r="R105" s="45" t="str">
        <x:v>Abierta</x:v>
      </x:c>
      <x:c r="S105" s="45" t="str"/>
      <x:c r="T105" s="45" t="n">
        <x:f>IF(AND(E105="Abierta",N105="Sí",ISNUMBER(I105),ISNUMBER(J105),ABS(I105)&lt;=90,ABS(J105)&lt;=180),1,0)</x:f>
        <x:v>1</x:v>
      </x:c>
    </x:row>
    <x:row r="106" ht="23" customHeight="1">
      <x:c r="A106" s="45" t="str">
        <x:v>Centro Sur</x:v>
      </x:c>
      <x:c r="B106" s="45" t="str">
        <x:v>Fernando Eduardo Verdugo Saldaña</x:v>
      </x:c>
      <x:c r="C106" s="50" t="str">
        <x:v>38367</x:v>
      </x:c>
      <x:c r="D106" s="45" t="str">
        <x:v>CM Coapa</x:v>
      </x:c>
      <x:c r="E106" s="45" t="str">
        <x:v>Abierta</x:v>
      </x:c>
      <x:c r="F106" s="51" t="d">
        <x:v>2009-09-03T00:00:00.000Z</x:v>
      </x:c>
      <x:c r="G106" s="45" t="str">
        <x:v>Tlalpan</x:v>
      </x:c>
      <x:c r="H106" s="45" t="str">
        <x:v>Ciudad De México</x:v>
      </x:c>
      <x:c r="I106" s="52" t="n">
        <x:v>19.285472</x:v>
      </x:c>
      <x:c r="J106" s="52" t="n">
        <x:v>-99.137252</x:v>
      </x:c>
      <x:c r="K106" s="45" t="str">
        <x:v>Cafe</x:v>
      </x:c>
      <x:c r="L106" s="45" t="str">
        <x:v>Retail</x:v>
      </x:c>
      <x:c r="M106" s="45" t="str">
        <x:v>C1</x:v>
      </x:c>
      <x:c r="N106" s="45" t="str">
        <x:v>Sí</x:v>
      </x:c>
      <x:c r="O106" s="45" t="str">
        <x:v>Fernando Eduardo Verdugo Saldaña</x:v>
      </x:c>
      <x:c r="P106" s="45" t="str">
        <x:v>Ops y Directorio Alsea · octubre 2026</x:v>
      </x:c>
      <x:c r="Q106" s="45" t="str">
        <x:v>Puntos proporcionados</x:v>
      </x:c>
      <x:c r="R106" s="45" t="str">
        <x:v>Abierta</x:v>
      </x:c>
      <x:c r="S106" s="45" t="str"/>
      <x:c r="T106" s="45" t="n">
        <x:f>IF(AND(E106="Abierta",N106="Sí",ISNUMBER(I106),ISNUMBER(J106),ABS(I106)&lt;=90,ABS(J106)&lt;=180),1,0)</x:f>
        <x:v>1</x:v>
      </x:c>
    </x:row>
    <x:row r="107" ht="23" customHeight="1">
      <x:c r="A107" s="45" t="str">
        <x:v>Centro Sur</x:v>
      </x:c>
      <x:c r="B107" s="45" t="str">
        <x:v>Fernando Eduardo Verdugo Saldaña</x:v>
      </x:c>
      <x:c r="C107" s="50" t="str">
        <x:v>38379</x:v>
      </x:c>
      <x:c r="D107" s="45" t="str">
        <x:v>Via Acoxpa</x:v>
      </x:c>
      <x:c r="E107" s="45" t="str">
        <x:v>Abierta</x:v>
      </x:c>
      <x:c r="F107" s="51" t="d">
        <x:v>2010-04-30T00:00:00.000Z</x:v>
      </x:c>
      <x:c r="G107" s="45" t="str">
        <x:v>Tlalpan</x:v>
      </x:c>
      <x:c r="H107" s="45" t="str">
        <x:v>Ciudad De México</x:v>
      </x:c>
      <x:c r="I107" s="52" t="n">
        <x:v>19.299804</x:v>
      </x:c>
      <x:c r="J107" s="52" t="n">
        <x:v>-99.136973</x:v>
      </x:c>
      <x:c r="K107" s="45" t="str">
        <x:v>Cafe</x:v>
      </x:c>
      <x:c r="L107" s="45" t="str">
        <x:v>Retail</x:v>
      </x:c>
      <x:c r="M107" s="45" t="str">
        <x:v>C2</x:v>
      </x:c>
      <x:c r="N107" s="45" t="str">
        <x:v>Sí</x:v>
      </x:c>
      <x:c r="O107" s="45" t="str">
        <x:v>Fernando Eduardo Verdugo Saldaña</x:v>
      </x:c>
      <x:c r="P107" s="45" t="str">
        <x:v>Ops y Directorio Alsea · octubre 2026</x:v>
      </x:c>
      <x:c r="Q107" s="45" t="str">
        <x:v>Puntos proporcionados</x:v>
      </x:c>
      <x:c r="R107" s="45" t="str">
        <x:v>Abierta</x:v>
      </x:c>
      <x:c r="S107" s="45" t="str"/>
      <x:c r="T107" s="45" t="n">
        <x:f>IF(AND(E107="Abierta",N107="Sí",ISNUMBER(I107),ISNUMBER(J107),ABS(I107)&lt;=90,ABS(J107)&lt;=180),1,0)</x:f>
        <x:v>1</x:v>
      </x:c>
    </x:row>
    <x:row r="108" ht="23" customHeight="1">
      <x:c r="A108" s="45" t="str">
        <x:v>Centro Sur</x:v>
      </x:c>
      <x:c r="B108" s="45" t="str">
        <x:v>Fernando Eduardo Verdugo Saldaña</x:v>
      </x:c>
      <x:c r="C108" s="50" t="str">
        <x:v>38393</x:v>
      </x:c>
      <x:c r="D108" s="45" t="str">
        <x:v>Coapa Chedraui</x:v>
      </x:c>
      <x:c r="E108" s="45" t="str">
        <x:v>Abierta</x:v>
      </x:c>
      <x:c r="F108" s="51" t="d">
        <x:v>2010-11-12T00:00:00.000Z</x:v>
      </x:c>
      <x:c r="G108" s="45" t="str">
        <x:v>Coyoacán</x:v>
      </x:c>
      <x:c r="H108" s="45" t="str">
        <x:v>Ciudad De México</x:v>
      </x:c>
      <x:c r="I108" s="52" t="n">
        <x:v>19.303472</x:v>
      </x:c>
      <x:c r="J108" s="52" t="n">
        <x:v>-99.119045</x:v>
      </x:c>
      <x:c r="K108" s="45" t="str">
        <x:v>Cafe</x:v>
      </x:c>
      <x:c r="L108" s="45" t="str">
        <x:v>Retail</x:v>
      </x:c>
      <x:c r="M108" s="45" t="str">
        <x:v>C2</x:v>
      </x:c>
      <x:c r="N108" s="45" t="str">
        <x:v>Sí</x:v>
      </x:c>
      <x:c r="O108" s="45" t="str">
        <x:v>Fernando Eduardo Verdugo Saldaña</x:v>
      </x:c>
      <x:c r="P108" s="45" t="str">
        <x:v>Ops y Directorio Alsea · octubre 2026</x:v>
      </x:c>
      <x:c r="Q108" s="45" t="str">
        <x:v>Puntos proporcionados</x:v>
      </x:c>
      <x:c r="R108" s="45" t="str">
        <x:v>Abierta</x:v>
      </x:c>
      <x:c r="S108" s="45" t="str"/>
      <x:c r="T108" s="45" t="n">
        <x:f>IF(AND(E108="Abierta",N108="Sí",ISNUMBER(I108),ISNUMBER(J108),ABS(I108)&lt;=90,ABS(J108)&lt;=180),1,0)</x:f>
        <x:v>1</x:v>
      </x:c>
    </x:row>
    <x:row r="109" ht="23" customHeight="1">
      <x:c r="A109" s="45" t="str">
        <x:v>Centro Sur</x:v>
      </x:c>
      <x:c r="B109" s="45" t="str">
        <x:v>Fernando Eduardo Verdugo Saldaña</x:v>
      </x:c>
      <x:c r="C109" s="50" t="str">
        <x:v>38469</x:v>
      </x:c>
      <x:c r="D109" s="45" t="str">
        <x:v>Galerias Coapa</x:v>
      </x:c>
      <x:c r="E109" s="45" t="str">
        <x:v>Abierta</x:v>
      </x:c>
      <x:c r="F109" s="51" t="d">
        <x:v>2012-10-30T00:00:00.000Z</x:v>
      </x:c>
      <x:c r="G109" s="45" t="str">
        <x:v>Tlalpan</x:v>
      </x:c>
      <x:c r="H109" s="45" t="str">
        <x:v>Ciudad De México</x:v>
      </x:c>
      <x:c r="I109" s="52" t="n">
        <x:v>19.302409</x:v>
      </x:c>
      <x:c r="J109" s="52" t="n">
        <x:v>-99.124315</x:v>
      </x:c>
      <x:c r="K109" s="45" t="str">
        <x:v>Cafe</x:v>
      </x:c>
      <x:c r="L109" s="45" t="str">
        <x:v>Retail</x:v>
      </x:c>
      <x:c r="M109" s="45" t="str">
        <x:v>C2</x:v>
      </x:c>
      <x:c r="N109" s="45" t="str">
        <x:v>Sí</x:v>
      </x:c>
      <x:c r="O109" s="45" t="str">
        <x:v>Fernando Eduardo Verdugo Saldaña</x:v>
      </x:c>
      <x:c r="P109" s="45" t="str">
        <x:v>Ops y Directorio Alsea · octubre 2026</x:v>
      </x:c>
      <x:c r="Q109" s="45" t="str">
        <x:v>Puntos proporcionados</x:v>
      </x:c>
      <x:c r="R109" s="45" t="str">
        <x:v>Abierta</x:v>
      </x:c>
      <x:c r="S109" s="45" t="str"/>
      <x:c r="T109" s="45" t="n">
        <x:f>IF(AND(E109="Abierta",N109="Sí",ISNUMBER(I109),ISNUMBER(J109),ABS(I109)&lt;=90,ABS(J109)&lt;=180),1,0)</x:f>
        <x:v>1</x:v>
      </x:c>
    </x:row>
    <x:row r="110" ht="23" customHeight="1">
      <x:c r="A110" s="45" t="str">
        <x:v>Centro Sur</x:v>
      </x:c>
      <x:c r="B110" s="45" t="str">
        <x:v>Fernando Eduardo Verdugo Saldaña</x:v>
      </x:c>
      <x:c r="C110" s="50" t="str">
        <x:v>38471</x:v>
      </x:c>
      <x:c r="D110" s="45" t="str">
        <x:v>Angeles Acoxpa</x:v>
      </x:c>
      <x:c r="E110" s="45" t="str">
        <x:v>Abierta</x:v>
      </x:c>
      <x:c r="F110" s="51" t="d">
        <x:v>2013-01-16T00:00:00.000Z</x:v>
      </x:c>
      <x:c r="G110" s="45" t="str">
        <x:v>Tlalpan</x:v>
      </x:c>
      <x:c r="H110" s="45" t="str">
        <x:v>Ciudad De México</x:v>
      </x:c>
      <x:c r="I110" s="52" t="n">
        <x:v>19.2998876</x:v>
      </x:c>
      <x:c r="J110" s="52" t="n">
        <x:v>-99.1355097</x:v>
      </x:c>
      <x:c r="K110" s="45" t="str">
        <x:v>Cafe</x:v>
      </x:c>
      <x:c r="L110" s="45" t="str">
        <x:v>Institution</x:v>
      </x:c>
      <x:c r="M110" s="45" t="str">
        <x:v>C2</x:v>
      </x:c>
      <x:c r="N110" s="45" t="str">
        <x:v>Sí</x:v>
      </x:c>
      <x:c r="O110" s="45" t="str">
        <x:v>Fernando Eduardo Verdugo Saldaña</x:v>
      </x:c>
      <x:c r="P110" s="45" t="str">
        <x:v>Ops y Directorio Alsea · octubre 2026</x:v>
      </x:c>
      <x:c r="Q110" s="45" t="str">
        <x:v>Puntos proporcionados</x:v>
      </x:c>
      <x:c r="R110" s="45" t="str">
        <x:v>Abierta</x:v>
      </x:c>
      <x:c r="S110" s="45" t="str"/>
      <x:c r="T110" s="45" t="n">
        <x:f>IF(AND(E110="Abierta",N110="Sí",ISNUMBER(I110),ISNUMBER(J110),ABS(I110)&lt;=90,ABS(J110)&lt;=180),1,0)</x:f>
        <x:v>1</x:v>
      </x:c>
    </x:row>
    <x:row r="111" ht="23" customHeight="1">
      <x:c r="A111" s="45" t="str">
        <x:v>Centro Sur</x:v>
      </x:c>
      <x:c r="B111" s="45" t="str">
        <x:v>Fernando Eduardo Verdugo Saldaña</x:v>
      </x:c>
      <x:c r="C111" s="50" t="str">
        <x:v>38472</x:v>
      </x:c>
      <x:c r="D111" s="45" t="str">
        <x:v>Plaza America DT</x:v>
      </x:c>
      <x:c r="E111" s="45" t="str">
        <x:v>Abierta</x:v>
      </x:c>
      <x:c r="F111" s="51" t="d">
        <x:v>2012-11-16T00:00:00.000Z</x:v>
      </x:c>
      <x:c r="G111" s="45" t="str">
        <x:v>Coyoacán</x:v>
      </x:c>
      <x:c r="H111" s="45" t="str">
        <x:v>Ciudad De México</x:v>
      </x:c>
      <x:c r="I111" s="52" t="n">
        <x:v>19.3127328</x:v>
      </x:c>
      <x:c r="J111" s="52" t="n">
        <x:v>-99.1364183</x:v>
      </x:c>
      <x:c r="K111" s="45" t="str">
        <x:v>Drive_Thru</x:v>
      </x:c>
      <x:c r="L111" s="45" t="str">
        <x:v>Transfers</x:v>
      </x:c>
      <x:c r="M111" s="45" t="str">
        <x:v>C2</x:v>
      </x:c>
      <x:c r="N111" s="45" t="str">
        <x:v>Sí</x:v>
      </x:c>
      <x:c r="O111" s="45" t="str">
        <x:v>Fernando Eduardo Verdugo Saldaña</x:v>
      </x:c>
      <x:c r="P111" s="45" t="str">
        <x:v>Ops y Directorio Alsea · octubre 2026</x:v>
      </x:c>
      <x:c r="Q111" s="45" t="str">
        <x:v>Puntos proporcionados</x:v>
      </x:c>
      <x:c r="R111" s="45" t="str">
        <x:v>Abierta</x:v>
      </x:c>
      <x:c r="S111" s="45" t="str"/>
      <x:c r="T111" s="45" t="n">
        <x:f>IF(AND(E111="Abierta",N111="Sí",ISNUMBER(I111),ISNUMBER(J111),ABS(I111)&lt;=90,ABS(J111)&lt;=180),1,0)</x:f>
        <x:v>1</x:v>
      </x:c>
    </x:row>
    <x:row r="112" ht="23" customHeight="1">
      <x:c r="A112" s="45" t="str">
        <x:v>Centro Sur</x:v>
      </x:c>
      <x:c r="B112" s="45" t="str">
        <x:v>Fernando Eduardo Verdugo Saldaña</x:v>
      </x:c>
      <x:c r="C112" s="50" t="str">
        <x:v>38494</x:v>
      </x:c>
      <x:c r="D112" s="45" t="str">
        <x:v>Pabellon Cuemanco</x:v>
      </x:c>
      <x:c r="E112" s="45" t="str">
        <x:v>Abierta</x:v>
      </x:c>
      <x:c r="F112" s="51" t="d">
        <x:v>2013-06-27T00:00:00.000Z</x:v>
      </x:c>
      <x:c r="G112" s="45" t="str">
        <x:v>Xochimilco</x:v>
      </x:c>
      <x:c r="H112" s="45" t="str">
        <x:v>Ciudad De México</x:v>
      </x:c>
      <x:c r="I112" s="52" t="n">
        <x:v>19.326304</x:v>
      </x:c>
      <x:c r="J112" s="52" t="n">
        <x:v>-99.104581</x:v>
      </x:c>
      <x:c r="K112" s="45" t="str">
        <x:v>Cafe</x:v>
      </x:c>
      <x:c r="L112" s="45" t="str">
        <x:v>Retail</x:v>
      </x:c>
      <x:c r="M112" s="45" t="str">
        <x:v>C2</x:v>
      </x:c>
      <x:c r="N112" s="45" t="str">
        <x:v>Sí</x:v>
      </x:c>
      <x:c r="O112" s="45" t="str">
        <x:v>Fernando Eduardo Verdugo Saldaña</x:v>
      </x:c>
      <x:c r="P112" s="45" t="str">
        <x:v>Ops y Directorio Alsea · octubre 2026</x:v>
      </x:c>
      <x:c r="Q112" s="45" t="str">
        <x:v>Puntos proporcionados</x:v>
      </x:c>
      <x:c r="R112" s="45" t="str">
        <x:v>Abierta</x:v>
      </x:c>
      <x:c r="S112" s="45" t="str"/>
      <x:c r="T112" s="45" t="n">
        <x:f>IF(AND(E112="Abierta",N112="Sí",ISNUMBER(I112),ISNUMBER(J112),ABS(I112)&lt;=90,ABS(J112)&lt;=180),1,0)</x:f>
        <x:v>1</x:v>
      </x:c>
    </x:row>
    <x:row r="113" ht="23" customHeight="1">
      <x:c r="A113" s="45" t="str">
        <x:v>Centro Sur</x:v>
      </x:c>
      <x:c r="B113" s="45" t="str">
        <x:v>Fernando Eduardo Verdugo Saldaña</x:v>
      </x:c>
      <x:c r="C113" s="50" t="str">
        <x:v>38637</x:v>
      </x:c>
      <x:c r="D113" s="45" t="str">
        <x:v>Tlalpan Nativitas</x:v>
      </x:c>
      <x:c r="E113" s="45" t="str">
        <x:v>Abierta</x:v>
      </x:c>
      <x:c r="F113" s="51" t="d">
        <x:v>2016-01-29T00:00:00.000Z</x:v>
      </x:c>
      <x:c r="G113" s="45" t="str">
        <x:v>Benito Juárez</x:v>
      </x:c>
      <x:c r="H113" s="45" t="str">
        <x:v>Ciudad De México</x:v>
      </x:c>
      <x:c r="I113" s="52" t="n">
        <x:v>19.3801532</x:v>
      </x:c>
      <x:c r="J113" s="52" t="n">
        <x:v>-99.1408364</x:v>
      </x:c>
      <x:c r="K113" s="45" t="str">
        <x:v>Cafe</x:v>
      </x:c>
      <x:c r="L113" s="45" t="str">
        <x:v>Retail</x:v>
      </x:c>
      <x:c r="M113" s="45" t="str">
        <x:v>C2</x:v>
      </x:c>
      <x:c r="N113" s="45" t="str">
        <x:v>Sí</x:v>
      </x:c>
      <x:c r="O113" s="45" t="str">
        <x:v>Fernando Eduardo Verdugo Saldaña</x:v>
      </x:c>
      <x:c r="P113" s="45" t="str">
        <x:v>Ops y Directorio Alsea · octubre 2026</x:v>
      </x:c>
      <x:c r="Q113" s="45" t="str">
        <x:v>Puntos proporcionados</x:v>
      </x:c>
      <x:c r="R113" s="45" t="str">
        <x:v>Abierta</x:v>
      </x:c>
      <x:c r="S113" s="45" t="str"/>
      <x:c r="T113" s="45" t="n">
        <x:f>IF(AND(E113="Abierta",N113="Sí",ISNUMBER(I113),ISNUMBER(J113),ABS(I113)&lt;=90,ABS(J113)&lt;=180),1,0)</x:f>
        <x:v>1</x:v>
      </x:c>
    </x:row>
    <x:row r="114" ht="23" customHeight="1">
      <x:c r="A114" s="45" t="str">
        <x:v>Centro Sur</x:v>
      </x:c>
      <x:c r="B114" s="45" t="str">
        <x:v>Fernando Eduardo Verdugo Saldaña</x:v>
      </x:c>
      <x:c r="C114" s="50" t="str">
        <x:v>38817</x:v>
      </x:c>
      <x:c r="D114" s="45" t="str">
        <x:v>Tec de Monterrey CCM</x:v>
      </x:c>
      <x:c r="E114" s="45" t="str">
        <x:v>Abierta</x:v>
      </x:c>
      <x:c r="F114" s="51" t="d">
        <x:v>2022-11-18T00:00:00.000Z</x:v>
      </x:c>
      <x:c r="G114" s="45" t="str">
        <x:v>Tlalpan</x:v>
      </x:c>
      <x:c r="H114" s="45" t="str">
        <x:v>Ciudad De México</x:v>
      </x:c>
      <x:c r="I114" s="52" t="n">
        <x:v>19.284686</x:v>
      </x:c>
      <x:c r="J114" s="52" t="n">
        <x:v>-99.134089</x:v>
      </x:c>
      <x:c r="K114" s="45" t="str">
        <x:v>Cafe</x:v>
      </x:c>
      <x:c r="L114" s="45" t="str">
        <x:v>Institution</x:v>
      </x:c>
      <x:c r="M114" s="45" t="str">
        <x:v>C1</x:v>
      </x:c>
      <x:c r="N114" s="45" t="str">
        <x:v>Sí</x:v>
      </x:c>
      <x:c r="O114" s="45" t="str">
        <x:v>Fernando Eduardo Verdugo Saldaña</x:v>
      </x:c>
      <x:c r="P114" s="45" t="str">
        <x:v>Ops y Directorio Alsea · octubre 2026</x:v>
      </x:c>
      <x:c r="Q114" s="45" t="str">
        <x:v>Puntos proporcionados</x:v>
      </x:c>
      <x:c r="R114" s="45" t="str">
        <x:v>Abierta</x:v>
      </x:c>
      <x:c r="S114" s="45" t="str"/>
      <x:c r="T114" s="45" t="n">
        <x:f>IF(AND(E114="Abierta",N114="Sí",ISNUMBER(I114),ISNUMBER(J114),ABS(I114)&lt;=90,ABS(J114)&lt;=180),1,0)</x:f>
        <x:v>1</x:v>
      </x:c>
    </x:row>
    <x:row r="115" ht="23" customHeight="1">
      <x:c r="A115" s="45" t="str">
        <x:v>Centro Sur</x:v>
      </x:c>
      <x:c r="B115" s="45" t="str">
        <x:v>Fernando Eduardo Verdugo Saldaña</x:v>
      </x:c>
      <x:c r="C115" s="50" t="str">
        <x:v>38964</x:v>
      </x:c>
      <x:c r="D115" s="45" t="str">
        <x:v>Biblioteca Tec</x:v>
      </x:c>
      <x:c r="E115" s="45" t="str">
        <x:v>Abierta</x:v>
      </x:c>
      <x:c r="F115" s="51" t="d">
        <x:v>2023-08-07T00:00:00.000Z</x:v>
      </x:c>
      <x:c r="G115" s="45" t="str">
        <x:v>Tlalpan</x:v>
      </x:c>
      <x:c r="H115" s="45" t="str">
        <x:v>Ciudad De México</x:v>
      </x:c>
      <x:c r="I115" s="52" t="n">
        <x:v>19.2842707</x:v>
      </x:c>
      <x:c r="J115" s="52" t="n">
        <x:v>-99.1351247</x:v>
      </x:c>
      <x:c r="K115" s="45" t="str">
        <x:v>Kiosko</x:v>
      </x:c>
      <x:c r="L115" s="45" t="str">
        <x:v>Institution</x:v>
      </x:c>
      <x:c r="M115" s="45" t="str">
        <x:v>C1</x:v>
      </x:c>
      <x:c r="N115" s="45" t="str">
        <x:v>Sí</x:v>
      </x:c>
      <x:c r="O115" s="45" t="str">
        <x:v>Fernando Eduardo Verdugo Saldaña</x:v>
      </x:c>
      <x:c r="P115" s="45" t="str">
        <x:v>Ops y Directorio Alsea · octubre 2026</x:v>
      </x:c>
      <x:c r="Q115" s="45" t="str">
        <x:v>Puntos proporcionados</x:v>
      </x:c>
      <x:c r="R115" s="45" t="str">
        <x:v>Abierta</x:v>
      </x:c>
      <x:c r="S115" s="45" t="str"/>
      <x:c r="T115" s="45" t="n">
        <x:f>IF(AND(E115="Abierta",N115="Sí",ISNUMBER(I115),ISNUMBER(J115),ABS(I115)&lt;=90,ABS(J115)&lt;=180),1,0)</x:f>
        <x:v>1</x:v>
      </x:c>
    </x:row>
    <x:row r="116" ht="23" customHeight="1">
      <x:c r="A116" s="45" t="str">
        <x:v>Centro Sur</x:v>
      </x:c>
      <x:c r="B116" s="45" t="str">
        <x:v>Hazar Susim Trejo Hernandez</x:v>
      </x:c>
      <x:c r="C116" s="50" t="str">
        <x:v>38131</x:v>
      </x:c>
      <x:c r="D116" s="45" t="str">
        <x:v>Tepepan</x:v>
      </x:c>
      <x:c r="E116" s="45" t="str">
        <x:v>Abierta</x:v>
      </x:c>
      <x:c r="F116" s="51" t="d">
        <x:v>2004-09-14T00:00:00.000Z</x:v>
      </x:c>
      <x:c r="G116" s="45" t="str">
        <x:v>Tlalpan</x:v>
      </x:c>
      <x:c r="H116" s="45" t="str">
        <x:v>Ciudad De México</x:v>
      </x:c>
      <x:c r="I116" s="52" t="n">
        <x:v>19.28196404</x:v>
      </x:c>
      <x:c r="J116" s="52" t="n">
        <x:v>-99.1432182</x:v>
      </x:c>
      <x:c r="K116" s="45" t="str">
        <x:v>Cafe</x:v>
      </x:c>
      <x:c r="L116" s="45" t="str">
        <x:v>Neighborhood</x:v>
      </x:c>
      <x:c r="M116" s="45" t="str">
        <x:v>C1</x:v>
      </x:c>
      <x:c r="N116" s="45" t="str">
        <x:v>Sí</x:v>
      </x:c>
      <x:c r="O116" s="45" t="str">
        <x:v>Hazar Susim Trejo Hernandez</x:v>
      </x:c>
      <x:c r="P116" s="45" t="str">
        <x:v>Ops y Directorio Alsea · octubre 2026</x:v>
      </x:c>
      <x:c r="Q116" s="45" t="str">
        <x:v>Puntos proporcionados</x:v>
      </x:c>
      <x:c r="R116" s="45" t="str">
        <x:v>Abierta</x:v>
      </x:c>
      <x:c r="S116" s="45" t="str"/>
      <x:c r="T116" s="45" t="n">
        <x:f>IF(AND(E116="Abierta",N116="Sí",ISNUMBER(I116),ISNUMBER(J116),ABS(I116)&lt;=90,ABS(J116)&lt;=180),1,0)</x:f>
        <x:v>1</x:v>
      </x:c>
    </x:row>
    <x:row r="117" ht="23" customHeight="1">
      <x:c r="A117" s="45" t="str">
        <x:v>Centro Sur</x:v>
      </x:c>
      <x:c r="B117" s="45" t="str">
        <x:v>Hazar Susim Trejo Hernandez</x:v>
      </x:c>
      <x:c r="C117" s="50" t="str">
        <x:v>38172</x:v>
      </x:c>
      <x:c r="D117" s="45" t="str">
        <x:v>Gran Sur</x:v>
      </x:c>
      <x:c r="E117" s="45" t="str">
        <x:v>Abierta</x:v>
      </x:c>
      <x:c r="F117" s="51" t="d">
        <x:v>2005-12-16T00:00:00.000Z</x:v>
      </x:c>
      <x:c r="G117" s="45" t="str">
        <x:v>Coyoacán</x:v>
      </x:c>
      <x:c r="H117" s="45" t="str">
        <x:v>Ciudad De México</x:v>
      </x:c>
      <x:c r="I117" s="52" t="n">
        <x:v>19.306507</x:v>
      </x:c>
      <x:c r="J117" s="52" t="n">
        <x:v>-99.1666232</x:v>
      </x:c>
      <x:c r="K117" s="45" t="str">
        <x:v>Cafe</x:v>
      </x:c>
      <x:c r="L117" s="45" t="str">
        <x:v>Retail</x:v>
      </x:c>
      <x:c r="M117" s="45" t="str">
        <x:v>C1</x:v>
      </x:c>
      <x:c r="N117" s="45" t="str">
        <x:v>Sí</x:v>
      </x:c>
      <x:c r="O117" s="45" t="str">
        <x:v>Hazar Susim Trejo Hernandez</x:v>
      </x:c>
      <x:c r="P117" s="45" t="str">
        <x:v>Ops y Directorio Alsea · octubre 2026</x:v>
      </x:c>
      <x:c r="Q117" s="45" t="str">
        <x:v>Puntos proporcionados</x:v>
      </x:c>
      <x:c r="R117" s="45" t="str">
        <x:v>Abierta</x:v>
      </x:c>
      <x:c r="S117" s="45" t="str"/>
      <x:c r="T117" s="45" t="n">
        <x:f>IF(AND(E117="Abierta",N117="Sí",ISNUMBER(I117),ISNUMBER(J117),ABS(I117)&lt;=90,ABS(J117)&lt;=180),1,0)</x:f>
        <x:v>1</x:v>
      </x:c>
    </x:row>
    <x:row r="118" ht="23" customHeight="1">
      <x:c r="A118" s="45" t="str">
        <x:v>Centro Sur</x:v>
      </x:c>
      <x:c r="B118" s="45" t="str">
        <x:v>Hazar Susim Trejo Hernandez</x:v>
      </x:c>
      <x:c r="C118" s="50" t="str">
        <x:v>38402</x:v>
      </x:c>
      <x:c r="D118" s="45" t="str">
        <x:v>PeriSur</x:v>
      </x:c>
      <x:c r="E118" s="45" t="str">
        <x:v>Abierta</x:v>
      </x:c>
      <x:c r="F118" s="51" t="d">
        <x:v>2010-12-17T00:00:00.000Z</x:v>
      </x:c>
      <x:c r="G118" s="45" t="str">
        <x:v>Coyoacán</x:v>
      </x:c>
      <x:c r="H118" s="45" t="str">
        <x:v>Ciudad De México</x:v>
      </x:c>
      <x:c r="I118" s="52" t="n">
        <x:v>19.303766</x:v>
      </x:c>
      <x:c r="J118" s="52" t="n">
        <x:v>-99.18876</x:v>
      </x:c>
      <x:c r="K118" s="45" t="str">
        <x:v>Cafe</x:v>
      </x:c>
      <x:c r="L118" s="45" t="str">
        <x:v>Retail</x:v>
      </x:c>
      <x:c r="M118" s="45" t="str">
        <x:v>C2</x:v>
      </x:c>
      <x:c r="N118" s="45" t="str">
        <x:v>Sí</x:v>
      </x:c>
      <x:c r="O118" s="45" t="str">
        <x:v>Hazar Susim Trejo Hernandez</x:v>
      </x:c>
      <x:c r="P118" s="45" t="str">
        <x:v>Ops y Directorio Alsea · octubre 2026</x:v>
      </x:c>
      <x:c r="Q118" s="45" t="str">
        <x:v>Puntos proporcionados</x:v>
      </x:c>
      <x:c r="R118" s="45" t="str">
        <x:v>Abierta</x:v>
      </x:c>
      <x:c r="S118" s="45" t="str"/>
      <x:c r="T118" s="45" t="n">
        <x:f>IF(AND(E118="Abierta",N118="Sí",ISNUMBER(I118),ISNUMBER(J118),ABS(I118)&lt;=90,ABS(J118)&lt;=180),1,0)</x:f>
        <x:v>1</x:v>
      </x:c>
    </x:row>
    <x:row r="119" ht="23" customHeight="1">
      <x:c r="A119" s="45" t="str">
        <x:v>Centro Sur</x:v>
      </x:c>
      <x:c r="B119" s="45" t="str">
        <x:v>Hazar Susim Trejo Hernandez</x:v>
      </x:c>
      <x:c r="C119" s="50" t="str">
        <x:v>38406</x:v>
      </x:c>
      <x:c r="D119" s="45" t="str">
        <x:v>Medica Sur</x:v>
      </x:c>
      <x:c r="E119" s="45" t="str">
        <x:v>Abierta</x:v>
      </x:c>
      <x:c r="F119" s="51" t="d">
        <x:v>2011-03-25T00:00:00.000Z</x:v>
      </x:c>
      <x:c r="G119" s="45" t="str">
        <x:v>Tlalpan</x:v>
      </x:c>
      <x:c r="H119" s="45" t="str">
        <x:v>Ciudad De México</x:v>
      </x:c>
      <x:c r="I119" s="52" t="n">
        <x:v>19.2973719</x:v>
      </x:c>
      <x:c r="J119" s="52" t="n">
        <x:v>-99.161221</x:v>
      </x:c>
      <x:c r="K119" s="45" t="str">
        <x:v>Cafe</x:v>
      </x:c>
      <x:c r="L119" s="45" t="str">
        <x:v>Institution</x:v>
      </x:c>
      <x:c r="M119" s="45" t="str">
        <x:v>C2</x:v>
      </x:c>
      <x:c r="N119" s="45" t="str">
        <x:v>Sí</x:v>
      </x:c>
      <x:c r="O119" s="45" t="str">
        <x:v>Hazar Susim Trejo Hernandez</x:v>
      </x:c>
      <x:c r="P119" s="45" t="str">
        <x:v>Ops y Directorio Alsea · octubre 2026</x:v>
      </x:c>
      <x:c r="Q119" s="45" t="str">
        <x:v>Puntos proporcionados</x:v>
      </x:c>
      <x:c r="R119" s="45" t="str">
        <x:v>Abierta</x:v>
      </x:c>
      <x:c r="S119" s="45" t="str"/>
      <x:c r="T119" s="45" t="n">
        <x:f>IF(AND(E119="Abierta",N119="Sí",ISNUMBER(I119),ISNUMBER(J119),ABS(I119)&lt;=90,ABS(J119)&lt;=180),1,0)</x:f>
        <x:v>1</x:v>
      </x:c>
    </x:row>
    <x:row r="120" ht="23" customHeight="1">
      <x:c r="A120" s="45" t="str">
        <x:v>Centro Sur</x:v>
      </x:c>
      <x:c r="B120" s="45" t="str">
        <x:v>Hazar Susim Trejo Hernandez</x:v>
      </x:c>
      <x:c r="C120" s="50" t="str">
        <x:v>38543</x:v>
      </x:c>
      <x:c r="D120" s="45" t="str">
        <x:v>Tlalpan Hospitales</x:v>
      </x:c>
      <x:c r="E120" s="45" t="str">
        <x:v>Abierta</x:v>
      </x:c>
      <x:c r="F120" s="51" t="d">
        <x:v>2014-08-22T00:00:00.000Z</x:v>
      </x:c>
      <x:c r="G120" s="45" t="str">
        <x:v>Coyoacán</x:v>
      </x:c>
      <x:c r="H120" s="45" t="str">
        <x:v>Ciudad De México</x:v>
      </x:c>
      <x:c r="I120" s="52" t="n">
        <x:v>19.2920308</x:v>
      </x:c>
      <x:c r="J120" s="52" t="n">
        <x:v>-99.1600531</x:v>
      </x:c>
      <x:c r="K120" s="45" t="str">
        <x:v>Cafe</x:v>
      </x:c>
      <x:c r="L120" s="45" t="str">
        <x:v>Institution</x:v>
      </x:c>
      <x:c r="M120" s="45" t="str">
        <x:v>C2</x:v>
      </x:c>
      <x:c r="N120" s="45" t="str">
        <x:v>Sí</x:v>
      </x:c>
      <x:c r="O120" s="45" t="str">
        <x:v>Hazar Susim Trejo Hernandez</x:v>
      </x:c>
      <x:c r="P120" s="45" t="str">
        <x:v>Ops y Directorio Alsea · octubre 2026</x:v>
      </x:c>
      <x:c r="Q120" s="45" t="str">
        <x:v>Puntos proporcionados</x:v>
      </x:c>
      <x:c r="R120" s="45" t="str">
        <x:v>Abierta</x:v>
      </x:c>
      <x:c r="S120" s="45" t="str"/>
      <x:c r="T120" s="45" t="n">
        <x:f>IF(AND(E120="Abierta",N120="Sí",ISNUMBER(I120),ISNUMBER(J120),ABS(I120)&lt;=90,ABS(J120)&lt;=180),1,0)</x:f>
        <x:v>1</x:v>
      </x:c>
    </x:row>
    <x:row r="121" ht="23" customHeight="1">
      <x:c r="A121" s="45" t="str">
        <x:v>Centro Sur</x:v>
      </x:c>
      <x:c r="B121" s="45" t="str">
        <x:v>Hazar Susim Trejo Hernandez</x:v>
      </x:c>
      <x:c r="C121" s="50" t="str">
        <x:v>38560</x:v>
      </x:c>
      <x:c r="D121" s="45" t="str">
        <x:v>Renato Leduc</x:v>
      </x:c>
      <x:c r="E121" s="45" t="str">
        <x:v>Abierta</x:v>
      </x:c>
      <x:c r="F121" s="51" t="d">
        <x:v>2014-11-10T00:00:00.000Z</x:v>
      </x:c>
      <x:c r="G121" s="45" t="str">
        <x:v>Tlalpan</x:v>
      </x:c>
      <x:c r="H121" s="45" t="str">
        <x:v>Ciudad De México</x:v>
      </x:c>
      <x:c r="I121" s="52" t="n">
        <x:v>19.29636</x:v>
      </x:c>
      <x:c r="J121" s="52" t="n">
        <x:v>-99.159277</x:v>
      </x:c>
      <x:c r="K121" s="45" t="str">
        <x:v>Cafe</x:v>
      </x:c>
      <x:c r="L121" s="45" t="str">
        <x:v>Retail</x:v>
      </x:c>
      <x:c r="M121" s="45" t="str">
        <x:v>C1</x:v>
      </x:c>
      <x:c r="N121" s="45" t="str">
        <x:v>Sí</x:v>
      </x:c>
      <x:c r="O121" s="45" t="str">
        <x:v>Hazar Susim Trejo Hernandez</x:v>
      </x:c>
      <x:c r="P121" s="45" t="str">
        <x:v>Ops y Directorio Alsea · octubre 2026</x:v>
      </x:c>
      <x:c r="Q121" s="45" t="str">
        <x:v>Puntos proporcionados</x:v>
      </x:c>
      <x:c r="R121" s="45" t="str">
        <x:v>Abierta</x:v>
      </x:c>
      <x:c r="S121" s="45" t="str"/>
      <x:c r="T121" s="45" t="n">
        <x:f>IF(AND(E121="Abierta",N121="Sí",ISNUMBER(I121),ISNUMBER(J121),ABS(I121)&lt;=90,ABS(J121)&lt;=180),1,0)</x:f>
        <x:v>1</x:v>
      </x:c>
    </x:row>
    <x:row r="122" ht="23" customHeight="1">
      <x:c r="A122" s="45" t="str">
        <x:v>Centro Sur</x:v>
      </x:c>
      <x:c r="B122" s="45" t="str">
        <x:v>Hazar Susim Trejo Hernandez</x:v>
      </x:c>
      <x:c r="C122" s="50" t="str">
        <x:v>38605</x:v>
      </x:c>
      <x:c r="D122" s="45" t="str">
        <x:v>Plaza Cuicuilco</x:v>
      </x:c>
      <x:c r="E122" s="45" t="str">
        <x:v>Abierta</x:v>
      </x:c>
      <x:c r="F122" s="51" t="d">
        <x:v>2015-09-27T00:00:00.000Z</x:v>
      </x:c>
      <x:c r="G122" s="45" t="str">
        <x:v>Tlalpan</x:v>
      </x:c>
      <x:c r="H122" s="45" t="str">
        <x:v>Ciudad De México</x:v>
      </x:c>
      <x:c r="I122" s="52" t="n">
        <x:v>19.297413</x:v>
      </x:c>
      <x:c r="J122" s="52" t="n">
        <x:v>-99.181425</x:v>
      </x:c>
      <x:c r="K122" s="45" t="str">
        <x:v>Cafe</x:v>
      </x:c>
      <x:c r="L122" s="45" t="str">
        <x:v>Retail</x:v>
      </x:c>
      <x:c r="M122" s="45" t="str">
        <x:v>C2</x:v>
      </x:c>
      <x:c r="N122" s="45" t="str">
        <x:v>Sí</x:v>
      </x:c>
      <x:c r="O122" s="45" t="str">
        <x:v>Hazar Susim Trejo Hernandez</x:v>
      </x:c>
      <x:c r="P122" s="45" t="str">
        <x:v>Ops y Directorio Alsea · octubre 2026</x:v>
      </x:c>
      <x:c r="Q122" s="45" t="str">
        <x:v>Puntos proporcionados</x:v>
      </x:c>
      <x:c r="R122" s="45" t="str">
        <x:v>Abierta</x:v>
      </x:c>
      <x:c r="S122" s="45" t="str"/>
      <x:c r="T122" s="45" t="n">
        <x:f>IF(AND(E122="Abierta",N122="Sí",ISNUMBER(I122),ISNUMBER(J122),ABS(I122)&lt;=90,ABS(J122)&lt;=180),1,0)</x:f>
        <x:v>1</x:v>
      </x:c>
    </x:row>
    <x:row r="123" ht="23" customHeight="1">
      <x:c r="A123" s="45" t="str">
        <x:v>Centro Sur</x:v>
      </x:c>
      <x:c r="B123" s="45" t="str">
        <x:v>Hazar Susim Trejo Hernandez</x:v>
      </x:c>
      <x:c r="C123" s="50" t="str">
        <x:v>38625</x:v>
      </x:c>
      <x:c r="D123" s="45" t="str">
        <x:v>Tezoquipa</x:v>
      </x:c>
      <x:c r="E123" s="45" t="str">
        <x:v>Abierta</x:v>
      </x:c>
      <x:c r="F123" s="51" t="d">
        <x:v>2015-12-04T00:00:00.000Z</x:v>
      </x:c>
      <x:c r="G123" s="45" t="str">
        <x:v>Tlalpan</x:v>
      </x:c>
      <x:c r="H123" s="45" t="str">
        <x:v>Ciudad De México</x:v>
      </x:c>
      <x:c r="I123" s="52" t="n">
        <x:v>19.282682</x:v>
      </x:c>
      <x:c r="J123" s="52" t="n">
        <x:v>-99.164497</x:v>
      </x:c>
      <x:c r="K123" s="45" t="str">
        <x:v>Drive_Thru</x:v>
      </x:c>
      <x:c r="L123" s="45" t="str">
        <x:v>Transfers</x:v>
      </x:c>
      <x:c r="M123" s="45" t="str">
        <x:v>C1</x:v>
      </x:c>
      <x:c r="N123" s="45" t="str">
        <x:v>Sí</x:v>
      </x:c>
      <x:c r="O123" s="45" t="str">
        <x:v>Hazar Susim Trejo Hernandez</x:v>
      </x:c>
      <x:c r="P123" s="45" t="str">
        <x:v>Ops y Directorio Alsea · octubre 2026</x:v>
      </x:c>
      <x:c r="Q123" s="45" t="str">
        <x:v>Puntos proporcionados</x:v>
      </x:c>
      <x:c r="R123" s="45" t="str">
        <x:v>Abierta</x:v>
      </x:c>
      <x:c r="S123" s="45" t="str"/>
      <x:c r="T123" s="45" t="n">
        <x:f>IF(AND(E123="Abierta",N123="Sí",ISNUMBER(I123),ISNUMBER(J123),ABS(I123)&lt;=90,ABS(J123)&lt;=180),1,0)</x:f>
        <x:v>1</x:v>
      </x:c>
    </x:row>
    <x:row r="124" ht="23" customHeight="1">
      <x:c r="A124" s="45" t="str">
        <x:v>Centro Sur</x:v>
      </x:c>
      <x:c r="B124" s="45" t="str">
        <x:v>Hazar Susim Trejo Hernandez</x:v>
      </x:c>
      <x:c r="C124" s="50" t="str">
        <x:v>38771</x:v>
      </x:c>
      <x:c r="D124" s="45" t="str">
        <x:v>Medica SurTlalpan</x:v>
      </x:c>
      <x:c r="E124" s="45" t="str">
        <x:v>Cierre Temporal</x:v>
      </x:c>
      <x:c r="F124" s="51" t="d">
        <x:v>2018-01-12T00:00:00.000Z</x:v>
      </x:c>
      <x:c r="G124" s="45" t="str">
        <x:v>Tlalpan</x:v>
      </x:c>
      <x:c r="H124" s="45" t="str">
        <x:v>Ciudad De México</x:v>
      </x:c>
      <x:c r="I124" s="52" t="n">
        <x:v>19.296864</x:v>
      </x:c>
      <x:c r="J124" s="52" t="n">
        <x:v>-99.1612574</x:v>
      </x:c>
      <x:c r="K124" s="45" t="str">
        <x:v>Cafe</x:v>
      </x:c>
      <x:c r="L124" s="45" t="str">
        <x:v>Institution</x:v>
      </x:c>
      <x:c r="M124" s="45" t="str">
        <x:v>C2</x:v>
      </x:c>
      <x:c r="N124" s="45" t="str">
        <x:v>No</x:v>
      </x:c>
      <x:c r="O124" s="45" t="str">
        <x:v>Hazar Susim Trejo Hernandez</x:v>
      </x:c>
      <x:c r="P124" s="45" t="str">
        <x:v>Ops y Directorio Alsea · octubre 2026</x:v>
      </x:c>
      <x:c r="Q124" s="45" t="str">
        <x:v>Puntos proporcionados</x:v>
      </x:c>
      <x:c r="R124" s="45" t="str">
        <x:v>Abierta</x:v>
      </x:c>
      <x:c r="S124" s="45" t="str">
        <x:v>Ops: Cierre Temporal. Alsea: Abierta. Se conserva el estatus operativo más específico.</x:v>
      </x:c>
      <x:c r="T124" s="45" t="n">
        <x:f>IF(AND(E124="Abierta",N124="Sí",ISNUMBER(I124),ISNUMBER(J124),ABS(I124)&lt;=90,ABS(J124)&lt;=180),1,0)</x:f>
        <x:v>0</x:v>
      </x:c>
    </x:row>
    <x:row r="125" ht="23" customHeight="1">
      <x:c r="A125" s="45" t="str">
        <x:v>Centro Sur</x:v>
      </x:c>
      <x:c r="B125" s="45" t="str">
        <x:v>Hazar Susim Trejo Hernandez</x:v>
      </x:c>
      <x:c r="C125" s="50" t="str">
        <x:v>38784</x:v>
      </x:c>
      <x:c r="D125" s="45" t="str">
        <x:v>Artz Pedregal PB CC</x:v>
      </x:c>
      <x:c r="E125" s="45" t="str">
        <x:v>Abierta</x:v>
      </x:c>
      <x:c r="F125" s="51" t="d">
        <x:v>2018-03-10T00:00:00.000Z</x:v>
      </x:c>
      <x:c r="G125" s="45" t="str">
        <x:v>Álvaro Obregón</x:v>
      </x:c>
      <x:c r="H125" s="45" t="str">
        <x:v>Ciudad De México</x:v>
      </x:c>
      <x:c r="I125" s="52" t="n">
        <x:v>19.3127577</x:v>
      </x:c>
      <x:c r="J125" s="52" t="n">
        <x:v>-99.2189036</x:v>
      </x:c>
      <x:c r="K125" s="45" t="str">
        <x:v>Cafe</x:v>
      </x:c>
      <x:c r="L125" s="45" t="str">
        <x:v>Retail</x:v>
      </x:c>
      <x:c r="M125" s="45" t="str">
        <x:v>C2</x:v>
      </x:c>
      <x:c r="N125" s="45" t="str">
        <x:v>Sí</x:v>
      </x:c>
      <x:c r="O125" s="45" t="str">
        <x:v>Hazar Susim Trejo Hernandez</x:v>
      </x:c>
      <x:c r="P125" s="45" t="str">
        <x:v>Ops y Directorio Alsea · octubre 2026</x:v>
      </x:c>
      <x:c r="Q125" s="45" t="str">
        <x:v>Puntos proporcionados</x:v>
      </x:c>
      <x:c r="R125" s="45" t="str">
        <x:v>Abierta</x:v>
      </x:c>
      <x:c r="S125" s="45" t="str"/>
      <x:c r="T125" s="45" t="n">
        <x:f>IF(AND(E125="Abierta",N125="Sí",ISNUMBER(I125),ISNUMBER(J125),ABS(I125)&lt;=90,ABS(J125)&lt;=180),1,0)</x:f>
        <x:v>1</x:v>
      </x:c>
    </x:row>
    <x:row r="126" ht="23" customHeight="1">
      <x:c r="A126" s="45" t="str">
        <x:v>Centro Sur</x:v>
      </x:c>
      <x:c r="B126" s="45" t="str">
        <x:v>Hazar Susim Trejo Hernandez</x:v>
      </x:c>
      <x:c r="C126" s="50" t="str">
        <x:v>38791</x:v>
      </x:c>
      <x:c r="D126" s="45" t="str">
        <x:v>Artz Pedregal Reserve</x:v>
      </x:c>
      <x:c r="E126" s="45" t="str">
        <x:v>Abierta</x:v>
      </x:c>
      <x:c r="F126" s="51" t="d">
        <x:v>2018-04-27T00:00:00.000Z</x:v>
      </x:c>
      <x:c r="G126" s="45" t="str">
        <x:v>Álvaro Obregón</x:v>
      </x:c>
      <x:c r="H126" s="45" t="str">
        <x:v>Ciudad De México</x:v>
      </x:c>
      <x:c r="I126" s="52" t="n">
        <x:v>19.313486</x:v>
      </x:c>
      <x:c r="J126" s="52" t="n">
        <x:v>-99.218741</x:v>
      </x:c>
      <x:c r="K126" s="45" t="str">
        <x:v>Reserve</x:v>
      </x:c>
      <x:c r="L126" s="45" t="str">
        <x:v>Retail</x:v>
      </x:c>
      <x:c r="M126" s="45" t="str">
        <x:v>R2</x:v>
      </x:c>
      <x:c r="N126" s="45" t="str">
        <x:v>Sí</x:v>
      </x:c>
      <x:c r="O126" s="45" t="str">
        <x:v>Hazar Susim Trejo Hernandez</x:v>
      </x:c>
      <x:c r="P126" s="45" t="str">
        <x:v>Ops y Directorio Alsea · octubre 2026</x:v>
      </x:c>
      <x:c r="Q126" s="45" t="str">
        <x:v>Puntos proporcionados</x:v>
      </x:c>
      <x:c r="R126" s="45" t="str">
        <x:v>Abierta</x:v>
      </x:c>
      <x:c r="S126" s="45" t="str"/>
      <x:c r="T126" s="45" t="n">
        <x:f>IF(AND(E126="Abierta",N126="Sí",ISNUMBER(I126),ISNUMBER(J126),ABS(I126)&lt;=90,ABS(J126)&lt;=180),1,0)</x:f>
        <x:v>1</x:v>
      </x:c>
    </x:row>
    <x:row r="127" ht="23" customHeight="1">
      <x:c r="A127" s="45" t="str">
        <x:v>Centro Sur</x:v>
      </x:c>
      <x:c r="B127" s="45" t="str">
        <x:v>Hazar Susim Trejo Hernandez</x:v>
      </x:c>
      <x:c r="C127" s="50" t="str">
        <x:v>38806</x:v>
      </x:c>
      <x:c r="D127" s="45" t="str">
        <x:v>Patio Tlalpan</x:v>
      </x:c>
      <x:c r="E127" s="45" t="str">
        <x:v>Abierta</x:v>
      </x:c>
      <x:c r="F127" s="51" t="d">
        <x:v>2018-05-17T00:00:00.000Z</x:v>
      </x:c>
      <x:c r="G127" s="45" t="str">
        <x:v>Tlalpan</x:v>
      </x:c>
      <x:c r="H127" s="45" t="str">
        <x:v>Ciudad De México</x:v>
      </x:c>
      <x:c r="I127" s="52" t="n">
        <x:v>19.2836894</x:v>
      </x:c>
      <x:c r="J127" s="52" t="n">
        <x:v>-99.1767303</x:v>
      </x:c>
      <x:c r="K127" s="45" t="str">
        <x:v>Kiosko</x:v>
      </x:c>
      <x:c r="L127" s="45" t="str">
        <x:v>Retail</x:v>
      </x:c>
      <x:c r="M127" s="45" t="str">
        <x:v>C1</x:v>
      </x:c>
      <x:c r="N127" s="45" t="str">
        <x:v>Sí</x:v>
      </x:c>
      <x:c r="O127" s="45" t="str">
        <x:v>Hazar Susim Trejo Hernandez</x:v>
      </x:c>
      <x:c r="P127" s="45" t="str">
        <x:v>Ops y Directorio Alsea · octubre 2026</x:v>
      </x:c>
      <x:c r="Q127" s="45" t="str">
        <x:v>Puntos proporcionados</x:v>
      </x:c>
      <x:c r="R127" s="45" t="str">
        <x:v>Abierta</x:v>
      </x:c>
      <x:c r="S127" s="45" t="str"/>
      <x:c r="T127" s="45" t="n">
        <x:f>IF(AND(E127="Abierta",N127="Sí",ISNUMBER(I127),ISNUMBER(J127),ABS(I127)&lt;=90,ABS(J127)&lt;=180),1,0)</x:f>
        <x:v>1</x:v>
      </x:c>
    </x:row>
    <x:row r="128" ht="23" customHeight="1">
      <x:c r="A128" s="45" t="str">
        <x:v>Centro Sur</x:v>
      </x:c>
      <x:c r="B128" s="45" t="str">
        <x:v>Hazar Susim Trejo Hernandez</x:v>
      </x:c>
      <x:c r="C128" s="50" t="str">
        <x:v>38866</x:v>
      </x:c>
      <x:c r="D128" s="45" t="str">
        <x:v>Perisur Reserve</x:v>
      </x:c>
      <x:c r="E128" s="45" t="str">
        <x:v>Abierta</x:v>
      </x:c>
      <x:c r="F128" s="51" t="d">
        <x:v>2019-11-15T00:00:00.000Z</x:v>
      </x:c>
      <x:c r="G128" s="45" t="str">
        <x:v>Coyoacán</x:v>
      </x:c>
      <x:c r="H128" s="45" t="str">
        <x:v>Ciudad De México</x:v>
      </x:c>
      <x:c r="I128" s="52" t="n">
        <x:v>19.304197</x:v>
      </x:c>
      <x:c r="J128" s="52" t="n">
        <x:v>-99.190137</x:v>
      </x:c>
      <x:c r="K128" s="45" t="str">
        <x:v>Reserve</x:v>
      </x:c>
      <x:c r="L128" s="45" t="str">
        <x:v>Retail</x:v>
      </x:c>
      <x:c r="M128" s="45" t="str">
        <x:v>R2</x:v>
      </x:c>
      <x:c r="N128" s="45" t="str">
        <x:v>Sí</x:v>
      </x:c>
      <x:c r="O128" s="45" t="str">
        <x:v>Hazar Susim Trejo Hernandez</x:v>
      </x:c>
      <x:c r="P128" s="45" t="str">
        <x:v>Ops y Directorio Alsea · octubre 2026</x:v>
      </x:c>
      <x:c r="Q128" s="45" t="str">
        <x:v>Puntos proporcionados</x:v>
      </x:c>
      <x:c r="R128" s="45" t="str">
        <x:v>Abierta</x:v>
      </x:c>
      <x:c r="S128" s="45" t="str"/>
      <x:c r="T128" s="45" t="n">
        <x:f>IF(AND(E128="Abierta",N128="Sí",ISNUMBER(I128),ISNUMBER(J128),ABS(I128)&lt;=90,ABS(J128)&lt;=180),1,0)</x:f>
        <x:v>1</x:v>
      </x:c>
    </x:row>
    <x:row r="129" ht="23" customHeight="1">
      <x:c r="A129" s="45" t="str">
        <x:v>Centro Sur</x:v>
      </x:c>
      <x:c r="B129" s="45" t="str">
        <x:v>Jaqueline Cortes Ayala</x:v>
      </x:c>
      <x:c r="C129" s="50" t="str">
        <x:v>38113</x:v>
      </x:c>
      <x:c r="D129" s="45" t="str">
        <x:v>Juan Pablo II</x:v>
      </x:c>
      <x:c r="E129" s="45" t="str">
        <x:v>Abierta</x:v>
      </x:c>
      <x:c r="F129" s="51" t="d">
        <x:v>2003-07-31T00:00:00.000Z</x:v>
      </x:c>
      <x:c r="G129" s="45" t="str">
        <x:v>Álvaro Obregón</x:v>
      </x:c>
      <x:c r="H129" s="45" t="str">
        <x:v>Ciudad De México</x:v>
      </x:c>
      <x:c r="I129" s="52" t="n">
        <x:v>19.3591127</x:v>
      </x:c>
      <x:c r="J129" s="52" t="n">
        <x:v>-99.1839991</x:v>
      </x:c>
      <x:c r="K129" s="45" t="str">
        <x:v>Cafe</x:v>
      </x:c>
      <x:c r="L129" s="45" t="str">
        <x:v>Retail</x:v>
      </x:c>
      <x:c r="M129" s="45" t="str">
        <x:v>C1</x:v>
      </x:c>
      <x:c r="N129" s="45" t="str">
        <x:v>Sí</x:v>
      </x:c>
      <x:c r="O129" s="45" t="str">
        <x:v>Jaqueline Cortes Ayala</x:v>
      </x:c>
      <x:c r="P129" s="45" t="str">
        <x:v>Ops y Directorio Alsea · octubre 2026</x:v>
      </x:c>
      <x:c r="Q129" s="45" t="str">
        <x:v>Puntos proporcionados</x:v>
      </x:c>
      <x:c r="R129" s="45" t="str">
        <x:v>Abierta</x:v>
      </x:c>
      <x:c r="S129" s="45" t="str"/>
      <x:c r="T129" s="45" t="n">
        <x:f>IF(AND(E129="Abierta",N129="Sí",ISNUMBER(I129),ISNUMBER(J129),ABS(I129)&lt;=90,ABS(J129)&lt;=180),1,0)</x:f>
        <x:v>1</x:v>
      </x:c>
    </x:row>
    <x:row r="130" ht="23" customHeight="1">
      <x:c r="A130" s="45" t="str">
        <x:v>Centro Sur</x:v>
      </x:c>
      <x:c r="B130" s="45" t="str">
        <x:v>Jaqueline Cortes Ayala</x:v>
      </x:c>
      <x:c r="C130" s="50" t="str">
        <x:v>38139</x:v>
      </x:c>
      <x:c r="D130" s="45" t="str">
        <x:v>Plaza Inn</x:v>
      </x:c>
      <x:c r="E130" s="45" t="str">
        <x:v>Abierta</x:v>
      </x:c>
      <x:c r="F130" s="51" t="d">
        <x:v>2004-12-17T00:00:00.000Z</x:v>
      </x:c>
      <x:c r="G130" s="45" t="str">
        <x:v>Álvaro Obregón</x:v>
      </x:c>
      <x:c r="H130" s="45" t="str">
        <x:v>Ciudad De México</x:v>
      </x:c>
      <x:c r="I130" s="52" t="n">
        <x:v>19.351986</x:v>
      </x:c>
      <x:c r="J130" s="52" t="n">
        <x:v>-99.186857</x:v>
      </x:c>
      <x:c r="K130" s="45" t="str">
        <x:v>Kiosko</x:v>
      </x:c>
      <x:c r="L130" s="45" t="str">
        <x:v>Retail</x:v>
      </x:c>
      <x:c r="M130" s="45" t="str">
        <x:v>C1</x:v>
      </x:c>
      <x:c r="N130" s="45" t="str">
        <x:v>Sí</x:v>
      </x:c>
      <x:c r="O130" s="45" t="str">
        <x:v>Jaqueline Cortes Ayala</x:v>
      </x:c>
      <x:c r="P130" s="45" t="str">
        <x:v>Ops y Directorio Alsea · octubre 2026</x:v>
      </x:c>
      <x:c r="Q130" s="45" t="str">
        <x:v>Puntos proporcionados</x:v>
      </x:c>
      <x:c r="R130" s="45" t="str">
        <x:v>Abierta</x:v>
      </x:c>
      <x:c r="S130" s="45" t="str"/>
      <x:c r="T130" s="45" t="n">
        <x:f>IF(AND(E130="Abierta",N130="Sí",ISNUMBER(I130),ISNUMBER(J130),ABS(I130)&lt;=90,ABS(J130)&lt;=180),1,0)</x:f>
        <x:v>1</x:v>
      </x:c>
    </x:row>
    <x:row r="131" ht="23" customHeight="1">
      <x:c r="A131" s="45" t="str">
        <x:v>Centro Sur</x:v>
      </x:c>
      <x:c r="B131" s="45" t="str">
        <x:v>Jaqueline Cortes Ayala</x:v>
      </x:c>
      <x:c r="C131" s="50" t="str">
        <x:v>38152</x:v>
      </x:c>
      <x:c r="D131" s="45" t="str">
        <x:v>Insurgentes Relox</x:v>
      </x:c>
      <x:c r="E131" s="45" t="str">
        <x:v>Abierta</x:v>
      </x:c>
      <x:c r="F131" s="51" t="d">
        <x:v>2005-05-18T00:00:00.000Z</x:v>
      </x:c>
      <x:c r="G131" s="45" t="str">
        <x:v>Álvaro Obregón</x:v>
      </x:c>
      <x:c r="H131" s="45" t="str">
        <x:v>Ciudad De México</x:v>
      </x:c>
      <x:c r="I131" s="52" t="n">
        <x:v>19.340333</x:v>
      </x:c>
      <x:c r="J131" s="52" t="n">
        <x:v>-99.1900151</x:v>
      </x:c>
      <x:c r="K131" s="45" t="str">
        <x:v>Cafe</x:v>
      </x:c>
      <x:c r="L131" s="45" t="str">
        <x:v>Transfers</x:v>
      </x:c>
      <x:c r="M131" s="45" t="str">
        <x:v>C2</x:v>
      </x:c>
      <x:c r="N131" s="45" t="str">
        <x:v>Sí</x:v>
      </x:c>
      <x:c r="O131" s="45" t="str">
        <x:v>Jaqueline Cortes Ayala</x:v>
      </x:c>
      <x:c r="P131" s="45" t="str">
        <x:v>Ops y Directorio Alsea · octubre 2026</x:v>
      </x:c>
      <x:c r="Q131" s="45" t="str">
        <x:v>Puntos proporcionados</x:v>
      </x:c>
      <x:c r="R131" s="45" t="str">
        <x:v>Abierta</x:v>
      </x:c>
      <x:c r="S131" s="45" t="str"/>
      <x:c r="T131" s="45" t="n">
        <x:f>IF(AND(E131="Abierta",N131="Sí",ISNUMBER(I131),ISNUMBER(J131),ABS(I131)&lt;=90,ABS(J131)&lt;=180),1,0)</x:f>
        <x:v>1</x:v>
      </x:c>
    </x:row>
    <x:row r="132" ht="23" customHeight="1">
      <x:c r="A132" s="45" t="str">
        <x:v>Centro Sur</x:v>
      </x:c>
      <x:c r="B132" s="45" t="str">
        <x:v>Jaqueline Cortes Ayala</x:v>
      </x:c>
      <x:c r="C132" s="50" t="str">
        <x:v>38208</x:v>
      </x:c>
      <x:c r="D132" s="45" t="str">
        <x:v>Miguel Angel de Quevedo II</x:v>
      </x:c>
      <x:c r="E132" s="45" t="str">
        <x:v>Abierta</x:v>
      </x:c>
      <x:c r="F132" s="51" t="d">
        <x:v>2006-12-08T00:00:00.000Z</x:v>
      </x:c>
      <x:c r="G132" s="45" t="str">
        <x:v>Coyoacán</x:v>
      </x:c>
      <x:c r="H132" s="45" t="str">
        <x:v>Ciudad De México</x:v>
      </x:c>
      <x:c r="I132" s="52" t="n">
        <x:v>19.3450366</x:v>
      </x:c>
      <x:c r="J132" s="52" t="n">
        <x:v>-99.1651626</x:v>
      </x:c>
      <x:c r="K132" s="45" t="str">
        <x:v>Cafe</x:v>
      </x:c>
      <x:c r="L132" s="45" t="str">
        <x:v>Retail</x:v>
      </x:c>
      <x:c r="M132" s="45" t="str">
        <x:v>C1</x:v>
      </x:c>
      <x:c r="N132" s="45" t="str">
        <x:v>Sí</x:v>
      </x:c>
      <x:c r="O132" s="45" t="str">
        <x:v>Jaqueline Cortes Ayala</x:v>
      </x:c>
      <x:c r="P132" s="45" t="str">
        <x:v>Ops y Directorio Alsea · octubre 2026</x:v>
      </x:c>
      <x:c r="Q132" s="45" t="str">
        <x:v>Puntos proporcionados</x:v>
      </x:c>
      <x:c r="R132" s="45" t="str">
        <x:v>Abierta</x:v>
      </x:c>
      <x:c r="S132" s="45" t="str"/>
      <x:c r="T132" s="45" t="n">
        <x:f>IF(AND(E132="Abierta",N132="Sí",ISNUMBER(I132),ISNUMBER(J132),ABS(I132)&lt;=90,ABS(J132)&lt;=180),1,0)</x:f>
        <x:v>1</x:v>
      </x:c>
    </x:row>
    <x:row r="133" ht="23" customHeight="1">
      <x:c r="A133" s="45" t="str">
        <x:v>Centro Sur</x:v>
      </x:c>
      <x:c r="B133" s="45" t="str">
        <x:v>Jaqueline Cortes Ayala</x:v>
      </x:c>
      <x:c r="C133" s="50" t="str">
        <x:v>38239</x:v>
      </x:c>
      <x:c r="D133" s="45" t="str">
        <x:v>Miguel Angel de Quevedo III</x:v>
      </x:c>
      <x:c r="E133" s="45" t="str">
        <x:v>Abierta</x:v>
      </x:c>
      <x:c r="F133" s="51" t="d">
        <x:v>2007-06-30T00:00:00.000Z</x:v>
      </x:c>
      <x:c r="G133" s="45" t="str">
        <x:v>Coyoacán</x:v>
      </x:c>
      <x:c r="H133" s="45" t="str">
        <x:v>Ciudad De México</x:v>
      </x:c>
      <x:c r="I133" s="52" t="n">
        <x:v>19.3459708</x:v>
      </x:c>
      <x:c r="J133" s="52" t="n">
        <x:v>-99.1773033</x:v>
      </x:c>
      <x:c r="K133" s="45" t="str">
        <x:v>Cafe</x:v>
      </x:c>
      <x:c r="L133" s="45" t="str">
        <x:v>Retail</x:v>
      </x:c>
      <x:c r="M133" s="45" t="str">
        <x:v>C1</x:v>
      </x:c>
      <x:c r="N133" s="45" t="str">
        <x:v>Sí</x:v>
      </x:c>
      <x:c r="O133" s="45" t="str">
        <x:v>Jaqueline Cortes Ayala</x:v>
      </x:c>
      <x:c r="P133" s="45" t="str">
        <x:v>Ops y Directorio Alsea · octubre 2026</x:v>
      </x:c>
      <x:c r="Q133" s="45" t="str">
        <x:v>Puntos proporcionados</x:v>
      </x:c>
      <x:c r="R133" s="45" t="str">
        <x:v>Abierta</x:v>
      </x:c>
      <x:c r="S133" s="45" t="str"/>
      <x:c r="T133" s="45" t="n">
        <x:f>IF(AND(E133="Abierta",N133="Sí",ISNUMBER(I133),ISNUMBER(J133),ABS(I133)&lt;=90,ABS(J133)&lt;=180),1,0)</x:f>
        <x:v>1</x:v>
      </x:c>
    </x:row>
    <x:row r="134" ht="23" customHeight="1">
      <x:c r="A134" s="45" t="str">
        <x:v>Centro Sur</x:v>
      </x:c>
      <x:c r="B134" s="45" t="str">
        <x:v>Jaqueline Cortes Ayala</x:v>
      </x:c>
      <x:c r="C134" s="50" t="str">
        <x:v>38365</x:v>
      </x:c>
      <x:c r="D134" s="45" t="str">
        <x:v>Coyoacan Centro</x:v>
      </x:c>
      <x:c r="E134" s="45" t="str">
        <x:v>Abierta</x:v>
      </x:c>
      <x:c r="F134" s="51" t="d">
        <x:v>2018-09-24T00:00:00.000Z</x:v>
      </x:c>
      <x:c r="G134" s="45" t="str">
        <x:v>Coyoacán</x:v>
      </x:c>
      <x:c r="H134" s="45" t="str">
        <x:v>Ciudad De México</x:v>
      </x:c>
      <x:c r="I134" s="52" t="n">
        <x:v>19.349808</x:v>
      </x:c>
      <x:c r="J134" s="52" t="n">
        <x:v>-99.161726</x:v>
      </x:c>
      <x:c r="K134" s="45" t="str">
        <x:v>Cafe</x:v>
      </x:c>
      <x:c r="L134" s="45" t="str">
        <x:v>Retail</x:v>
      </x:c>
      <x:c r="M134" s="45" t="str">
        <x:v>C2</x:v>
      </x:c>
      <x:c r="N134" s="45" t="str">
        <x:v>Sí</x:v>
      </x:c>
      <x:c r="O134" s="45" t="str">
        <x:v>Jaqueline Cortes Ayala</x:v>
      </x:c>
      <x:c r="P134" s="45" t="str">
        <x:v>Ops y Directorio Alsea · octubre 2026</x:v>
      </x:c>
      <x:c r="Q134" s="45" t="str">
        <x:v>Puntos proporcionados</x:v>
      </x:c>
      <x:c r="R134" s="45" t="str">
        <x:v>Abierta</x:v>
      </x:c>
      <x:c r="S134" s="45" t="str"/>
      <x:c r="T134" s="45" t="n">
        <x:f>IF(AND(E134="Abierta",N134="Sí",ISNUMBER(I134),ISNUMBER(J134),ABS(I134)&lt;=90,ABS(J134)&lt;=180),1,0)</x:f>
        <x:v>1</x:v>
      </x:c>
    </x:row>
    <x:row r="135" ht="23" customHeight="1">
      <x:c r="A135" s="45" t="str">
        <x:v>Centro Sur</x:v>
      </x:c>
      <x:c r="B135" s="45" t="str">
        <x:v>Jaqueline Cortes Ayala</x:v>
      </x:c>
      <x:c r="C135" s="50" t="str">
        <x:v>38417</x:v>
      </x:c>
      <x:c r="D135" s="45" t="str">
        <x:v>San Jose Insurgentes</x:v>
      </x:c>
      <x:c r="E135" s="45" t="str">
        <x:v>Abierta</x:v>
      </x:c>
      <x:c r="F135" s="51" t="d">
        <x:v>2011-05-19T00:00:00.000Z</x:v>
      </x:c>
      <x:c r="G135" s="45" t="str">
        <x:v>Benito Juárez</x:v>
      </x:c>
      <x:c r="H135" s="45" t="str">
        <x:v>Ciudad De México</x:v>
      </x:c>
      <x:c r="I135" s="52" t="n">
        <x:v>19.364146</x:v>
      </x:c>
      <x:c r="J135" s="52" t="n">
        <x:v>-99.1830025</x:v>
      </x:c>
      <x:c r="K135" s="45" t="str">
        <x:v>Cafe</x:v>
      </x:c>
      <x:c r="L135" s="45" t="str">
        <x:v>Office_Complex</x:v>
      </x:c>
      <x:c r="M135" s="45" t="str">
        <x:v>C2</x:v>
      </x:c>
      <x:c r="N135" s="45" t="str">
        <x:v>Sí</x:v>
      </x:c>
      <x:c r="O135" s="45" t="str">
        <x:v>Jaqueline Cortes Ayala</x:v>
      </x:c>
      <x:c r="P135" s="45" t="str">
        <x:v>Ops y Directorio Alsea · octubre 2026</x:v>
      </x:c>
      <x:c r="Q135" s="45" t="str">
        <x:v>Puntos proporcionados</x:v>
      </x:c>
      <x:c r="R135" s="45" t="str">
        <x:v>Abierta</x:v>
      </x:c>
      <x:c r="S135" s="45" t="str"/>
      <x:c r="T135" s="45" t="n">
        <x:f>IF(AND(E135="Abierta",N135="Sí",ISNUMBER(I135),ISNUMBER(J135),ABS(I135)&lt;=90,ABS(J135)&lt;=180),1,0)</x:f>
        <x:v>1</x:v>
      </x:c>
    </x:row>
    <x:row r="136" ht="23" customHeight="1">
      <x:c r="A136" s="45" t="str">
        <x:v>Centro Sur</x:v>
      </x:c>
      <x:c r="B136" s="45" t="str">
        <x:v>Jaqueline Cortes Ayala</x:v>
      </x:c>
      <x:c r="C136" s="50" t="str">
        <x:v>38430</x:v>
      </x:c>
      <x:c r="D136" s="45" t="str">
        <x:v>Prisma Insurgentes</x:v>
      </x:c>
      <x:c r="E136" s="45" t="str">
        <x:v>Abierta</x:v>
      </x:c>
      <x:c r="F136" s="51" t="d">
        <x:v>2011-11-28T00:00:00.000Z</x:v>
      </x:c>
      <x:c r="G136" s="45" t="str">
        <x:v>Benito Juárez</x:v>
      </x:c>
      <x:c r="H136" s="45" t="str">
        <x:v>Ciudad De México</x:v>
      </x:c>
      <x:c r="I136" s="52" t="n">
        <x:v>19.3624419</x:v>
      </x:c>
      <x:c r="J136" s="52" t="n">
        <x:v>-99.1831398</x:v>
      </x:c>
      <x:c r="K136" s="45" t="str">
        <x:v>Cafe</x:v>
      </x:c>
      <x:c r="L136" s="45" t="str">
        <x:v>Office_Complex</x:v>
      </x:c>
      <x:c r="M136" s="45" t="str">
        <x:v>C2</x:v>
      </x:c>
      <x:c r="N136" s="45" t="str">
        <x:v>Sí</x:v>
      </x:c>
      <x:c r="O136" s="45" t="str">
        <x:v>Jaqueline Cortes Ayala</x:v>
      </x:c>
      <x:c r="P136" s="45" t="str">
        <x:v>Ops y Directorio Alsea · octubre 2026</x:v>
      </x:c>
      <x:c r="Q136" s="45" t="str">
        <x:v>Puntos proporcionados</x:v>
      </x:c>
      <x:c r="R136" s="45" t="str">
        <x:v>Abierta</x:v>
      </x:c>
      <x:c r="S136" s="45" t="str"/>
      <x:c r="T136" s="45" t="n">
        <x:f>IF(AND(E136="Abierta",N136="Sí",ISNUMBER(I136),ISNUMBER(J136),ABS(I136)&lt;=90,ABS(J136)&lt;=180),1,0)</x:f>
        <x:v>1</x:v>
      </x:c>
    </x:row>
    <x:row r="137" ht="23" customHeight="1">
      <x:c r="A137" s="45" t="str">
        <x:v>Centro Sur</x:v>
      </x:c>
      <x:c r="B137" s="45" t="str">
        <x:v>Jaqueline Cortes Ayala</x:v>
      </x:c>
      <x:c r="C137" s="50" t="str">
        <x:v>38484</x:v>
      </x:c>
      <x:c r="D137" s="45" t="str">
        <x:v>Gandhi</x:v>
      </x:c>
      <x:c r="E137" s="45" t="str">
        <x:v>Abierta</x:v>
      </x:c>
      <x:c r="F137" s="51" t="d">
        <x:v>2013-03-25T00:00:00.000Z</x:v>
      </x:c>
      <x:c r="G137" s="45" t="str">
        <x:v>Álvaro Obregón</x:v>
      </x:c>
      <x:c r="H137" s="45" t="str">
        <x:v>Ciudad De México</x:v>
      </x:c>
      <x:c r="I137" s="52" t="n">
        <x:v>19.3473211</x:v>
      </x:c>
      <x:c r="J137" s="52" t="n">
        <x:v>-99.1821781</x:v>
      </x:c>
      <x:c r="K137" s="45" t="str">
        <x:v>Cafe</x:v>
      </x:c>
      <x:c r="L137" s="45" t="str">
        <x:v>Retail</x:v>
      </x:c>
      <x:c r="M137" s="45" t="str">
        <x:v>C1</x:v>
      </x:c>
      <x:c r="N137" s="45" t="str">
        <x:v>Sí</x:v>
      </x:c>
      <x:c r="O137" s="45" t="str">
        <x:v>Jaqueline Cortes Ayala</x:v>
      </x:c>
      <x:c r="P137" s="45" t="str">
        <x:v>Ops y Directorio Alsea · octubre 2026</x:v>
      </x:c>
      <x:c r="Q137" s="45" t="str">
        <x:v>Puntos proporcionados</x:v>
      </x:c>
      <x:c r="R137" s="45" t="str">
        <x:v>Abierta</x:v>
      </x:c>
      <x:c r="S137" s="45" t="str"/>
      <x:c r="T137" s="45" t="n">
        <x:f>IF(AND(E137="Abierta",N137="Sí",ISNUMBER(I137),ISNUMBER(J137),ABS(I137)&lt;=90,ABS(J137)&lt;=180),1,0)</x:f>
        <x:v>1</x:v>
      </x:c>
    </x:row>
    <x:row r="138" ht="23" customHeight="1">
      <x:c r="A138" s="45" t="str">
        <x:v>Centro Sur</x:v>
      </x:c>
      <x:c r="B138" s="45" t="str">
        <x:v>Jaqueline Cortes Ayala</x:v>
      </x:c>
      <x:c r="C138" s="50" t="str">
        <x:v>38585</x:v>
      </x:c>
      <x:c r="D138" s="45" t="str">
        <x:v>Oasis II</x:v>
      </x:c>
      <x:c r="E138" s="45" t="str">
        <x:v>Abierta</x:v>
      </x:c>
      <x:c r="F138" s="51" t="d">
        <x:v>2015-10-15T00:00:00.000Z</x:v>
      </x:c>
      <x:c r="G138" s="45" t="str">
        <x:v>Coyoacán</x:v>
      </x:c>
      <x:c r="H138" s="45" t="str">
        <x:v>Ciudad De México</x:v>
      </x:c>
      <x:c r="I138" s="52" t="n">
        <x:v>19.3447608</x:v>
      </x:c>
      <x:c r="J138" s="52" t="n">
        <x:v>-99.1796021</x:v>
      </x:c>
      <x:c r="K138" s="45" t="str">
        <x:v>Cafe</x:v>
      </x:c>
      <x:c r="L138" s="45" t="str">
        <x:v>Retail</x:v>
      </x:c>
      <x:c r="M138" s="45" t="str">
        <x:v>C1</x:v>
      </x:c>
      <x:c r="N138" s="45" t="str">
        <x:v>Sí</x:v>
      </x:c>
      <x:c r="O138" s="45" t="str">
        <x:v>Jaqueline Cortes Ayala</x:v>
      </x:c>
      <x:c r="P138" s="45" t="str">
        <x:v>Ops y Directorio Alsea · octubre 2026</x:v>
      </x:c>
      <x:c r="Q138" s="45" t="str">
        <x:v>Puntos proporcionados</x:v>
      </x:c>
      <x:c r="R138" s="45" t="str">
        <x:v>Abierta</x:v>
      </x:c>
      <x:c r="S138" s="45" t="str"/>
      <x:c r="T138" s="45" t="n">
        <x:f>IF(AND(E138="Abierta",N138="Sí",ISNUMBER(I138),ISNUMBER(J138),ABS(I138)&lt;=90,ABS(J138)&lt;=180),1,0)</x:f>
        <x:v>1</x:v>
      </x:c>
    </x:row>
    <x:row r="139" ht="23" customHeight="1">
      <x:c r="A139" s="45" t="str">
        <x:v>Centro Sur</x:v>
      </x:c>
      <x:c r="B139" s="45" t="str">
        <x:v>Jaqueline Cortes Ayala</x:v>
      </x:c>
      <x:c r="C139" s="50" t="str">
        <x:v>38620</x:v>
      </x:c>
      <x:c r="D139" s="45" t="str">
        <x:v>Oasis I</x:v>
      </x:c>
      <x:c r="E139" s="45" t="str">
        <x:v>Abierta</x:v>
      </x:c>
      <x:c r="F139" s="51" t="d">
        <x:v>2015-10-14T00:00:00.000Z</x:v>
      </x:c>
      <x:c r="G139" s="45" t="str">
        <x:v>Coyoacán</x:v>
      </x:c>
      <x:c r="H139" s="45" t="str">
        <x:v>Ciudad De México</x:v>
      </x:c>
      <x:c r="I139" s="52" t="n">
        <x:v>19.3462021</x:v>
      </x:c>
      <x:c r="J139" s="52" t="n">
        <x:v>-99.1786793</x:v>
      </x:c>
      <x:c r="K139" s="45" t="str">
        <x:v>Cafe</x:v>
      </x:c>
      <x:c r="L139" s="45" t="str">
        <x:v>Retail</x:v>
      </x:c>
      <x:c r="M139" s="45" t="str">
        <x:v>C1</x:v>
      </x:c>
      <x:c r="N139" s="45" t="str">
        <x:v>Sí</x:v>
      </x:c>
      <x:c r="O139" s="45" t="str">
        <x:v>Jaqueline Cortes Ayala</x:v>
      </x:c>
      <x:c r="P139" s="45" t="str">
        <x:v>Ops y Directorio Alsea · octubre 2026</x:v>
      </x:c>
      <x:c r="Q139" s="45" t="str">
        <x:v>Puntos proporcionados</x:v>
      </x:c>
      <x:c r="R139" s="45" t="str">
        <x:v>Abierta</x:v>
      </x:c>
      <x:c r="S139" s="45" t="str"/>
      <x:c r="T139" s="45" t="n">
        <x:f>IF(AND(E139="Abierta",N139="Sí",ISNUMBER(I139),ISNUMBER(J139),ABS(I139)&lt;=90,ABS(J139)&lt;=180),1,0)</x:f>
        <x:v>1</x:v>
      </x:c>
    </x:row>
    <x:row r="140" ht="23" customHeight="1">
      <x:c r="A140" s="45" t="str">
        <x:v>Centro Sur</x:v>
      </x:c>
      <x:c r="B140" s="45" t="str">
        <x:v>Jaqueline Cortes Ayala</x:v>
      </x:c>
      <x:c r="C140" s="50" t="str">
        <x:v>38663</x:v>
      </x:c>
      <x:c r="D140" s="45" t="str">
        <x:v>Copilco 20</x:v>
      </x:c>
      <x:c r="E140" s="45" t="str">
        <x:v>Abierta</x:v>
      </x:c>
      <x:c r="F140" s="51" t="d">
        <x:v>2016-08-20T00:00:00.000Z</x:v>
      </x:c>
      <x:c r="G140" s="45" t="str">
        <x:v>Coyoacán</x:v>
      </x:c>
      <x:c r="H140" s="45" t="str">
        <x:v>Ciudad De México</x:v>
      </x:c>
      <x:c r="I140" s="52" t="n">
        <x:v>19.3352949</x:v>
      </x:c>
      <x:c r="J140" s="52" t="n">
        <x:v>-99.1571752</x:v>
      </x:c>
      <x:c r="K140" s="45" t="str">
        <x:v>Cafe</x:v>
      </x:c>
      <x:c r="L140" s="45" t="str">
        <x:v>Retail</x:v>
      </x:c>
      <x:c r="M140" s="45" t="str">
        <x:v>C1</x:v>
      </x:c>
      <x:c r="N140" s="45" t="str">
        <x:v>Sí</x:v>
      </x:c>
      <x:c r="O140" s="45" t="str">
        <x:v>Jaqueline Cortes Ayala</x:v>
      </x:c>
      <x:c r="P140" s="45" t="str">
        <x:v>Ops y Directorio Alsea · octubre 2026</x:v>
      </x:c>
      <x:c r="Q140" s="45" t="str">
        <x:v>Puntos proporcionados</x:v>
      </x:c>
      <x:c r="R140" s="45" t="str">
        <x:v>Abierta</x:v>
      </x:c>
      <x:c r="S140" s="45" t="str"/>
      <x:c r="T140" s="45" t="n">
        <x:f>IF(AND(E140="Abierta",N140="Sí",ISNUMBER(I140),ISNUMBER(J140),ABS(I140)&lt;=90,ABS(J140)&lt;=180),1,0)</x:f>
        <x:v>1</x:v>
      </x:c>
    </x:row>
    <x:row r="141" ht="23" customHeight="1">
      <x:c r="A141" s="45" t="str">
        <x:v>Centro Sur</x:v>
      </x:c>
      <x:c r="B141" s="45" t="str">
        <x:v>Jaqueline Cortes Ayala</x:v>
      </x:c>
      <x:c r="C141" s="50" t="str">
        <x:v>43025</x:v>
      </x:c>
      <x:c r="D141" s="45" t="str">
        <x:v>Punto MAQ</x:v>
      </x:c>
      <x:c r="E141" s="45" t="str">
        <x:v>Abierta</x:v>
      </x:c>
      <x:c r="F141" s="51" t="d">
        <x:v>2023-12-21T00:00:00.000Z</x:v>
      </x:c>
      <x:c r="G141" s="45" t="str">
        <x:v>Coyoacán</x:v>
      </x:c>
      <x:c r="H141" s="45" t="str">
        <x:v>Ciudad De México</x:v>
      </x:c>
      <x:c r="I141" s="52" t="n">
        <x:v>19.3428789</x:v>
      </x:c>
      <x:c r="J141" s="52" t="n">
        <x:v>-99.1466019</x:v>
      </x:c>
      <x:c r="K141" s="45" t="str">
        <x:v>Kiosko</x:v>
      </x:c>
      <x:c r="L141" s="45" t="str">
        <x:v>Retail</x:v>
      </x:c>
      <x:c r="M141" s="45" t="str">
        <x:v>C2</x:v>
      </x:c>
      <x:c r="N141" s="45" t="str">
        <x:v>Sí</x:v>
      </x:c>
      <x:c r="O141" s="45" t="str">
        <x:v>Jaqueline Cortes Ayala</x:v>
      </x:c>
      <x:c r="P141" s="45" t="str">
        <x:v>Ops y Directorio Alsea · octubre 2026</x:v>
      </x:c>
      <x:c r="Q141" s="45" t="str">
        <x:v>Puntos proporcionados</x:v>
      </x:c>
      <x:c r="R141" s="45" t="str">
        <x:v>Abierta</x:v>
      </x:c>
      <x:c r="S141" s="45" t="str"/>
      <x:c r="T141" s="45" t="n">
        <x:f>IF(AND(E141="Abierta",N141="Sí",ISNUMBER(I141),ISNUMBER(J141),ABS(I141)&lt;=90,ABS(J141)&lt;=180),1,0)</x:f>
        <x:v>1</x:v>
      </x:c>
    </x:row>
    <x:row r="142" ht="23" customHeight="1">
      <x:c r="A142" s="45" t="str">
        <x:v>Centro Sur</x:v>
      </x:c>
      <x:c r="B142" s="45" t="str">
        <x:v>Jesus Antonio Elguera Flores</x:v>
      </x:c>
      <x:c r="C142" s="50" t="str">
        <x:v>38502</x:v>
      </x:c>
      <x:c r="D142" s="45" t="str">
        <x:v>San Marcos DT</x:v>
      </x:c>
      <x:c r="E142" s="45" t="str">
        <x:v>Abierta</x:v>
      </x:c>
      <x:c r="F142" s="51" t="d">
        <x:v>2022-12-28T00:00:00.000Z</x:v>
      </x:c>
      <x:c r="G142" s="45" t="str">
        <x:v>Chalco</x:v>
      </x:c>
      <x:c r="H142" s="45" t="str">
        <x:v>Estado De México</x:v>
      </x:c>
      <x:c r="I142" s="52" t="n">
        <x:v>19.3003789</x:v>
      </x:c>
      <x:c r="J142" s="52" t="n">
        <x:v>-98.8537988</x:v>
      </x:c>
      <x:c r="K142" s="45" t="str">
        <x:v>Drive_Thru</x:v>
      </x:c>
      <x:c r="L142" s="45" t="str">
        <x:v>Transfers</x:v>
      </x:c>
      <x:c r="M142" s="45" t="str">
        <x:v>C2</x:v>
      </x:c>
      <x:c r="N142" s="45" t="str">
        <x:v>Sí</x:v>
      </x:c>
      <x:c r="O142" s="45" t="str">
        <x:v>Jesus Antonio Elguera Flores</x:v>
      </x:c>
      <x:c r="P142" s="45" t="str">
        <x:v>Ops y Directorio Alsea · octubre 2026</x:v>
      </x:c>
      <x:c r="Q142" s="45" t="str">
        <x:v>Puntos proporcionados</x:v>
      </x:c>
      <x:c r="R142" s="45" t="str">
        <x:v>Abierta</x:v>
      </x:c>
      <x:c r="S142" s="45" t="str"/>
      <x:c r="T142" s="45" t="n">
        <x:f>IF(AND(E142="Abierta",N142="Sí",ISNUMBER(I142),ISNUMBER(J142),ABS(I142)&lt;=90,ABS(J142)&lt;=180),1,0)</x:f>
        <x:v>1</x:v>
      </x:c>
    </x:row>
    <x:row r="143" ht="23" customHeight="1">
      <x:c r="A143" s="45" t="str">
        <x:v>Centro Sur</x:v>
      </x:c>
      <x:c r="B143" s="45" t="str">
        <x:v>Jesus Antonio Elguera Flores</x:v>
      </x:c>
      <x:c r="C143" s="50" t="str">
        <x:v>38594</x:v>
      </x:c>
      <x:c r="D143" s="45" t="str">
        <x:v>Carretera Mexico  Puebla</x:v>
      </x:c>
      <x:c r="E143" s="45" t="str">
        <x:v>Abierta</x:v>
      </x:c>
      <x:c r="F143" s="51" t="d">
        <x:v>2015-09-03T00:00:00.000Z</x:v>
      </x:c>
      <x:c r="G143" s="45" t="str">
        <x:v>Ixtapaluca</x:v>
      </x:c>
      <x:c r="H143" s="45" t="str">
        <x:v>Estado De México</x:v>
      </x:c>
      <x:c r="I143" s="52" t="n">
        <x:v>19.2914119</x:v>
      </x:c>
      <x:c r="J143" s="52" t="n">
        <x:v>-98.8995401</x:v>
      </x:c>
      <x:c r="K143" s="45" t="str">
        <x:v>Drive_Thru</x:v>
      </x:c>
      <x:c r="L143" s="45" t="str">
        <x:v>Transfers</x:v>
      </x:c>
      <x:c r="M143" s="45" t="str">
        <x:v>C2</x:v>
      </x:c>
      <x:c r="N143" s="45" t="str">
        <x:v>Sí</x:v>
      </x:c>
      <x:c r="O143" s="45" t="str">
        <x:v>Jesus Antonio Elguera Flores</x:v>
      </x:c>
      <x:c r="P143" s="45" t="str">
        <x:v>Ops y Directorio Alsea · octubre 2026</x:v>
      </x:c>
      <x:c r="Q143" s="45" t="str">
        <x:v>Puntos proporcionados</x:v>
      </x:c>
      <x:c r="R143" s="45" t="str">
        <x:v>Abierta</x:v>
      </x:c>
      <x:c r="S143" s="45" t="str"/>
      <x:c r="T143" s="45" t="n">
        <x:f>IF(AND(E143="Abierta",N143="Sí",ISNUMBER(I143),ISNUMBER(J143),ABS(I143)&lt;=90,ABS(J143)&lt;=180),1,0)</x:f>
        <x:v>1</x:v>
      </x:c>
    </x:row>
    <x:row r="144" ht="23" customHeight="1">
      <x:c r="A144" s="45" t="str">
        <x:v>Centro Sur</x:v>
      </x:c>
      <x:c r="B144" s="45" t="str">
        <x:v>Jesus Antonio Elguera Flores</x:v>
      </x:c>
      <x:c r="C144" s="50" t="str">
        <x:v>38657</x:v>
      </x:c>
      <x:c r="D144" s="45" t="str">
        <x:v>Patio Lomas Estrella</x:v>
      </x:c>
      <x:c r="E144" s="45" t="str">
        <x:v>Abierta</x:v>
      </x:c>
      <x:c r="F144" s="51" t="d">
        <x:v>2016-07-24T00:00:00.000Z</x:v>
      </x:c>
      <x:c r="G144" s="45" t="str">
        <x:v>Iztapalapa</x:v>
      </x:c>
      <x:c r="H144" s="45" t="str">
        <x:v>Ciudad De México</x:v>
      </x:c>
      <x:c r="I144" s="52" t="n">
        <x:v>19.3216703</x:v>
      </x:c>
      <x:c r="J144" s="52" t="n">
        <x:v>-99.0943079</x:v>
      </x:c>
      <x:c r="K144" s="45" t="str">
        <x:v>Cafe</x:v>
      </x:c>
      <x:c r="L144" s="45" t="str">
        <x:v>Retail</x:v>
      </x:c>
      <x:c r="M144" s="45" t="str">
        <x:v>C1</x:v>
      </x:c>
      <x:c r="N144" s="45" t="str">
        <x:v>Sí</x:v>
      </x:c>
      <x:c r="O144" s="45" t="str">
        <x:v>Jesus Antonio Elguera Flores</x:v>
      </x:c>
      <x:c r="P144" s="45" t="str">
        <x:v>Ops y Directorio Alsea · octubre 2026</x:v>
      </x:c>
      <x:c r="Q144" s="45" t="str">
        <x:v>Puntos proporcionados</x:v>
      </x:c>
      <x:c r="R144" s="45" t="str">
        <x:v>Abierta</x:v>
      </x:c>
      <x:c r="S144" s="45" t="str"/>
      <x:c r="T144" s="45" t="n">
        <x:f>IF(AND(E144="Abierta",N144="Sí",ISNUMBER(I144),ISNUMBER(J144),ABS(I144)&lt;=90,ABS(J144)&lt;=180),1,0)</x:f>
        <x:v>1</x:v>
      </x:c>
    </x:row>
    <x:row r="145" ht="23" customHeight="1">
      <x:c r="A145" s="45" t="str">
        <x:v>Centro Sur</x:v>
      </x:c>
      <x:c r="B145" s="45" t="str">
        <x:v>Jesus Antonio Elguera Flores</x:v>
      </x:c>
      <x:c r="C145" s="50" t="str">
        <x:v>38659</x:v>
      </x:c>
      <x:c r="D145" s="45" t="str">
        <x:v>Sendero Ixtapaluca</x:v>
      </x:c>
      <x:c r="E145" s="45" t="str">
        <x:v>Abierta</x:v>
      </x:c>
      <x:c r="F145" s="51" t="d">
        <x:v>2016-08-08T00:00:00.000Z</x:v>
      </x:c>
      <x:c r="G145" s="45" t="str">
        <x:v>Ixtapaluca</x:v>
      </x:c>
      <x:c r="H145" s="45" t="str">
        <x:v>Estado De México</x:v>
      </x:c>
      <x:c r="I145" s="52" t="n">
        <x:v>19.2971191</x:v>
      </x:c>
      <x:c r="J145" s="52" t="n">
        <x:v>-98.8812646</x:v>
      </x:c>
      <x:c r="K145" s="45" t="str">
        <x:v>Cafe</x:v>
      </x:c>
      <x:c r="L145" s="45" t="str">
        <x:v>Retail</x:v>
      </x:c>
      <x:c r="M145" s="45" t="str">
        <x:v>C2</x:v>
      </x:c>
      <x:c r="N145" s="45" t="str">
        <x:v>Sí</x:v>
      </x:c>
      <x:c r="O145" s="45" t="str">
        <x:v>Jesus Antonio Elguera Flores</x:v>
      </x:c>
      <x:c r="P145" s="45" t="str">
        <x:v>Ops y Directorio Alsea · octubre 2026</x:v>
      </x:c>
      <x:c r="Q145" s="45" t="str">
        <x:v>Puntos proporcionados</x:v>
      </x:c>
      <x:c r="R145" s="45" t="str">
        <x:v>Abierta</x:v>
      </x:c>
      <x:c r="S145" s="45" t="str"/>
      <x:c r="T145" s="45" t="n">
        <x:f>IF(AND(E145="Abierta",N145="Sí",ISNUMBER(I145),ISNUMBER(J145),ABS(I145)&lt;=90,ABS(J145)&lt;=180),1,0)</x:f>
        <x:v>1</x:v>
      </x:c>
    </x:row>
    <x:row r="146" ht="23" customHeight="1">
      <x:c r="A146" s="45" t="str">
        <x:v>Centro Sur</x:v>
      </x:c>
      <x:c r="B146" s="45" t="str">
        <x:v>Jesus Antonio Elguera Flores</x:v>
      </x:c>
      <x:c r="C146" s="50" t="str">
        <x:v>38800</x:v>
      </x:c>
      <x:c r="D146" s="45" t="str">
        <x:v>Antenas PA</x:v>
      </x:c>
      <x:c r="E146" s="45" t="str">
        <x:v>Abierta</x:v>
      </x:c>
      <x:c r="F146" s="51" t="d">
        <x:v>2018-06-07T00:00:00.000Z</x:v>
      </x:c>
      <x:c r="G146" s="45" t="str">
        <x:v>Iztapalapa</x:v>
      </x:c>
      <x:c r="H146" s="45" t="str">
        <x:v>Ciudad De México</x:v>
      </x:c>
      <x:c r="I146" s="52" t="n">
        <x:v>19.31365</x:v>
      </x:c>
      <x:c r="J146" s="52" t="n">
        <x:v>-99.075362</x:v>
      </x:c>
      <x:c r="K146" s="45" t="str">
        <x:v>Cafe</x:v>
      </x:c>
      <x:c r="L146" s="45" t="str">
        <x:v>Retail</x:v>
      </x:c>
      <x:c r="M146" s="45" t="str">
        <x:v>C2</x:v>
      </x:c>
      <x:c r="N146" s="45" t="str">
        <x:v>Sí</x:v>
      </x:c>
      <x:c r="O146" s="45" t="str">
        <x:v>Jesus Antonio Elguera Flores</x:v>
      </x:c>
      <x:c r="P146" s="45" t="str">
        <x:v>Ops y Directorio Alsea · octubre 2026</x:v>
      </x:c>
      <x:c r="Q146" s="45" t="str">
        <x:v>Puntos proporcionados</x:v>
      </x:c>
      <x:c r="R146" s="45" t="str">
        <x:v>Abierta</x:v>
      </x:c>
      <x:c r="S146" s="45" t="str"/>
      <x:c r="T146" s="45" t="n">
        <x:f>IF(AND(E146="Abierta",N146="Sí",ISNUMBER(I146),ISNUMBER(J146),ABS(I146)&lt;=90,ABS(J146)&lt;=180),1,0)</x:f>
        <x:v>1</x:v>
      </x:c>
    </x:row>
    <x:row r="147" ht="23" customHeight="1">
      <x:c r="A147" s="45" t="str">
        <x:v>Centro Sur</x:v>
      </x:c>
      <x:c r="B147" s="45" t="str">
        <x:v>Jesus Antonio Elguera Flores</x:v>
      </x:c>
      <x:c r="C147" s="50" t="str">
        <x:v>38801</x:v>
      </x:c>
      <x:c r="D147" s="45" t="str">
        <x:v>Antenas PB</x:v>
      </x:c>
      <x:c r="E147" s="45" t="str">
        <x:v>Abierta</x:v>
      </x:c>
      <x:c r="F147" s="51" t="d">
        <x:v>2018-06-07T00:00:00.000Z</x:v>
      </x:c>
      <x:c r="G147" s="45" t="str">
        <x:v>Iztapalapa</x:v>
      </x:c>
      <x:c r="H147" s="45" t="str">
        <x:v>Ciudad De México</x:v>
      </x:c>
      <x:c r="I147" s="52" t="n">
        <x:v>19.3136968</x:v>
      </x:c>
      <x:c r="J147" s="52" t="n">
        <x:v>-99.0756838</x:v>
      </x:c>
      <x:c r="K147" s="45" t="str">
        <x:v>Kiosko</x:v>
      </x:c>
      <x:c r="L147" s="45" t="str">
        <x:v>Retail</x:v>
      </x:c>
      <x:c r="M147" s="45" t="str">
        <x:v>C2</x:v>
      </x:c>
      <x:c r="N147" s="45" t="str">
        <x:v>Sí</x:v>
      </x:c>
      <x:c r="O147" s="45" t="str">
        <x:v>Jesus Antonio Elguera Flores</x:v>
      </x:c>
      <x:c r="P147" s="45" t="str">
        <x:v>Ops y Directorio Alsea · octubre 2026</x:v>
      </x:c>
      <x:c r="Q147" s="45" t="str">
        <x:v>Puntos proporcionados</x:v>
      </x:c>
      <x:c r="R147" s="45" t="str">
        <x:v>Abierta</x:v>
      </x:c>
      <x:c r="S147" s="45" t="str"/>
      <x:c r="T147" s="45" t="n">
        <x:f>IF(AND(E147="Abierta",N147="Sí",ISNUMBER(I147),ISNUMBER(J147),ABS(I147)&lt;=90,ABS(J147)&lt;=180),1,0)</x:f>
        <x:v>1</x:v>
      </x:c>
    </x:row>
    <x:row r="148" ht="23" customHeight="1">
      <x:c r="A148" s="45" t="str">
        <x:v>Centro Sur</x:v>
      </x:c>
      <x:c r="B148" s="45" t="str">
        <x:v>Jesus Antonio Elguera Flores</x:v>
      </x:c>
      <x:c r="C148" s="50" t="str">
        <x:v>38855</x:v>
      </x:c>
      <x:c r="D148" s="45" t="str">
        <x:v>Plaza Zapotitlán DT</x:v>
      </x:c>
      <x:c r="E148" s="45" t="str">
        <x:v>Abierta</x:v>
      </x:c>
      <x:c r="F148" s="51" t="d">
        <x:v>2018-12-21T00:00:00.000Z</x:v>
      </x:c>
      <x:c r="G148" s="45" t="str">
        <x:v>Tlahuac</x:v>
      </x:c>
      <x:c r="H148" s="45" t="str">
        <x:v>Ciudad De México</x:v>
      </x:c>
      <x:c r="I148" s="52" t="n">
        <x:v>19.299734</x:v>
      </x:c>
      <x:c r="J148" s="52" t="n">
        <x:v>-99.042536</x:v>
      </x:c>
      <x:c r="K148" s="45" t="str">
        <x:v>Drive_Thru</x:v>
      </x:c>
      <x:c r="L148" s="45" t="str">
        <x:v>Retail</x:v>
      </x:c>
      <x:c r="M148" s="45" t="str">
        <x:v>C2</x:v>
      </x:c>
      <x:c r="N148" s="45" t="str">
        <x:v>Sí</x:v>
      </x:c>
      <x:c r="O148" s="45" t="str">
        <x:v>Jesus Antonio Elguera Flores</x:v>
      </x:c>
      <x:c r="P148" s="45" t="str">
        <x:v>Ops y Directorio Alsea · octubre 2026</x:v>
      </x:c>
      <x:c r="Q148" s="45" t="str">
        <x:v>Puntos proporcionados</x:v>
      </x:c>
      <x:c r="R148" s="45" t="str">
        <x:v>Abierta</x:v>
      </x:c>
      <x:c r="S148" s="45" t="str"/>
      <x:c r="T148" s="45" t="n">
        <x:f>IF(AND(E148="Abierta",N148="Sí",ISNUMBER(I148),ISNUMBER(J148),ABS(I148)&lt;=90,ABS(J148)&lt;=180),1,0)</x:f>
        <x:v>1</x:v>
      </x:c>
    </x:row>
    <x:row r="149" ht="23" customHeight="1">
      <x:c r="A149" s="45" t="str">
        <x:v>Centro Sur</x:v>
      </x:c>
      <x:c r="B149" s="45" t="str">
        <x:v>Jesus Antonio Elguera Flores</x:v>
      </x:c>
      <x:c r="C149" s="50" t="str">
        <x:v>43026</x:v>
      </x:c>
      <x:c r="D149" s="45" t="str">
        <x:v>Plaza Ermita</x:v>
      </x:c>
      <x:c r="E149" s="45" t="str">
        <x:v>Abierta</x:v>
      </x:c>
      <x:c r="F149" s="51" t="d">
        <x:v>2023-12-30T00:00:00.000Z</x:v>
      </x:c>
      <x:c r="G149" s="45" t="str">
        <x:v>Iztapalapa</x:v>
      </x:c>
      <x:c r="H149" s="45" t="str">
        <x:v>Ciudad De México</x:v>
      </x:c>
      <x:c r="I149" s="52" t="n">
        <x:v>19.347618</x:v>
      </x:c>
      <x:c r="J149" s="52" t="n">
        <x:v>-99.018528</x:v>
      </x:c>
      <x:c r="K149" s="45" t="str">
        <x:v>Kiosko</x:v>
      </x:c>
      <x:c r="L149" s="45" t="str">
        <x:v>Retail</x:v>
      </x:c>
      <x:c r="M149" s="45" t="str">
        <x:v>C1</x:v>
      </x:c>
      <x:c r="N149" s="45" t="str">
        <x:v>Sí</x:v>
      </x:c>
      <x:c r="O149" s="45" t="str">
        <x:v>Jesus Antonio Elguera Flores</x:v>
      </x:c>
      <x:c r="P149" s="45" t="str">
        <x:v>Ops y Directorio Alsea · octubre 2026</x:v>
      </x:c>
      <x:c r="Q149" s="45" t="str">
        <x:v>Puntos proporcionados</x:v>
      </x:c>
      <x:c r="R149" s="45" t="str">
        <x:v>Abierta</x:v>
      </x:c>
      <x:c r="S149" s="45" t="str"/>
      <x:c r="T149" s="45" t="n">
        <x:f>IF(AND(E149="Abierta",N149="Sí",ISNUMBER(I149),ISNUMBER(J149),ABS(I149)&lt;=90,ABS(J149)&lt;=180),1,0)</x:f>
        <x:v>1</x:v>
      </x:c>
    </x:row>
    <x:row r="150" ht="23" customHeight="1">
      <x:c r="A150" s="45" t="str">
        <x:v>Centro Sur</x:v>
      </x:c>
      <x:c r="B150" s="45" t="str">
        <x:v>Jesus Antonio Elguera Flores</x:v>
      </x:c>
      <x:c r="C150" s="50" t="str">
        <x:v>43163</x:v>
      </x:c>
      <x:c r="D150" s="45" t="str">
        <x:v>Av. México Ixtapaluca</x:v>
      </x:c>
      <x:c r="E150" s="45" t="str">
        <x:v>Abierta</x:v>
      </x:c>
      <x:c r="F150" s="51" t="d">
        <x:v>2025-12-27T00:00:00.000Z</x:v>
      </x:c>
      <x:c r="G150" s="45" t="str">
        <x:v>Ixtapaluca</x:v>
      </x:c>
      <x:c r="H150" s="45" t="str">
        <x:v>Estado De México</x:v>
      </x:c>
      <x:c r="I150" s="52" t="n">
        <x:v>19.30999</x:v>
      </x:c>
      <x:c r="J150" s="52" t="n">
        <x:v>-98.890266</x:v>
      </x:c>
      <x:c r="K150" s="45" t="str">
        <x:v>Drive_Thru</x:v>
      </x:c>
      <x:c r="L150" s="45" t="str">
        <x:v>Transfers</x:v>
      </x:c>
      <x:c r="M150" s="45" t="str">
        <x:v>C2</x:v>
      </x:c>
      <x:c r="N150" s="45" t="str">
        <x:v>Sí</x:v>
      </x:c>
      <x:c r="O150" s="45" t="str">
        <x:v>Jesus Antonio Elguera Flores</x:v>
      </x:c>
      <x:c r="P150" s="45" t="str">
        <x:v>Ops y Directorio Alsea · octubre 2026</x:v>
      </x:c>
      <x:c r="Q150" s="45" t="str">
        <x:v>Puntos proporcionados</x:v>
      </x:c>
      <x:c r="R150" s="45" t="str">
        <x:v>Abierta</x:v>
      </x:c>
      <x:c r="S150" s="45" t="str"/>
      <x:c r="T150" s="45" t="n">
        <x:f>IF(AND(E150="Abierta",N150="Sí",ISNUMBER(I150),ISNUMBER(J150),ABS(I150)&lt;=90,ABS(J150)&lt;=180),1,0)</x:f>
        <x:v>1</x:v>
      </x:c>
    </x:row>
    <x:row r="151" ht="23" customHeight="1">
      <x:c r="A151" s="45" t="str">
        <x:v>Centro Sur</x:v>
      </x:c>
      <x:c r="B151" s="45" t="str">
        <x:v>Jesus Antonio Elguera Flores</x:v>
      </x:c>
      <x:c r="C151" s="50" t="str">
        <x:v>43169</x:v>
      </x:c>
      <x:c r="D151" s="45" t="str">
        <x:v>Plaza Tepozán</x:v>
      </x:c>
      <x:c r="E151" s="45" t="str">
        <x:v>Abierta</x:v>
      </x:c>
      <x:c r="F151" s="51" t="d">
        <x:v>2025-08-14T00:00:00.000Z</x:v>
      </x:c>
      <x:c r="G151" s="45" t="str">
        <x:v>La paz</x:v>
      </x:c>
      <x:c r="H151" s="45" t="str">
        <x:v>Estado De México</x:v>
      </x:c>
      <x:c r="I151" s="52" t="n">
        <x:v>19.3632504</x:v>
      </x:c>
      <x:c r="J151" s="52" t="n">
        <x:v>-98.9897963</x:v>
      </x:c>
      <x:c r="K151" s="45" t="str">
        <x:v>Kiosko</x:v>
      </x:c>
      <x:c r="L151" s="45" t="str">
        <x:v>Retail</x:v>
      </x:c>
      <x:c r="M151" s="45" t="str">
        <x:v>C2</x:v>
      </x:c>
      <x:c r="N151" s="45" t="str">
        <x:v>Sí</x:v>
      </x:c>
      <x:c r="O151" s="45" t="str">
        <x:v>Jesus Antonio Elguera Flores</x:v>
      </x:c>
      <x:c r="P151" s="45" t="str">
        <x:v>Ops y Directorio Alsea · octubre 2026</x:v>
      </x:c>
      <x:c r="Q151" s="45" t="str">
        <x:v>Puntos proporcionados</x:v>
      </x:c>
      <x:c r="R151" s="45" t="str">
        <x:v>Abierta</x:v>
      </x:c>
      <x:c r="S151" s="45" t="str"/>
      <x:c r="T151" s="45" t="n">
        <x:f>IF(AND(E151="Abierta",N151="Sí",ISNUMBER(I151),ISNUMBER(J151),ABS(I151)&lt;=90,ABS(J151)&lt;=180),1,0)</x:f>
        <x:v>1</x:v>
      </x:c>
    </x:row>
    <x:row r="152" ht="23" customHeight="1">
      <x:c r="A152" s="45" t="str">
        <x:v>Centro Sur</x:v>
      </x:c>
      <x:c r="B152" s="45" t="str">
        <x:v>Luis Alberto Quevedo Rodriguez</x:v>
      </x:c>
      <x:c r="C152" s="50" t="str">
        <x:v>38134</x:v>
      </x:c>
      <x:c r="D152" s="45" t="str">
        <x:v>Pilares</x:v>
      </x:c>
      <x:c r="E152" s="45" t="str">
        <x:v>Abierta</x:v>
      </x:c>
      <x:c r="F152" s="51" t="d">
        <x:v>2004-11-19T00:00:00.000Z</x:v>
      </x:c>
      <x:c r="G152" s="45" t="str">
        <x:v>Benito Juárez</x:v>
      </x:c>
      <x:c r="H152" s="45" t="str">
        <x:v>Ciudad De México</x:v>
      </x:c>
      <x:c r="I152" s="52" t="n">
        <x:v>19.376829</x:v>
      </x:c>
      <x:c r="J152" s="52" t="n">
        <x:v>-99.162112</x:v>
      </x:c>
      <x:c r="K152" s="45" t="str">
        <x:v>Drive_Thru</x:v>
      </x:c>
      <x:c r="L152" s="45" t="str">
        <x:v>Retail</x:v>
      </x:c>
      <x:c r="M152" s="45" t="str">
        <x:v>C1</x:v>
      </x:c>
      <x:c r="N152" s="45" t="str">
        <x:v>Sí</x:v>
      </x:c>
      <x:c r="O152" s="45" t="str">
        <x:v>Luis Alberto Quevedo Rodriguez</x:v>
      </x:c>
      <x:c r="P152" s="45" t="str">
        <x:v>Ops y Directorio Alsea · octubre 2026</x:v>
      </x:c>
      <x:c r="Q152" s="45" t="str">
        <x:v>Puntos proporcionados</x:v>
      </x:c>
      <x:c r="R152" s="45" t="str">
        <x:v>Abierta</x:v>
      </x:c>
      <x:c r="S152" s="45" t="str"/>
      <x:c r="T152" s="45" t="n">
        <x:f>IF(AND(E152="Abierta",N152="Sí",ISNUMBER(I152),ISNUMBER(J152),ABS(I152)&lt;=90,ABS(J152)&lt;=180),1,0)</x:f>
        <x:v>1</x:v>
      </x:c>
    </x:row>
    <x:row r="153" ht="23" customHeight="1">
      <x:c r="A153" s="45" t="str">
        <x:v>Centro Sur</x:v>
      </x:c>
      <x:c r="B153" s="45" t="str">
        <x:v>Luis Alberto Quevedo Rodriguez</x:v>
      </x:c>
      <x:c r="C153" s="50" t="str">
        <x:v>38260</x:v>
      </x:c>
      <x:c r="D153" s="45" t="str">
        <x:v>Tlacoquemecatl</x:v>
      </x:c>
      <x:c r="E153" s="45" t="str">
        <x:v>Abierta</x:v>
      </x:c>
      <x:c r="F153" s="51" t="d">
        <x:v>2007-10-09T00:00:00.000Z</x:v>
      </x:c>
      <x:c r="G153" s="45" t="str">
        <x:v>Benito Juárez</x:v>
      </x:c>
      <x:c r="H153" s="45" t="str">
        <x:v>Ciudad De México</x:v>
      </x:c>
      <x:c r="I153" s="52" t="n">
        <x:v>19.3777265</x:v>
      </x:c>
      <x:c r="J153" s="52" t="n">
        <x:v>-99.1706009</x:v>
      </x:c>
      <x:c r="K153" s="45" t="str">
        <x:v>Cafe</x:v>
      </x:c>
      <x:c r="L153" s="45" t="str">
        <x:v>Neighborhood</x:v>
      </x:c>
      <x:c r="M153" s="45" t="str">
        <x:v>C1</x:v>
      </x:c>
      <x:c r="N153" s="45" t="str">
        <x:v>Sí</x:v>
      </x:c>
      <x:c r="O153" s="45" t="str">
        <x:v>Luis Alberto Quevedo Rodriguez</x:v>
      </x:c>
      <x:c r="P153" s="45" t="str">
        <x:v>Ops y Directorio Alsea · octubre 2026</x:v>
      </x:c>
      <x:c r="Q153" s="45" t="str">
        <x:v>Puntos proporcionados</x:v>
      </x:c>
      <x:c r="R153" s="45" t="str">
        <x:v>Abierta</x:v>
      </x:c>
      <x:c r="S153" s="45" t="str"/>
      <x:c r="T153" s="45" t="n">
        <x:f>IF(AND(E153="Abierta",N153="Sí",ISNUMBER(I153),ISNUMBER(J153),ABS(I153)&lt;=90,ABS(J153)&lt;=180),1,0)</x:f>
        <x:v>1</x:v>
      </x:c>
    </x:row>
    <x:row r="154" ht="23" customHeight="1">
      <x:c r="A154" s="45" t="str">
        <x:v>Centro Sur</x:v>
      </x:c>
      <x:c r="B154" s="45" t="str">
        <x:v>Luis Alberto Quevedo Rodriguez</x:v>
      </x:c>
      <x:c r="C154" s="50" t="str">
        <x:v>38340</x:v>
      </x:c>
      <x:c r="D154" s="45" t="str">
        <x:v>Division del Norte</x:v>
      </x:c>
      <x:c r="E154" s="45" t="str">
        <x:v>Abierta</x:v>
      </x:c>
      <x:c r="F154" s="51" t="d">
        <x:v>2008-09-28T00:00:00.000Z</x:v>
      </x:c>
      <x:c r="G154" s="45" t="str">
        <x:v>Coyoacán</x:v>
      </x:c>
      <x:c r="H154" s="45" t="str">
        <x:v>Ciudad De México</x:v>
      </x:c>
      <x:c r="I154" s="52" t="n">
        <x:v>19.3540504</x:v>
      </x:c>
      <x:c r="J154" s="52" t="n">
        <x:v>-99.1518575</x:v>
      </x:c>
      <x:c r="K154" s="45" t="str">
        <x:v>Cafe</x:v>
      </x:c>
      <x:c r="L154" s="45" t="str">
        <x:v>Neighborhood</x:v>
      </x:c>
      <x:c r="M154" s="45" t="str">
        <x:v>C1</x:v>
      </x:c>
      <x:c r="N154" s="45" t="str">
        <x:v>Sí</x:v>
      </x:c>
      <x:c r="O154" s="45" t="str">
        <x:v>Luis Alberto Quevedo Rodriguez</x:v>
      </x:c>
      <x:c r="P154" s="45" t="str">
        <x:v>Ops y Directorio Alsea · octubre 2026</x:v>
      </x:c>
      <x:c r="Q154" s="45" t="str">
        <x:v>Puntos proporcionados</x:v>
      </x:c>
      <x:c r="R154" s="45" t="str">
        <x:v>Abierta</x:v>
      </x:c>
      <x:c r="S154" s="45" t="str"/>
      <x:c r="T154" s="45" t="n">
        <x:f>IF(AND(E154="Abierta",N154="Sí",ISNUMBER(I154),ISNUMBER(J154),ABS(I154)&lt;=90,ABS(J154)&lt;=180),1,0)</x:f>
        <x:v>1</x:v>
      </x:c>
    </x:row>
    <x:row r="155" ht="23" customHeight="1">
      <x:c r="A155" s="45" t="str">
        <x:v>Centro Sur</x:v>
      </x:c>
      <x:c r="B155" s="45" t="str">
        <x:v>Luis Alberto Quevedo Rodriguez</x:v>
      </x:c>
      <x:c r="C155" s="50" t="str">
        <x:v>38464</x:v>
      </x:c>
      <x:c r="D155" s="45" t="str">
        <x:v>Corporativo Coyoacan</x:v>
      </x:c>
      <x:c r="E155" s="45" t="str">
        <x:v>Abierta</x:v>
      </x:c>
      <x:c r="F155" s="51" t="d">
        <x:v>2012-09-27T00:00:00.000Z</x:v>
      </x:c>
      <x:c r="G155" s="45" t="str">
        <x:v>Benito Juárez</x:v>
      </x:c>
      <x:c r="H155" s="45" t="str">
        <x:v>Ciudad De México</x:v>
      </x:c>
      <x:c r="I155" s="52" t="n">
        <x:v>19.3655787</x:v>
      </x:c>
      <x:c r="J155" s="52" t="n">
        <x:v>-99.172227</x:v>
      </x:c>
      <x:c r="K155" s="45" t="str">
        <x:v>Cafe</x:v>
      </x:c>
      <x:c r="L155" s="45" t="str">
        <x:v>Office_Complex</x:v>
      </x:c>
      <x:c r="M155" s="45" t="str">
        <x:v>C2</x:v>
      </x:c>
      <x:c r="N155" s="45" t="str">
        <x:v>Sí</x:v>
      </x:c>
      <x:c r="O155" s="45" t="str">
        <x:v>Luis Alberto Quevedo Rodriguez</x:v>
      </x:c>
      <x:c r="P155" s="45" t="str">
        <x:v>Ops y Directorio Alsea · octubre 2026</x:v>
      </x:c>
      <x:c r="Q155" s="45" t="str">
        <x:v>Puntos proporcionados</x:v>
      </x:c>
      <x:c r="R155" s="45" t="str">
        <x:v>Abierta</x:v>
      </x:c>
      <x:c r="S155" s="45" t="str"/>
      <x:c r="T155" s="45" t="n">
        <x:f>IF(AND(E155="Abierta",N155="Sí",ISNUMBER(I155),ISNUMBER(J155),ABS(I155)&lt;=90,ABS(J155)&lt;=180),1,0)</x:f>
        <x:v>1</x:v>
      </x:c>
    </x:row>
    <x:row r="156" ht="23" customHeight="1">
      <x:c r="A156" s="45" t="str">
        <x:v>Centro Sur</x:v>
      </x:c>
      <x:c r="B156" s="45" t="str">
        <x:v>Luis Alberto Quevedo Rodriguez</x:v>
      </x:c>
      <x:c r="C156" s="50" t="str">
        <x:v>38482</x:v>
      </x:c>
      <x:c r="D156" s="45" t="str">
        <x:v>Pestalozzi</x:v>
      </x:c>
      <x:c r="E156" s="45" t="str">
        <x:v>Abierta</x:v>
      </x:c>
      <x:c r="F156" s="51" t="d">
        <x:v>2013-03-21T00:00:00.000Z</x:v>
      </x:c>
      <x:c r="G156" s="45" t="str">
        <x:v>Benito Juárez</x:v>
      </x:c>
      <x:c r="H156" s="45" t="str">
        <x:v>Ciudad De México</x:v>
      </x:c>
      <x:c r="I156" s="52" t="n">
        <x:v>19.3794077</x:v>
      </x:c>
      <x:c r="J156" s="52" t="n">
        <x:v>-99.1611832</x:v>
      </x:c>
      <x:c r="K156" s="45" t="str">
        <x:v>Cafe</x:v>
      </x:c>
      <x:c r="L156" s="45" t="str">
        <x:v>Neighborhood</x:v>
      </x:c>
      <x:c r="M156" s="45" t="str">
        <x:v>C1</x:v>
      </x:c>
      <x:c r="N156" s="45" t="str">
        <x:v>Sí</x:v>
      </x:c>
      <x:c r="O156" s="45" t="str">
        <x:v>Luis Alberto Quevedo Rodriguez</x:v>
      </x:c>
      <x:c r="P156" s="45" t="str">
        <x:v>Ops y Directorio Alsea · octubre 2026</x:v>
      </x:c>
      <x:c r="Q156" s="45" t="str">
        <x:v>Puntos proporcionados</x:v>
      </x:c>
      <x:c r="R156" s="45" t="str">
        <x:v>Abierta</x:v>
      </x:c>
      <x:c r="S156" s="45" t="str"/>
      <x:c r="T156" s="45" t="n">
        <x:f>IF(AND(E156="Abierta",N156="Sí",ISNUMBER(I156),ISNUMBER(J156),ABS(I156)&lt;=90,ABS(J156)&lt;=180),1,0)</x:f>
        <x:v>1</x:v>
      </x:c>
    </x:row>
    <x:row r="157" ht="23" customHeight="1">
      <x:c r="A157" s="45" t="str">
        <x:v>Centro Sur</x:v>
      </x:c>
      <x:c r="B157" s="45" t="str">
        <x:v>Luis Alberto Quevedo Rodriguez</x:v>
      </x:c>
      <x:c r="C157" s="50" t="str">
        <x:v>38501</x:v>
      </x:c>
      <x:c r="D157" s="45" t="str">
        <x:v>Patio Universidad</x:v>
      </x:c>
      <x:c r="E157" s="45" t="str">
        <x:v>Abierta</x:v>
      </x:c>
      <x:c r="F157" s="51" t="d">
        <x:v>2013-08-05T00:00:00.000Z</x:v>
      </x:c>
      <x:c r="G157" s="45" t="str">
        <x:v>Benito Juárez</x:v>
      </x:c>
      <x:c r="H157" s="45" t="str">
        <x:v>Ciudad De México</x:v>
      </x:c>
      <x:c r="I157" s="52" t="n">
        <x:v>19.365887</x:v>
      </x:c>
      <x:c r="J157" s="52" t="n">
        <x:v>-99.167724</x:v>
      </x:c>
      <x:c r="K157" s="45" t="str">
        <x:v>Cafe</x:v>
      </x:c>
      <x:c r="L157" s="45" t="str">
        <x:v>Retail</x:v>
      </x:c>
      <x:c r="M157" s="45" t="str">
        <x:v>C1</x:v>
      </x:c>
      <x:c r="N157" s="45" t="str">
        <x:v>Sí</x:v>
      </x:c>
      <x:c r="O157" s="45" t="str">
        <x:v>Luis Alberto Quevedo Rodriguez</x:v>
      </x:c>
      <x:c r="P157" s="45" t="str">
        <x:v>Ops y Directorio Alsea · octubre 2026</x:v>
      </x:c>
      <x:c r="Q157" s="45" t="str">
        <x:v>Puntos proporcionados</x:v>
      </x:c>
      <x:c r="R157" s="45" t="str">
        <x:v>Abierta</x:v>
      </x:c>
      <x:c r="S157" s="45" t="str"/>
      <x:c r="T157" s="45" t="n">
        <x:f>IF(AND(E157="Abierta",N157="Sí",ISNUMBER(I157),ISNUMBER(J157),ABS(I157)&lt;=90,ABS(J157)&lt;=180),1,0)</x:f>
        <x:v>1</x:v>
      </x:c>
    </x:row>
    <x:row r="158" ht="23" customHeight="1">
      <x:c r="A158" s="45" t="str">
        <x:v>Centro Sur</x:v>
      </x:c>
      <x:c r="B158" s="45" t="str">
        <x:v>Luis Alberto Quevedo Rodriguez</x:v>
      </x:c>
      <x:c r="C158" s="50" t="str">
        <x:v>38513</x:v>
      </x:c>
      <x:c r="D158" s="45" t="str">
        <x:v>San Lorenzo</x:v>
      </x:c>
      <x:c r="E158" s="45" t="str">
        <x:v>Abierta</x:v>
      </x:c>
      <x:c r="F158" s="51" t="d">
        <x:v>2013-09-26T00:00:00.000Z</x:v>
      </x:c>
      <x:c r="G158" s="45" t="str">
        <x:v>Benito Juárez</x:v>
      </x:c>
      <x:c r="H158" s="45" t="str">
        <x:v>Ciudad De México</x:v>
      </x:c>
      <x:c r="I158" s="52" t="n">
        <x:v>19.375599</x:v>
      </x:c>
      <x:c r="J158" s="52" t="n">
        <x:v>-99.177831</x:v>
      </x:c>
      <x:c r="K158" s="45" t="str">
        <x:v>Cafe</x:v>
      </x:c>
      <x:c r="L158" s="45" t="str">
        <x:v>Neighborhood</x:v>
      </x:c>
      <x:c r="M158" s="45" t="str">
        <x:v>C1</x:v>
      </x:c>
      <x:c r="N158" s="45" t="str">
        <x:v>Sí</x:v>
      </x:c>
      <x:c r="O158" s="45" t="str">
        <x:v>Luis Alberto Quevedo Rodriguez</x:v>
      </x:c>
      <x:c r="P158" s="45" t="str">
        <x:v>Ops y Directorio Alsea · octubre 2026</x:v>
      </x:c>
      <x:c r="Q158" s="45" t="str">
        <x:v>Puntos proporcionados</x:v>
      </x:c>
      <x:c r="R158" s="45" t="str">
        <x:v>Abierta</x:v>
      </x:c>
      <x:c r="S158" s="45" t="str"/>
      <x:c r="T158" s="45" t="n">
        <x:f>IF(AND(E158="Abierta",N158="Sí",ISNUMBER(I158),ISNUMBER(J158),ABS(I158)&lt;=90,ABS(J158)&lt;=180),1,0)</x:f>
        <x:v>1</x:v>
      </x:c>
    </x:row>
    <x:row r="159" ht="23" customHeight="1">
      <x:c r="A159" s="45" t="str">
        <x:v>Centro Sur</x:v>
      </x:c>
      <x:c r="B159" s="45" t="str">
        <x:v>Luis Alberto Quevedo Rodriguez</x:v>
      </x:c>
      <x:c r="C159" s="50" t="str">
        <x:v>38526</x:v>
      </x:c>
      <x:c r="D159" s="45" t="str">
        <x:v>City Shops Del Valle</x:v>
      </x:c>
      <x:c r="E159" s="45" t="str">
        <x:v>Abierta</x:v>
      </x:c>
      <x:c r="F159" s="51" t="d">
        <x:v>2013-12-12T00:00:00.000Z</x:v>
      </x:c>
      <x:c r="G159" s="45" t="str">
        <x:v>Benito Juárez</x:v>
      </x:c>
      <x:c r="H159" s="45" t="str">
        <x:v>Ciudad De México</x:v>
      </x:c>
      <x:c r="I159" s="52" t="n">
        <x:v>19.3728374</x:v>
      </x:c>
      <x:c r="J159" s="52" t="n">
        <x:v>-99.1731003</x:v>
      </x:c>
      <x:c r="K159" s="45" t="str">
        <x:v>Cafe</x:v>
      </x:c>
      <x:c r="L159" s="45" t="str">
        <x:v>Retail</x:v>
      </x:c>
      <x:c r="M159" s="45" t="str">
        <x:v>C1</x:v>
      </x:c>
      <x:c r="N159" s="45" t="str">
        <x:v>Sí</x:v>
      </x:c>
      <x:c r="O159" s="45" t="str">
        <x:v>Luis Alberto Quevedo Rodriguez</x:v>
      </x:c>
      <x:c r="P159" s="45" t="str">
        <x:v>Ops y Directorio Alsea · octubre 2026</x:v>
      </x:c>
      <x:c r="Q159" s="45" t="str">
        <x:v>Puntos proporcionados</x:v>
      </x:c>
      <x:c r="R159" s="45" t="str">
        <x:v>Abierta</x:v>
      </x:c>
      <x:c r="S159" s="45" t="str"/>
      <x:c r="T159" s="45" t="n">
        <x:f>IF(AND(E159="Abierta",N159="Sí",ISNUMBER(I159),ISNUMBER(J159),ABS(I159)&lt;=90,ABS(J159)&lt;=180),1,0)</x:f>
        <x:v>1</x:v>
      </x:c>
    </x:row>
    <x:row r="160" ht="23" customHeight="1">
      <x:c r="A160" s="45" t="str">
        <x:v>Centro Sur</x:v>
      </x:c>
      <x:c r="B160" s="45" t="str">
        <x:v>Luis Alberto Quevedo Rodriguez</x:v>
      </x:c>
      <x:c r="C160" s="50" t="str">
        <x:v>38569</x:v>
      </x:c>
      <x:c r="D160" s="45" t="str">
        <x:v>Plaza Universidad</x:v>
      </x:c>
      <x:c r="E160" s="45" t="str">
        <x:v>Abierta</x:v>
      </x:c>
      <x:c r="F160" s="51" t="d">
        <x:v>2015-01-27T00:00:00.000Z</x:v>
      </x:c>
      <x:c r="G160" s="45" t="str">
        <x:v>Benito Juárez</x:v>
      </x:c>
      <x:c r="H160" s="45" t="str">
        <x:v>Ciudad De México</x:v>
      </x:c>
      <x:c r="I160" s="52" t="n">
        <x:v>19.367646</x:v>
      </x:c>
      <x:c r="J160" s="52" t="n">
        <x:v>-99.165231</x:v>
      </x:c>
      <x:c r="K160" s="45" t="str">
        <x:v>Cafe</x:v>
      </x:c>
      <x:c r="L160" s="45" t="str">
        <x:v>Retail</x:v>
      </x:c>
      <x:c r="M160" s="45" t="str">
        <x:v>C1</x:v>
      </x:c>
      <x:c r="N160" s="45" t="str">
        <x:v>Sí</x:v>
      </x:c>
      <x:c r="O160" s="45" t="str">
        <x:v>Luis Alberto Quevedo Rodriguez</x:v>
      </x:c>
      <x:c r="P160" s="45" t="str">
        <x:v>Ops y Directorio Alsea · octubre 2026</x:v>
      </x:c>
      <x:c r="Q160" s="45" t="str">
        <x:v>Puntos proporcionados</x:v>
      </x:c>
      <x:c r="R160" s="45" t="str">
        <x:v>Abierta</x:v>
      </x:c>
      <x:c r="S160" s="45" t="str"/>
      <x:c r="T160" s="45" t="n">
        <x:f>IF(AND(E160="Abierta",N160="Sí",ISNUMBER(I160),ISNUMBER(J160),ABS(I160)&lt;=90,ABS(J160)&lt;=180),1,0)</x:f>
        <x:v>1</x:v>
      </x:c>
    </x:row>
    <x:row r="161" ht="23" customHeight="1">
      <x:c r="A161" s="45" t="str">
        <x:v>Centro Sur</x:v>
      </x:c>
      <x:c r="B161" s="45" t="str">
        <x:v>Luis Alberto Quevedo Rodriguez</x:v>
      </x:c>
      <x:c r="C161" s="50" t="str">
        <x:v>38570</x:v>
      </x:c>
      <x:c r="D161" s="45" t="str">
        <x:v>Universidad 767</x:v>
      </x:c>
      <x:c r="E161" s="45" t="str">
        <x:v>Abierta</x:v>
      </x:c>
      <x:c r="F161" s="51" t="d">
        <x:v>2015-04-18T00:00:00.000Z</x:v>
      </x:c>
      <x:c r="G161" s="45" t="str">
        <x:v>Benito Juárez</x:v>
      </x:c>
      <x:c r="H161" s="45" t="str">
        <x:v>Ciudad De México</x:v>
      </x:c>
      <x:c r="I161" s="52" t="n">
        <x:v>19.373859</x:v>
      </x:c>
      <x:c r="J161" s="52" t="n">
        <x:v>-99.162846</x:v>
      </x:c>
      <x:c r="K161" s="45" t="str">
        <x:v>Kiosko</x:v>
      </x:c>
      <x:c r="L161" s="45" t="str">
        <x:v>Retail</x:v>
      </x:c>
      <x:c r="M161" s="45" t="str">
        <x:v>C1</x:v>
      </x:c>
      <x:c r="N161" s="45" t="str">
        <x:v>Sí</x:v>
      </x:c>
      <x:c r="O161" s="45" t="str">
        <x:v>Luis Alberto Quevedo Rodriguez</x:v>
      </x:c>
      <x:c r="P161" s="45" t="str">
        <x:v>Ops y Directorio Alsea · octubre 2026</x:v>
      </x:c>
      <x:c r="Q161" s="45" t="str">
        <x:v>Puntos proporcionados</x:v>
      </x:c>
      <x:c r="R161" s="45" t="str">
        <x:v>Abierta</x:v>
      </x:c>
      <x:c r="S161" s="45" t="str"/>
      <x:c r="T161" s="45" t="n">
        <x:f>IF(AND(E161="Abierta",N161="Sí",ISNUMBER(I161),ISNUMBER(J161),ABS(I161)&lt;=90,ABS(J161)&lt;=180),1,0)</x:f>
        <x:v>1</x:v>
      </x:c>
    </x:row>
    <x:row r="162" ht="23" customHeight="1">
      <x:c r="A162" s="45" t="str">
        <x:v>Centro Sur</x:v>
      </x:c>
      <x:c r="B162" s="45" t="str">
        <x:v>Luis Alberto Quevedo Rodriguez</x:v>
      </x:c>
      <x:c r="C162" s="50" t="str">
        <x:v>38579</x:v>
      </x:c>
      <x:c r="D162" s="45" t="str">
        <x:v>Division del Norte II</x:v>
      </x:c>
      <x:c r="E162" s="45" t="str">
        <x:v>Abierta</x:v>
      </x:c>
      <x:c r="F162" s="51" t="d">
        <x:v>2015-05-23T00:00:00.000Z</x:v>
      </x:c>
      <x:c r="G162" s="45" t="str">
        <x:v>Benito Juárez</x:v>
      </x:c>
      <x:c r="H162" s="45" t="str">
        <x:v>Ciudad De México</x:v>
      </x:c>
      <x:c r="I162" s="52" t="n">
        <x:v>19.3690062</x:v>
      </x:c>
      <x:c r="J162" s="52" t="n">
        <x:v>-99.1560959</x:v>
      </x:c>
      <x:c r="K162" s="45" t="str">
        <x:v>Drive_Thru</x:v>
      </x:c>
      <x:c r="L162" s="45" t="str">
        <x:v>Retail</x:v>
      </x:c>
      <x:c r="M162" s="45" t="str">
        <x:v>C2</x:v>
      </x:c>
      <x:c r="N162" s="45" t="str">
        <x:v>Sí</x:v>
      </x:c>
      <x:c r="O162" s="45" t="str">
        <x:v>Luis Alberto Quevedo Rodriguez</x:v>
      </x:c>
      <x:c r="P162" s="45" t="str">
        <x:v>Ops y Directorio Alsea · octubre 2026</x:v>
      </x:c>
      <x:c r="Q162" s="45" t="str">
        <x:v>Puntos proporcionados</x:v>
      </x:c>
      <x:c r="R162" s="45" t="str">
        <x:v>Abierta</x:v>
      </x:c>
      <x:c r="S162" s="45" t="str"/>
      <x:c r="T162" s="45" t="n">
        <x:f>IF(AND(E162="Abierta",N162="Sí",ISNUMBER(I162),ISNUMBER(J162),ABS(I162)&lt;=90,ABS(J162)&lt;=180),1,0)</x:f>
        <x:v>1</x:v>
      </x:c>
    </x:row>
    <x:row r="163" ht="23" customHeight="1">
      <x:c r="A163" s="45" t="str">
        <x:v>Centro Sur</x:v>
      </x:c>
      <x:c r="B163" s="45" t="str">
        <x:v>Luis Alberto Quevedo Rodriguez</x:v>
      </x:c>
      <x:c r="C163" s="50" t="str">
        <x:v>38619</x:v>
      </x:c>
      <x:c r="D163" s="45" t="str">
        <x:v>Calzada de Tlalpan</x:v>
      </x:c>
      <x:c r="E163" s="45" t="str">
        <x:v>Abierta</x:v>
      </x:c>
      <x:c r="F163" s="51" t="d">
        <x:v>2015-09-30T00:00:00.000Z</x:v>
      </x:c>
      <x:c r="G163" s="45" t="str">
        <x:v>Benito Juárez</x:v>
      </x:c>
      <x:c r="H163" s="45" t="str">
        <x:v>Ciudad De México</x:v>
      </x:c>
      <x:c r="I163" s="52" t="n">
        <x:v>19.38315</x:v>
      </x:c>
      <x:c r="J163" s="52" t="n">
        <x:v>-99.1390983</x:v>
      </x:c>
      <x:c r="K163" s="45" t="str">
        <x:v>Drive_Thru</x:v>
      </x:c>
      <x:c r="L163" s="45" t="str">
        <x:v>Transfers</x:v>
      </x:c>
      <x:c r="M163" s="45" t="str">
        <x:v>C2</x:v>
      </x:c>
      <x:c r="N163" s="45" t="str">
        <x:v>Sí</x:v>
      </x:c>
      <x:c r="O163" s="45" t="str">
        <x:v>Luis Alberto Quevedo Rodriguez</x:v>
      </x:c>
      <x:c r="P163" s="45" t="str">
        <x:v>Ops y Directorio Alsea · octubre 2026</x:v>
      </x:c>
      <x:c r="Q163" s="45" t="str">
        <x:v>Puntos proporcionados</x:v>
      </x:c>
      <x:c r="R163" s="45" t="str">
        <x:v>Abierta</x:v>
      </x:c>
      <x:c r="S163" s="45" t="str"/>
      <x:c r="T163" s="45" t="n">
        <x:f>IF(AND(E163="Abierta",N163="Sí",ISNUMBER(I163),ISNUMBER(J163),ABS(I163)&lt;=90,ABS(J163)&lt;=180),1,0)</x:f>
        <x:v>1</x:v>
      </x:c>
    </x:row>
    <x:row r="164" ht="23" customHeight="1">
      <x:c r="A164" s="45" t="str">
        <x:v>Centro Sur</x:v>
      </x:c>
      <x:c r="B164" s="45" t="str">
        <x:v>Luis Alberto Quevedo Rodriguez</x:v>
      </x:c>
      <x:c r="C164" s="50" t="str">
        <x:v>38888</x:v>
      </x:c>
      <x:c r="D164" s="45" t="str">
        <x:v>Mitikah</x:v>
      </x:c>
      <x:c r="E164" s="45" t="str">
        <x:v>Abierta</x:v>
      </x:c>
      <x:c r="F164" s="51" t="d">
        <x:v>2020-09-01T00:00:00.000Z</x:v>
      </x:c>
      <x:c r="G164" s="45" t="str">
        <x:v>Benito Juárez</x:v>
      </x:c>
      <x:c r="H164" s="45" t="str">
        <x:v>Ciudad De México</x:v>
      </x:c>
      <x:c r="I164" s="52" t="n">
        <x:v>19.3593108</x:v>
      </x:c>
      <x:c r="J164" s="52" t="n">
        <x:v>-99.1688535</x:v>
      </x:c>
      <x:c r="K164" s="45" t="str">
        <x:v>Cafe</x:v>
      </x:c>
      <x:c r="L164" s="45" t="str">
        <x:v>Retail</x:v>
      </x:c>
      <x:c r="M164" s="45" t="str">
        <x:v>C2</x:v>
      </x:c>
      <x:c r="N164" s="45" t="str">
        <x:v>Sí</x:v>
      </x:c>
      <x:c r="O164" s="45" t="str">
        <x:v>Luis Alberto Quevedo Rodriguez</x:v>
      </x:c>
      <x:c r="P164" s="45" t="str">
        <x:v>Ops y Directorio Alsea · octubre 2026</x:v>
      </x:c>
      <x:c r="Q164" s="45" t="str">
        <x:v>Puntos proporcionados</x:v>
      </x:c>
      <x:c r="R164" s="45" t="str">
        <x:v>Abierta</x:v>
      </x:c>
      <x:c r="S164" s="45" t="str"/>
      <x:c r="T164" s="45" t="n">
        <x:f>IF(AND(E164="Abierta",N164="Sí",ISNUMBER(I164),ISNUMBER(J164),ABS(I164)&lt;=90,ABS(J164)&lt;=180),1,0)</x:f>
        <x:v>1</x:v>
      </x:c>
    </x:row>
    <x:row r="165" ht="23" customHeight="1">
      <x:c r="A165" s="45" t="str">
        <x:v>Centro Sur</x:v>
      </x:c>
      <x:c r="B165" s="45" t="str">
        <x:v>Luis Alberto Quevedo Rodriguez</x:v>
      </x:c>
      <x:c r="C165" s="50" t="str">
        <x:v>38941</x:v>
      </x:c>
      <x:c r="D165" s="45" t="str">
        <x:v>Mitikah Restaurantes</x:v>
      </x:c>
      <x:c r="E165" s="45" t="str">
        <x:v>Abierta</x:v>
      </x:c>
      <x:c r="F165" s="51" t="d">
        <x:v>2022-11-10T00:00:00.000Z</x:v>
      </x:c>
      <x:c r="G165" s="45" t="str">
        <x:v>Benito Juárez</x:v>
      </x:c>
      <x:c r="H165" s="45" t="str">
        <x:v>Ciudad De México</x:v>
      </x:c>
      <x:c r="I165" s="52" t="n">
        <x:v>19.3579717</x:v>
      </x:c>
      <x:c r="J165" s="52" t="n">
        <x:v>-99.1288233</x:v>
      </x:c>
      <x:c r="K165" s="45" t="str">
        <x:v>Kiosko</x:v>
      </x:c>
      <x:c r="L165" s="45" t="str">
        <x:v>Retail</x:v>
      </x:c>
      <x:c r="M165" s="45" t="str">
        <x:v>C2</x:v>
      </x:c>
      <x:c r="N165" s="45" t="str">
        <x:v>Sí</x:v>
      </x:c>
      <x:c r="O165" s="45" t="str">
        <x:v>Luis Alberto Quevedo Rodriguez</x:v>
      </x:c>
      <x:c r="P165" s="45" t="str">
        <x:v>Ops y Directorio Alsea · octubre 2026</x:v>
      </x:c>
      <x:c r="Q165" s="45" t="str">
        <x:v>Puntos proporcionados</x:v>
      </x:c>
      <x:c r="R165" s="45" t="str">
        <x:v>Abierta</x:v>
      </x:c>
      <x:c r="S165" s="45" t="str"/>
      <x:c r="T165" s="45" t="n">
        <x:f>IF(AND(E165="Abierta",N165="Sí",ISNUMBER(I165),ISNUMBER(J165),ABS(I165)&lt;=90,ABS(J165)&lt;=180),1,0)</x:f>
        <x:v>1</x:v>
      </x:c>
    </x:row>
    <x:row r="166" ht="23" customHeight="1">
      <x:c r="A166" s="45" t="str">
        <x:v>Centro Sur</x:v>
      </x:c>
      <x:c r="B166" s="45" t="str">
        <x:v>Moni Morales</x:v>
      </x:c>
      <x:c r="C166" s="50" t="str">
        <x:v>38351</x:v>
      </x:c>
      <x:c r="D166" s="45" t="str">
        <x:v>Ciudad Jardin l</x:v>
      </x:c>
      <x:c r="E166" s="45" t="str">
        <x:v>Abierta</x:v>
      </x:c>
      <x:c r="F166" s="51" t="d">
        <x:v>2008-12-08T00:00:00.000Z</x:v>
      </x:c>
      <x:c r="G166" s="45" t="str">
        <x:v>Nezahualcóyotl</x:v>
      </x:c>
      <x:c r="H166" s="45" t="str">
        <x:v>Estado De México</x:v>
      </x:c>
      <x:c r="I166" s="52" t="n">
        <x:v>19.42523</x:v>
      </x:c>
      <x:c r="J166" s="52" t="n">
        <x:v>-99.0252</x:v>
      </x:c>
      <x:c r="K166" s="45" t="str">
        <x:v>Cafe</x:v>
      </x:c>
      <x:c r="L166" s="45" t="str">
        <x:v>Retail</x:v>
      </x:c>
      <x:c r="M166" s="45" t="str">
        <x:v>C1</x:v>
      </x:c>
      <x:c r="N166" s="45" t="str">
        <x:v>Sí</x:v>
      </x:c>
      <x:c r="O166" s="45" t="str">
        <x:v>Monica Selene Morales Ibarra</x:v>
      </x:c>
      <x:c r="P166" s="45" t="str">
        <x:v>Ops y Directorio Alsea · octubre 2026</x:v>
      </x:c>
      <x:c r="Q166" s="45" t="str">
        <x:v>CMS anterior</x:v>
      </x:c>
      <x:c r="R166" s="45" t="str">
        <x:v>Abierta</x:v>
      </x:c>
      <x:c r="S166" s="45" t="str"/>
      <x:c r="T166" s="45" t="n">
        <x:f>IF(AND(E166="Abierta",N166="Sí",ISNUMBER(I166),ISNUMBER(J166),ABS(I166)&lt;=90,ABS(J166)&lt;=180),1,0)</x:f>
        <x:v>1</x:v>
      </x:c>
    </x:row>
    <x:row r="167" ht="23" customHeight="1">
      <x:c r="A167" s="45" t="str">
        <x:v>Centro Sur</x:v>
      </x:c>
      <x:c r="B167" s="45" t="str">
        <x:v>Moni Morales</x:v>
      </x:c>
      <x:c r="C167" s="50" t="str">
        <x:v>38375</x:v>
      </x:c>
      <x:c r="D167" s="45" t="str">
        <x:v>Americas Ecatepec</x:v>
      </x:c>
      <x:c r="E167" s="45" t="str">
        <x:v>Abierta</x:v>
      </x:c>
      <x:c r="F167" s="51" t="d">
        <x:v>2010-03-31T00:00:00.000Z</x:v>
      </x:c>
      <x:c r="G167" s="45" t="str">
        <x:v>Ecatepec De Morelos</x:v>
      </x:c>
      <x:c r="H167" s="45" t="str">
        <x:v>Estado De México</x:v>
      </x:c>
      <x:c r="I167" s="52" t="n">
        <x:v>19.58276</x:v>
      </x:c>
      <x:c r="J167" s="52" t="n">
        <x:v>-99.02315</x:v>
      </x:c>
      <x:c r="K167" s="45" t="str">
        <x:v>Cafe</x:v>
      </x:c>
      <x:c r="L167" s="45" t="str">
        <x:v>Retail</x:v>
      </x:c>
      <x:c r="M167" s="45" t="str">
        <x:v>C2</x:v>
      </x:c>
      <x:c r="N167" s="45" t="str">
        <x:v>Sí</x:v>
      </x:c>
      <x:c r="O167" s="45" t="str">
        <x:v>Monica Selene Morales Ibarra</x:v>
      </x:c>
      <x:c r="P167" s="45" t="str">
        <x:v>Ops y Directorio Alsea · octubre 2026</x:v>
      </x:c>
      <x:c r="Q167" s="45" t="str">
        <x:v>CMS anterior</x:v>
      </x:c>
      <x:c r="R167" s="45" t="str">
        <x:v>Abierta</x:v>
      </x:c>
      <x:c r="S167" s="45" t="str"/>
      <x:c r="T167" s="45" t="n">
        <x:f>IF(AND(E167="Abierta",N167="Sí",ISNUMBER(I167),ISNUMBER(J167),ABS(I167)&lt;=90,ABS(J167)&lt;=180),1,0)</x:f>
        <x:v>1</x:v>
      </x:c>
    </x:row>
    <x:row r="168" ht="23" customHeight="1">
      <x:c r="A168" s="45" t="str">
        <x:v>Centro Sur</x:v>
      </x:c>
      <x:c r="B168" s="45" t="str">
        <x:v>Moni Morales</x:v>
      </x:c>
      <x:c r="C168" s="50" t="str">
        <x:v>38429</x:v>
      </x:c>
      <x:c r="D168" s="45" t="str">
        <x:v>Plaza Aragon</x:v>
      </x:c>
      <x:c r="E168" s="45" t="str">
        <x:v>Abierta</x:v>
      </x:c>
      <x:c r="F168" s="51" t="d">
        <x:v>2011-11-26T00:00:00.000Z</x:v>
      </x:c>
      <x:c r="G168" s="45" t="str">
        <x:v>Ecatepec De Morelos</x:v>
      </x:c>
      <x:c r="H168" s="45" t="str">
        <x:v>Estado De México</x:v>
      </x:c>
      <x:c r="I168" s="52" t="n">
        <x:v>19.53098</x:v>
      </x:c>
      <x:c r="J168" s="52" t="n">
        <x:v>-99.02709</x:v>
      </x:c>
      <x:c r="K168" s="45" t="str">
        <x:v>Cafe</x:v>
      </x:c>
      <x:c r="L168" s="45" t="str">
        <x:v>Retail</x:v>
      </x:c>
      <x:c r="M168" s="45" t="str">
        <x:v>C2</x:v>
      </x:c>
      <x:c r="N168" s="45" t="str">
        <x:v>Sí</x:v>
      </x:c>
      <x:c r="O168" s="45" t="str">
        <x:v>Monica Selene Morales Ibarra</x:v>
      </x:c>
      <x:c r="P168" s="45" t="str">
        <x:v>Ops y Directorio Alsea · octubre 2026</x:v>
      </x:c>
      <x:c r="Q168" s="45" t="str">
        <x:v>CMS anterior</x:v>
      </x:c>
      <x:c r="R168" s="45" t="str">
        <x:v>Abierta</x:v>
      </x:c>
      <x:c r="S168" s="45" t="str"/>
      <x:c r="T168" s="45" t="n">
        <x:f>IF(AND(E168="Abierta",N168="Sí",ISNUMBER(I168),ISNUMBER(J168),ABS(I168)&lt;=90,ABS(J168)&lt;=180),1,0)</x:f>
        <x:v>1</x:v>
      </x:c>
    </x:row>
    <x:row r="169" ht="23" customHeight="1">
      <x:c r="A169" s="45" t="str">
        <x:v>Centro Sur</x:v>
      </x:c>
      <x:c r="B169" s="45" t="str">
        <x:v>Moni Morales</x:v>
      </x:c>
      <x:c r="C169" s="50" t="str">
        <x:v>38511</x:v>
      </x:c>
      <x:c r="D169" s="45" t="str">
        <x:v>Ciudad Jardin ll</x:v>
      </x:c>
      <x:c r="E169" s="45" t="str">
        <x:v>Abierta</x:v>
      </x:c>
      <x:c r="F169" s="51" t="d">
        <x:v>2013-09-27T00:00:00.000Z</x:v>
      </x:c>
      <x:c r="G169" s="45" t="str">
        <x:v>Nezahualcóyotl</x:v>
      </x:c>
      <x:c r="H169" s="45" t="str">
        <x:v>Estado De México</x:v>
      </x:c>
      <x:c r="I169" s="52" t="n">
        <x:v>19.42508</x:v>
      </x:c>
      <x:c r="J169" s="52" t="n">
        <x:v>-99.02475</x:v>
      </x:c>
      <x:c r="K169" s="45" t="str">
        <x:v>Kiosko</x:v>
      </x:c>
      <x:c r="L169" s="45" t="str">
        <x:v>Retail</x:v>
      </x:c>
      <x:c r="M169" s="45" t="str">
        <x:v>C1</x:v>
      </x:c>
      <x:c r="N169" s="45" t="str">
        <x:v>Sí</x:v>
      </x:c>
      <x:c r="O169" s="45" t="str">
        <x:v>Monica Selene Morales Ibarra</x:v>
      </x:c>
      <x:c r="P169" s="45" t="str">
        <x:v>Ops y Directorio Alsea · octubre 2026</x:v>
      </x:c>
      <x:c r="Q169" s="45" t="str">
        <x:v>CMS anterior</x:v>
      </x:c>
      <x:c r="R169" s="45" t="str">
        <x:v>Abierta</x:v>
      </x:c>
      <x:c r="S169" s="45" t="str"/>
      <x:c r="T169" s="45" t="n">
        <x:f>IF(AND(E169="Abierta",N169="Sí",ISNUMBER(I169),ISNUMBER(J169),ABS(I169)&lt;=90,ABS(J169)&lt;=180),1,0)</x:f>
        <x:v>1</x:v>
      </x:c>
    </x:row>
    <x:row r="170" ht="23" customHeight="1">
      <x:c r="A170" s="45" t="str">
        <x:v>Centro Sur</x:v>
      </x:c>
      <x:c r="B170" s="45" t="str">
        <x:v>Moni Morales</x:v>
      </x:c>
      <x:c r="C170" s="50" t="str">
        <x:v>38567</x:v>
      </x:c>
      <x:c r="D170" s="45" t="str">
        <x:v>Aragon II</x:v>
      </x:c>
      <x:c r="E170" s="45" t="str">
        <x:v>Abierta</x:v>
      </x:c>
      <x:c r="F170" s="51" t="d">
        <x:v>2014-12-29T00:00:00.000Z</x:v>
      </x:c>
      <x:c r="G170" s="45" t="str">
        <x:v>Ecatepec De Morelos</x:v>
      </x:c>
      <x:c r="H170" s="45" t="str">
        <x:v>Estado De México</x:v>
      </x:c>
      <x:c r="I170" s="52" t="n">
        <x:v>19.53007</x:v>
      </x:c>
      <x:c r="J170" s="52" t="n">
        <x:v>-99.02735</x:v>
      </x:c>
      <x:c r="K170" s="45" t="str">
        <x:v>Cafe</x:v>
      </x:c>
      <x:c r="L170" s="45" t="str">
        <x:v>Retail</x:v>
      </x:c>
      <x:c r="M170" s="45" t="str">
        <x:v>C2</x:v>
      </x:c>
      <x:c r="N170" s="45" t="str">
        <x:v>Sí</x:v>
      </x:c>
      <x:c r="O170" s="45" t="str">
        <x:v>Monica Selene Morales Ibarra</x:v>
      </x:c>
      <x:c r="P170" s="45" t="str">
        <x:v>Ops y Directorio Alsea · octubre 2026</x:v>
      </x:c>
      <x:c r="Q170" s="45" t="str">
        <x:v>CMS anterior</x:v>
      </x:c>
      <x:c r="R170" s="45" t="str">
        <x:v>Abierta</x:v>
      </x:c>
      <x:c r="S170" s="45" t="str"/>
      <x:c r="T170" s="45" t="n">
        <x:f>IF(AND(E170="Abierta",N170="Sí",ISNUMBER(I170),ISNUMBER(J170),ABS(I170)&lt;=90,ABS(J170)&lt;=180),1,0)</x:f>
        <x:v>1</x:v>
      </x:c>
    </x:row>
    <x:row r="171" ht="23" customHeight="1">
      <x:c r="A171" s="45" t="str">
        <x:v>Centro Sur</x:v>
      </x:c>
      <x:c r="B171" s="45" t="str">
        <x:v>Moni Morales</x:v>
      </x:c>
      <x:c r="C171" s="50" t="str">
        <x:v>38678</x:v>
      </x:c>
      <x:c r="D171" s="45" t="str">
        <x:v>Power Center las Americas</x:v>
      </x:c>
      <x:c r="E171" s="45" t="str">
        <x:v>Abierta</x:v>
      </x:c>
      <x:c r="F171" s="51" t="d">
        <x:v>2016-09-29T00:00:00.000Z</x:v>
      </x:c>
      <x:c r="G171" s="45" t="str">
        <x:v>Ecatepec De Morelos</x:v>
      </x:c>
      <x:c r="H171" s="45" t="str">
        <x:v>Estado De México</x:v>
      </x:c>
      <x:c r="I171" s="52" t="n">
        <x:v>19.58102</x:v>
      </x:c>
      <x:c r="J171" s="52" t="n">
        <x:v>-99.0211</x:v>
      </x:c>
      <x:c r="K171" s="45" t="str">
        <x:v>Cafe</x:v>
      </x:c>
      <x:c r="L171" s="45" t="str">
        <x:v>Retail</x:v>
      </x:c>
      <x:c r="M171" s="45" t="str">
        <x:v>C2</x:v>
      </x:c>
      <x:c r="N171" s="45" t="str">
        <x:v>Sí</x:v>
      </x:c>
      <x:c r="O171" s="45" t="str">
        <x:v>Monica Selene Morales Ibarra</x:v>
      </x:c>
      <x:c r="P171" s="45" t="str">
        <x:v>Ops y Directorio Alsea · octubre 2026</x:v>
      </x:c>
      <x:c r="Q171" s="45" t="str">
        <x:v>CMS anterior</x:v>
      </x:c>
      <x:c r="R171" s="45" t="str">
        <x:v>Abierta</x:v>
      </x:c>
      <x:c r="S171" s="45" t="str"/>
      <x:c r="T171" s="45" t="n">
        <x:f>IF(AND(E171="Abierta",N171="Sí",ISNUMBER(I171),ISNUMBER(J171),ABS(I171)&lt;=90,ABS(J171)&lt;=180),1,0)</x:f>
        <x:v>1</x:v>
      </x:c>
    </x:row>
    <x:row r="172" ht="23" customHeight="1">
      <x:c r="A172" s="45" t="str">
        <x:v>Centro Sur</x:v>
      </x:c>
      <x:c r="B172" s="45" t="str">
        <x:v>Moni Morales</x:v>
      </x:c>
      <x:c r="C172" s="50" t="str">
        <x:v>38684</x:v>
      </x:c>
      <x:c r="D172" s="45" t="str">
        <x:v>Plaza Chimalhuacan</x:v>
      </x:c>
      <x:c r="E172" s="45" t="str">
        <x:v>Abierta</x:v>
      </x:c>
      <x:c r="F172" s="51" t="d">
        <x:v>2016-11-15T00:00:00.000Z</x:v>
      </x:c>
      <x:c r="G172" s="45" t="str">
        <x:v>Chimalhuacan</x:v>
      </x:c>
      <x:c r="H172" s="45" t="str">
        <x:v>Estado De México</x:v>
      </x:c>
      <x:c r="I172" s="52" t="n">
        <x:v>19.41017</x:v>
      </x:c>
      <x:c r="J172" s="52" t="n">
        <x:v>-98.92779</x:v>
      </x:c>
      <x:c r="K172" s="45" t="str">
        <x:v>Cafe</x:v>
      </x:c>
      <x:c r="L172" s="45" t="str">
        <x:v>Retail</x:v>
      </x:c>
      <x:c r="M172" s="45" t="str">
        <x:v>C2</x:v>
      </x:c>
      <x:c r="N172" s="45" t="str">
        <x:v>Sí</x:v>
      </x:c>
      <x:c r="O172" s="45" t="str">
        <x:v>Monica Selene Morales Ibarra</x:v>
      </x:c>
      <x:c r="P172" s="45" t="str">
        <x:v>Ops y Directorio Alsea · octubre 2026</x:v>
      </x:c>
      <x:c r="Q172" s="45" t="str">
        <x:v>CMS anterior</x:v>
      </x:c>
      <x:c r="R172" s="45" t="str">
        <x:v>Abierta</x:v>
      </x:c>
      <x:c r="S172" s="45" t="str"/>
      <x:c r="T172" s="45" t="n">
        <x:f>IF(AND(E172="Abierta",N172="Sí",ISNUMBER(I172),ISNUMBER(J172),ABS(I172)&lt;=90,ABS(J172)&lt;=180),1,0)</x:f>
        <x:v>1</x:v>
      </x:c>
    </x:row>
    <x:row r="173" ht="23" customHeight="1">
      <x:c r="A173" s="45" t="str">
        <x:v>Centro Sur</x:v>
      </x:c>
      <x:c r="B173" s="45" t="str">
        <x:v>Moni Morales</x:v>
      </x:c>
      <x:c r="C173" s="50" t="str">
        <x:v>38716</x:v>
      </x:c>
      <x:c r="D173" s="45" t="str">
        <x:v>Multiplaza Bosques</x:v>
      </x:c>
      <x:c r="E173" s="45" t="str">
        <x:v>Abierta</x:v>
      </x:c>
      <x:c r="F173" s="51" t="d">
        <x:v>2017-02-14T00:00:00.000Z</x:v>
      </x:c>
      <x:c r="G173" s="45" t="str">
        <x:v>Nezahualcóyotl</x:v>
      </x:c>
      <x:c r="H173" s="45" t="str">
        <x:v>Estado De México</x:v>
      </x:c>
      <x:c r="I173" s="52" t="n">
        <x:v>19.46499</x:v>
      </x:c>
      <x:c r="J173" s="52" t="n">
        <x:v>-99.05669</x:v>
      </x:c>
      <x:c r="K173" s="45" t="str">
        <x:v>Cafe</x:v>
      </x:c>
      <x:c r="L173" s="45" t="str">
        <x:v>Retail</x:v>
      </x:c>
      <x:c r="M173" s="45" t="str">
        <x:v>C2</x:v>
      </x:c>
      <x:c r="N173" s="45" t="str">
        <x:v>Sí</x:v>
      </x:c>
      <x:c r="O173" s="45" t="str">
        <x:v>Monica Selene Morales Ibarra</x:v>
      </x:c>
      <x:c r="P173" s="45" t="str">
        <x:v>Ops y Directorio Alsea · octubre 2026</x:v>
      </x:c>
      <x:c r="Q173" s="45" t="str">
        <x:v>CMS anterior</x:v>
      </x:c>
      <x:c r="R173" s="45" t="str">
        <x:v>Abierta</x:v>
      </x:c>
      <x:c r="S173" s="45" t="str"/>
      <x:c r="T173" s="45" t="n">
        <x:f>IF(AND(E173="Abierta",N173="Sí",ISNUMBER(I173),ISNUMBER(J173),ABS(I173)&lt;=90,ABS(J173)&lt;=180),1,0)</x:f>
        <x:v>1</x:v>
      </x:c>
    </x:row>
    <x:row r="174" ht="23" customHeight="1">
      <x:c r="A174" s="45" t="str">
        <x:v>Centro Sur</x:v>
      </x:c>
      <x:c r="B174" s="45" t="str">
        <x:v>Moni Morales</x:v>
      </x:c>
      <x:c r="C174" s="50" t="str">
        <x:v>38718</x:v>
      </x:c>
      <x:c r="D174" s="45" t="str">
        <x:v>Paseo Ventura</x:v>
      </x:c>
      <x:c r="E174" s="45" t="str">
        <x:v>Abierta</x:v>
      </x:c>
      <x:c r="F174" s="51" t="d">
        <x:v>2017-04-12T00:00:00.000Z</x:v>
      </x:c>
      <x:c r="G174" s="45" t="str">
        <x:v>Ecatepec De Morelos</x:v>
      </x:c>
      <x:c r="H174" s="45" t="str">
        <x:v>Estado De México</x:v>
      </x:c>
      <x:c r="I174" s="52" t="n">
        <x:v>19.58117</x:v>
      </x:c>
      <x:c r="J174" s="52" t="n">
        <x:v>-99.0187</x:v>
      </x:c>
      <x:c r="K174" s="45" t="str">
        <x:v>Cafe</x:v>
      </x:c>
      <x:c r="L174" s="45" t="str">
        <x:v>Retail</x:v>
      </x:c>
      <x:c r="M174" s="45" t="str">
        <x:v>C2</x:v>
      </x:c>
      <x:c r="N174" s="45" t="str">
        <x:v>Sí</x:v>
      </x:c>
      <x:c r="O174" s="45" t="str">
        <x:v>Monica Selene Morales Ibarra</x:v>
      </x:c>
      <x:c r="P174" s="45" t="str">
        <x:v>Ops y Directorio Alsea · octubre 2026</x:v>
      </x:c>
      <x:c r="Q174" s="45" t="str">
        <x:v>CMS anterior</x:v>
      </x:c>
      <x:c r="R174" s="45" t="str">
        <x:v>Abierta</x:v>
      </x:c>
      <x:c r="S174" s="45" t="str"/>
      <x:c r="T174" s="45" t="n">
        <x:f>IF(AND(E174="Abierta",N174="Sí",ISNUMBER(I174),ISNUMBER(J174),ABS(I174)&lt;=90,ABS(J174)&lt;=180),1,0)</x:f>
        <x:v>1</x:v>
      </x:c>
    </x:row>
    <x:row r="175" ht="23" customHeight="1">
      <x:c r="A175" s="45" t="str">
        <x:v>Centro Sur</x:v>
      </x:c>
      <x:c r="B175" s="45" t="str">
        <x:v>Moni Morales</x:v>
      </x:c>
      <x:c r="C175" s="50" t="str">
        <x:v>38996</x:v>
      </x:c>
      <x:c r="D175" s="45" t="str">
        <x:v>Valle de Aragon</x:v>
      </x:c>
      <x:c r="E175" s="45" t="str">
        <x:v>Abierta</x:v>
      </x:c>
      <x:c r="F175" s="51" t="d">
        <x:v>2023-12-08T00:00:00.000Z</x:v>
      </x:c>
      <x:c r="G175" s="45" t="str">
        <x:v>Ecatepec De Morelos</x:v>
      </x:c>
      <x:c r="H175" s="45" t="str">
        <x:v>Estado De México</x:v>
      </x:c>
      <x:c r="I175" s="52" t="n">
        <x:v>19.498880275436</x:v>
      </x:c>
      <x:c r="J175" s="52" t="n">
        <x:v>-99.0443736597989</x:v>
      </x:c>
      <x:c r="K175" s="45" t="str">
        <x:v>Cafe</x:v>
      </x:c>
      <x:c r="L175" s="45" t="str">
        <x:v>Retail</x:v>
      </x:c>
      <x:c r="M175" s="45" t="str">
        <x:v>C2</x:v>
      </x:c>
      <x:c r="N175" s="45" t="str">
        <x:v>Sí</x:v>
      </x:c>
      <x:c r="O175" s="45" t="str">
        <x:v>Monica Selene Morales Ibarra</x:v>
      </x:c>
      <x:c r="P175" s="45" t="str">
        <x:v>Ops y Directorio Alsea · octubre 2026</x:v>
      </x:c>
      <x:c r="Q175" s="45" t="str">
        <x:v>CMS anterior</x:v>
      </x:c>
      <x:c r="R175" s="45" t="str">
        <x:v>Abierta</x:v>
      </x:c>
      <x:c r="S175" s="45" t="str"/>
      <x:c r="T175" s="45" t="n">
        <x:f>IF(AND(E175="Abierta",N175="Sí",ISNUMBER(I175),ISNUMBER(J175),ABS(I175)&lt;=90,ABS(J175)&lt;=180),1,0)</x:f>
        <x:v>1</x:v>
      </x:c>
    </x:row>
    <x:row r="176" ht="23" customHeight="1">
      <x:c r="A176" s="45" t="str">
        <x:v>Centro Sur</x:v>
      </x:c>
      <x:c r="B176" s="45" t="str">
        <x:v>Moni Morales</x:v>
      </x:c>
      <x:c r="C176" s="50" t="str">
        <x:v>43034</x:v>
      </x:c>
      <x:c r="D176" s="45" t="str">
        <x:v>Macroplaza Tecamac</x:v>
      </x:c>
      <x:c r="E176" s="45" t="str">
        <x:v>Abierta</x:v>
      </x:c>
      <x:c r="F176" s="51" t="d">
        <x:v>2024-09-29T00:00:00.000Z</x:v>
      </x:c>
      <x:c r="G176" s="45" t="str">
        <x:v>Tecamac</x:v>
      </x:c>
      <x:c r="H176" s="45" t="str">
        <x:v>Estado De México</x:v>
      </x:c>
      <x:c r="I176" s="52" t="n">
        <x:v>19.6179442998697</x:v>
      </x:c>
      <x:c r="J176" s="52" t="n">
        <x:v>-99.039584933474</x:v>
      </x:c>
      <x:c r="K176" s="45" t="str">
        <x:v>Cafe</x:v>
      </x:c>
      <x:c r="L176" s="45" t="str">
        <x:v>Retail</x:v>
      </x:c>
      <x:c r="M176" s="45" t="str">
        <x:v>C2</x:v>
      </x:c>
      <x:c r="N176" s="45" t="str">
        <x:v>Sí</x:v>
      </x:c>
      <x:c r="O176" s="45" t="str">
        <x:v>Monica Selene Morales Ibarra</x:v>
      </x:c>
      <x:c r="P176" s="45" t="str">
        <x:v>Ops y Directorio Alsea · octubre 2026</x:v>
      </x:c>
      <x:c r="Q176" s="45" t="str">
        <x:v>CMS anterior</x:v>
      </x:c>
      <x:c r="R176" s="45" t="str">
        <x:v>Abierta</x:v>
      </x:c>
      <x:c r="S176" s="45" t="str"/>
      <x:c r="T176" s="45" t="n">
        <x:f>IF(AND(E176="Abierta",N176="Sí",ISNUMBER(I176),ISNUMBER(J176),ABS(I176)&lt;=90,ABS(J176)&lt;=180),1,0)</x:f>
        <x:v>1</x:v>
      </x:c>
    </x:row>
    <x:row r="177" ht="23" customHeight="1">
      <x:c r="A177" s="45" t="str">
        <x:v>Centro Sur</x:v>
      </x:c>
      <x:c r="B177" s="45" t="str">
        <x:v>Moni Morales</x:v>
      </x:c>
      <x:c r="C177" s="50" t="str">
        <x:v>43164</x:v>
      </x:c>
      <x:c r="D177" s="45" t="str">
        <x:v>Blvd Ojo de Agua DT</x:v>
      </x:c>
      <x:c r="E177" s="45" t="str">
        <x:v>Abierta</x:v>
      </x:c>
      <x:c r="F177" s="51" t="d">
        <x:v>2026-03-11T00:00:00.000Z</x:v>
      </x:c>
      <x:c r="G177" s="45" t="str">
        <x:v>Tecamac</x:v>
      </x:c>
      <x:c r="H177" s="45" t="str">
        <x:v>Estado De México</x:v>
      </x:c>
      <x:c r="I177" s="52" t="n">
        <x:v>19.666318258441624</x:v>
      </x:c>
      <x:c r="J177" s="52" t="n">
        <x:v>-99.0161348482073</x:v>
      </x:c>
      <x:c r="K177" s="45" t="str">
        <x:v>Drive_Thru</x:v>
      </x:c>
      <x:c r="L177" s="45" t="str">
        <x:v>Transfers</x:v>
      </x:c>
      <x:c r="M177" s="45" t="str">
        <x:v>C2</x:v>
      </x:c>
      <x:c r="N177" s="45" t="str">
        <x:v>Sí</x:v>
      </x:c>
      <x:c r="O177" s="45" t="str">
        <x:v>Monica Selene Morales Ibarra</x:v>
      </x:c>
      <x:c r="P177" s="45" t="str">
        <x:v>Ops y Directorio Alsea · octubre 2026</x:v>
      </x:c>
      <x:c r="Q177" s="45" t="str">
        <x:v>CMS anterior</x:v>
      </x:c>
      <x:c r="R177" s="45" t="str">
        <x:v>Abierta</x:v>
      </x:c>
      <x:c r="S177" s="45" t="str"/>
      <x:c r="T177" s="45" t="n">
        <x:f>IF(AND(E177="Abierta",N177="Sí",ISNUMBER(I177),ISNUMBER(J177),ABS(I177)&lt;=90,ABS(J177)&lt;=180),1,0)</x:f>
        <x:v>1</x:v>
      </x:c>
    </x:row>
    <x:row r="178" ht="23" customHeight="1">
      <x:c r="A178" s="45" t="str">
        <x:v>Centro Sur</x:v>
      </x:c>
      <x:c r="B178" s="45" t="str">
        <x:v>Moni Morales</x:v>
      </x:c>
      <x:c r="C178" s="50" t="str">
        <x:v>43183</x:v>
      </x:c>
      <x:c r="D178" s="45" t="str">
        <x:v>Puerta Texcoco</x:v>
      </x:c>
      <x:c r="E178" s="45" t="str">
        <x:v>Abierta</x:v>
      </x:c>
      <x:c r="F178" s="51" t="d">
        <x:v>2026-03-30T00:00:00.000Z</x:v>
      </x:c>
      <x:c r="G178" s="45" t="str">
        <x:v>Texcoco</x:v>
      </x:c>
      <x:c r="H178" s="45" t="str">
        <x:v>Estado De México</x:v>
      </x:c>
      <x:c r="I178" s="52" t="n">
        <x:v>19.428823952970074</x:v>
      </x:c>
      <x:c r="J178" s="52" t="n">
        <x:v>-98.9112730309757</x:v>
      </x:c>
      <x:c r="K178" s="45" t="str">
        <x:v>Kiosko</x:v>
      </x:c>
      <x:c r="L178" s="45" t="str">
        <x:v>Retail</x:v>
      </x:c>
      <x:c r="M178" s="45" t="str">
        <x:v>C2</x:v>
      </x:c>
      <x:c r="N178" s="45" t="str">
        <x:v>Sí</x:v>
      </x:c>
      <x:c r="O178" s="45" t="str">
        <x:v>Monica Selene Morales Ibarra</x:v>
      </x:c>
      <x:c r="P178" s="45" t="str">
        <x:v>Ops y Directorio Alsea · octubre 2026</x:v>
      </x:c>
      <x:c r="Q178" s="45" t="str">
        <x:v>CMS anterior</x:v>
      </x:c>
      <x:c r="R178" s="45" t="str">
        <x:v>Abierta</x:v>
      </x:c>
      <x:c r="S178" s="45" t="str"/>
      <x:c r="T178" s="45" t="n">
        <x:f>IF(AND(E178="Abierta",N178="Sí",ISNUMBER(I178),ISNUMBER(J178),ABS(I178)&lt;=90,ABS(J178)&lt;=180),1,0)</x:f>
        <x:v>1</x:v>
      </x:c>
    </x:row>
    <x:row r="179" ht="23" customHeight="1">
      <x:c r="A179" s="45" t="str">
        <x:v>Centro Sur</x:v>
      </x:c>
      <x:c r="B179" s="45" t="str">
        <x:v>Sin asignación</x:v>
      </x:c>
      <x:c r="C179" s="50" t="str">
        <x:v>38140</x:v>
      </x:c>
      <x:c r="D179" s="45" t="str">
        <x:v>Centro Coyoacan</x:v>
      </x:c>
      <x:c r="E179" s="45" t="str">
        <x:v>Cierre Definitivo</x:v>
      </x:c>
      <x:c r="F179" s="51"/>
      <x:c r="G179" s="45" t="str">
        <x:v>Ciudad de México</x:v>
      </x:c>
      <x:c r="H179" s="45" t="str">
        <x:v>Ciudad de México</x:v>
      </x:c>
      <x:c r="I179" s="52" t="n">
        <x:v>19.3606</x:v>
      </x:c>
      <x:c r="J179" s="52" t="n">
        <x:v>-99.1708</x:v>
      </x:c>
      <x:c r="K179" s="45" t="str"/>
      <x:c r="L179" s="45" t="str"/>
      <x:c r="M179" s="45" t="str"/>
      <x:c r="N179" s="45" t="str">
        <x:v>No</x:v>
      </x:c>
      <x:c r="O179" s="45" t="str">
        <x:v>Sin asignación</x:v>
      </x:c>
      <x:c r="P179" s="45" t="str">
        <x:v>Directorio Alsea octubre 2026</x:v>
      </x:c>
      <x:c r="Q179" s="45" t="str">
        <x:v>Directorio Alsea octubre 2026</x:v>
      </x:c>
      <x:c r="R179" s="45" t="str">
        <x:v>Cierre Definitivo</x:v>
      </x:c>
      <x:c r="S179" s="45" t="str"/>
      <x:c r="T179" s="45" t="n">
        <x:f>IF(AND(E179="Abierta",N179="Sí",ISNUMBER(I179),ISNUMBER(J179),ABS(I179)&lt;=90,ABS(J179)&lt;=180),1,0)</x:f>
        <x:v>0</x:v>
      </x:c>
    </x:row>
    <x:row r="180" ht="23" customHeight="1">
      <x:c r="A180" s="45" t="str">
        <x:v>Centro Sur</x:v>
      </x:c>
      <x:c r="B180" s="45" t="str">
        <x:v>Sin asignación</x:v>
      </x:c>
      <x:c r="C180" s="50" t="str">
        <x:v>38856</x:v>
      </x:c>
      <x:c r="D180" s="45" t="str">
        <x:v>Cinemex Artz</x:v>
      </x:c>
      <x:c r="E180" s="45" t="str">
        <x:v>Cierre Definitivo</x:v>
      </x:c>
      <x:c r="F180" s="51" t="d">
        <x:v>2019-02-21T00:00:00.000Z</x:v>
      </x:c>
      <x:c r="G180" s="45" t="str">
        <x:v>Álvaro Obregón</x:v>
      </x:c>
      <x:c r="H180" s="45" t="str">
        <x:v>Ciudad De México</x:v>
      </x:c>
      <x:c r="I180" s="52" t="n">
        <x:v>19.3132</x:v>
      </x:c>
      <x:c r="J180" s="52" t="n">
        <x:v>-99.2186</x:v>
      </x:c>
      <x:c r="K180" s="45" t="str">
        <x:v>-</x:v>
      </x:c>
      <x:c r="L180" s="45" t="str">
        <x:v>Tourism_and_Entertainment</x:v>
      </x:c>
      <x:c r="M180" s="45" t="str"/>
      <x:c r="N180" s="45" t="str">
        <x:v>No</x:v>
      </x:c>
      <x:c r="O180" s="45" t="str">
        <x:v>Sin asignación</x:v>
      </x:c>
      <x:c r="P180" s="45" t="str">
        <x:v>Ops y Directorio Alsea · octubre 2026</x:v>
      </x:c>
      <x:c r="Q180" s="45" t="str">
        <x:v>Directorio Alsea octubre 2026</x:v>
      </x:c>
      <x:c r="R180" s="45" t="str">
        <x:v>Cierre Definitivo</x:v>
      </x:c>
      <x:c r="S180" s="45" t="str"/>
      <x:c r="T180" s="45" t="n">
        <x:f>IF(AND(E180="Abierta",N180="Sí",ISNUMBER(I180),ISNUMBER(J180),ABS(I180)&lt;=90,ABS(J180)&lt;=180),1,0)</x:f>
        <x:v>0</x:v>
      </x:c>
    </x:row>
    <x:row r="181" ht="23" customHeight="1">
      <x:c r="A181" s="45" t="str">
        <x:v>Centro Poniente</x:v>
      </x:c>
      <x:c r="B181" s="45" t="str">
        <x:v>Adriana Alejandra Tanus Buhler</x:v>
      </x:c>
      <x:c r="C181" s="50" t="str">
        <x:v>38103</x:v>
      </x:c>
      <x:c r="D181" s="45" t="str">
        <x:v>Aguilas</x:v>
      </x:c>
      <x:c r="E181" s="45" t="str">
        <x:v>Abierta</x:v>
      </x:c>
      <x:c r="F181" s="51" t="d">
        <x:v>2002-11-11T00:00:00.000Z</x:v>
      </x:c>
      <x:c r="G181" s="45" t="str">
        <x:v>Álvaro Obregón</x:v>
      </x:c>
      <x:c r="H181" s="45" t="str">
        <x:v>Ciudad De México</x:v>
      </x:c>
      <x:c r="I181" s="52" t="n">
        <x:v>19.3611737</x:v>
      </x:c>
      <x:c r="J181" s="52" t="n">
        <x:v>-99.1975057</x:v>
      </x:c>
      <x:c r="K181" s="45" t="str">
        <x:v>Cafe</x:v>
      </x:c>
      <x:c r="L181" s="45" t="str">
        <x:v>Neighborhood</x:v>
      </x:c>
      <x:c r="M181" s="45" t="str">
        <x:v>C2</x:v>
      </x:c>
      <x:c r="N181" s="45" t="str">
        <x:v>Sí</x:v>
      </x:c>
      <x:c r="O181" s="45" t="str">
        <x:v>Adriana Alejandra Tanus Buhler</x:v>
      </x:c>
      <x:c r="P181" s="45" t="str">
        <x:v>Ops y Directorio Alsea · octubre 2026</x:v>
      </x:c>
      <x:c r="Q181" s="45" t="str">
        <x:v>Puntos proporcionados</x:v>
      </x:c>
      <x:c r="R181" s="45" t="str">
        <x:v>Abierta</x:v>
      </x:c>
      <x:c r="S181" s="45" t="str"/>
      <x:c r="T181" s="45" t="n">
        <x:f>IF(AND(E181="Abierta",N181="Sí",ISNUMBER(I181),ISNUMBER(J181),ABS(I181)&lt;=90,ABS(J181)&lt;=180),1,0)</x:f>
        <x:v>1</x:v>
      </x:c>
    </x:row>
    <x:row r="182" ht="23" customHeight="1">
      <x:c r="A182" s="45" t="str">
        <x:v>Centro Poniente</x:v>
      </x:c>
      <x:c r="B182" s="45" t="str">
        <x:v>Adriana Alejandra Tanus Buhler</x:v>
      </x:c>
      <x:c r="C182" s="50" t="str">
        <x:v>38104</x:v>
      </x:c>
      <x:c r="D182" s="45" t="str">
        <x:v>Olivar</x:v>
      </x:c>
      <x:c r="E182" s="45" t="str">
        <x:v>Cierre Temporal</x:v>
      </x:c>
      <x:c r="F182" s="51" t="d">
        <x:v>2002-12-26T00:00:00.000Z</x:v>
      </x:c>
      <x:c r="G182" s="45" t="str">
        <x:v>Álvaro Obregón</x:v>
      </x:c>
      <x:c r="H182" s="45" t="str">
        <x:v>Ciudad De México</x:v>
      </x:c>
      <x:c r="I182" s="52" t="n">
        <x:v>19.3372467</x:v>
      </x:c>
      <x:c r="J182" s="52" t="n">
        <x:v>-99.2376761</x:v>
      </x:c>
      <x:c r="K182" s="45" t="str">
        <x:v>Cafe</x:v>
      </x:c>
      <x:c r="L182" s="45" t="str">
        <x:v>Neighborhood</x:v>
      </x:c>
      <x:c r="M182" s="45" t="str">
        <x:v>C2</x:v>
      </x:c>
      <x:c r="N182" s="45" t="str">
        <x:v>No</x:v>
      </x:c>
      <x:c r="O182" s="45" t="str">
        <x:v>Adriana Alejandra Tanus Buhler</x:v>
      </x:c>
      <x:c r="P182" s="45" t="str">
        <x:v>Ops y Directorio Alsea · octubre 2026</x:v>
      </x:c>
      <x:c r="Q182" s="45" t="str">
        <x:v>Puntos proporcionados</x:v>
      </x:c>
      <x:c r="R182" s="45" t="str">
        <x:v>Abierta</x:v>
      </x:c>
      <x:c r="S182" s="45" t="str">
        <x:v>Ops: Cierre Temporal. Alsea: Abierta. Se conserva el estatus operativo más específico.</x:v>
      </x:c>
      <x:c r="T182" s="45" t="n">
        <x:f>IF(AND(E182="Abierta",N182="Sí",ISNUMBER(I182),ISNUMBER(J182),ABS(I182)&lt;=90,ABS(J182)&lt;=180),1,0)</x:f>
        <x:v>0</x:v>
      </x:c>
    </x:row>
    <x:row r="183" ht="23" customHeight="1">
      <x:c r="A183" s="45" t="str">
        <x:v>Centro Poniente</x:v>
      </x:c>
      <x:c r="B183" s="45" t="str">
        <x:v>Adriana Alejandra Tanus Buhler</x:v>
      </x:c>
      <x:c r="C183" s="50" t="str">
        <x:v>38106</x:v>
      </x:c>
      <x:c r="D183" s="45" t="str">
        <x:v>Prado Norte</x:v>
      </x:c>
      <x:c r="E183" s="45" t="str">
        <x:v>Abierta</x:v>
      </x:c>
      <x:c r="F183" s="51" t="d">
        <x:v>2003-03-17T00:00:00.000Z</x:v>
      </x:c>
      <x:c r="G183" s="45" t="str">
        <x:v>Miguel Hidalgo</x:v>
      </x:c>
      <x:c r="H183" s="45" t="str">
        <x:v>Ciudad De México</x:v>
      </x:c>
      <x:c r="I183" s="52" t="n">
        <x:v>19.427679</x:v>
      </x:c>
      <x:c r="J183" s="52" t="n">
        <x:v>-99.20917</x:v>
      </x:c>
      <x:c r="K183" s="45" t="str">
        <x:v>Cafe</x:v>
      </x:c>
      <x:c r="L183" s="45" t="str">
        <x:v>Neighborhood</x:v>
      </x:c>
      <x:c r="M183" s="45" t="str">
        <x:v>C2</x:v>
      </x:c>
      <x:c r="N183" s="45" t="str">
        <x:v>Sí</x:v>
      </x:c>
      <x:c r="O183" s="45" t="str">
        <x:v>Adriana Alejandra Tanus Buhler</x:v>
      </x:c>
      <x:c r="P183" s="45" t="str">
        <x:v>Ops y Directorio Alsea · octubre 2026</x:v>
      </x:c>
      <x:c r="Q183" s="45" t="str">
        <x:v>Puntos proporcionados</x:v>
      </x:c>
      <x:c r="R183" s="45" t="str">
        <x:v>Abierta</x:v>
      </x:c>
      <x:c r="S183" s="45" t="str"/>
      <x:c r="T183" s="45" t="n">
        <x:f>IF(AND(E183="Abierta",N183="Sí",ISNUMBER(I183),ISNUMBER(J183),ABS(I183)&lt;=90,ABS(J183)&lt;=180),1,0)</x:f>
        <x:v>1</x:v>
      </x:c>
    </x:row>
    <x:row r="184" ht="23" customHeight="1">
      <x:c r="A184" s="45" t="str">
        <x:v>Centro Poniente</x:v>
      </x:c>
      <x:c r="B184" s="45" t="str">
        <x:v>Adriana Alejandra Tanus Buhler</x:v>
      </x:c>
      <x:c r="C184" s="50" t="str">
        <x:v>38112</x:v>
      </x:c>
      <x:c r="D184" s="45" t="str">
        <x:v>Insurgentes Parroquia</x:v>
      </x:c>
      <x:c r="E184" s="45" t="str">
        <x:v>Abierta</x:v>
      </x:c>
      <x:c r="F184" s="51" t="d">
        <x:v>2003-07-25T00:00:00.000Z</x:v>
      </x:c>
      <x:c r="G184" s="45" t="str">
        <x:v>Benito Juárez</x:v>
      </x:c>
      <x:c r="H184" s="45" t="str">
        <x:v>Ciudad De México</x:v>
      </x:c>
      <x:c r="I184" s="52" t="n">
        <x:v>19.3706487</x:v>
      </x:c>
      <x:c r="J184" s="52" t="n">
        <x:v>-99.1801493</x:v>
      </x:c>
      <x:c r="K184" s="45" t="str">
        <x:v>Cafe</x:v>
      </x:c>
      <x:c r="L184" s="45" t="str">
        <x:v>Office_Complex</x:v>
      </x:c>
      <x:c r="M184" s="45" t="str">
        <x:v>C1</x:v>
      </x:c>
      <x:c r="N184" s="45" t="str">
        <x:v>Sí</x:v>
      </x:c>
      <x:c r="O184" s="45" t="str">
        <x:v>Adriana Alejandra Tanus Buhler</x:v>
      </x:c>
      <x:c r="P184" s="45" t="str">
        <x:v>Ops y Directorio Alsea · octubre 2026</x:v>
      </x:c>
      <x:c r="Q184" s="45" t="str">
        <x:v>Puntos proporcionados</x:v>
      </x:c>
      <x:c r="R184" s="45" t="str">
        <x:v>Abierta</x:v>
      </x:c>
      <x:c r="S184" s="45" t="str"/>
      <x:c r="T184" s="45" t="n">
        <x:f>IF(AND(E184="Abierta",N184="Sí",ISNUMBER(I184),ISNUMBER(J184),ABS(I184)&lt;=90,ABS(J184)&lt;=180),1,0)</x:f>
        <x:v>1</x:v>
      </x:c>
    </x:row>
    <x:row r="185" ht="23" customHeight="1">
      <x:c r="A185" s="45" t="str">
        <x:v>Centro Poniente</x:v>
      </x:c>
      <x:c r="B185" s="45" t="str">
        <x:v>Adriana Alejandra Tanus Buhler</x:v>
      </x:c>
      <x:c r="C185" s="50" t="str">
        <x:v>38188</x:v>
      </x:c>
      <x:c r="D185" s="45" t="str">
        <x:v>Palmas</x:v>
      </x:c>
      <x:c r="E185" s="45" t="str">
        <x:v>Abierta</x:v>
      </x:c>
      <x:c r="F185" s="51" t="d">
        <x:v>2006-06-20T00:00:00.000Z</x:v>
      </x:c>
      <x:c r="G185" s="45" t="str">
        <x:v>Miguel Hidalgo</x:v>
      </x:c>
      <x:c r="H185" s="45" t="str">
        <x:v>Ciudad De México</x:v>
      </x:c>
      <x:c r="I185" s="52" t="n">
        <x:v>19.429397</x:v>
      </x:c>
      <x:c r="J185" s="52" t="n">
        <x:v>-99.215921</x:v>
      </x:c>
      <x:c r="K185" s="45" t="str">
        <x:v>Cafe</x:v>
      </x:c>
      <x:c r="L185" s="45" t="str">
        <x:v>Retail</x:v>
      </x:c>
      <x:c r="M185" s="45" t="str">
        <x:v>C2</x:v>
      </x:c>
      <x:c r="N185" s="45" t="str">
        <x:v>Sí</x:v>
      </x:c>
      <x:c r="O185" s="45" t="str">
        <x:v>Adriana Alejandra Tanus Buhler</x:v>
      </x:c>
      <x:c r="P185" s="45" t="str">
        <x:v>Ops y Directorio Alsea · octubre 2026</x:v>
      </x:c>
      <x:c r="Q185" s="45" t="str">
        <x:v>Puntos proporcionados</x:v>
      </x:c>
      <x:c r="R185" s="45" t="str">
        <x:v>Abierta</x:v>
      </x:c>
      <x:c r="S185" s="45" t="str"/>
      <x:c r="T185" s="45" t="n">
        <x:f>IF(AND(E185="Abierta",N185="Sí",ISNUMBER(I185),ISNUMBER(J185),ABS(I185)&lt;=90,ABS(J185)&lt;=180),1,0)</x:f>
        <x:v>1</x:v>
      </x:c>
    </x:row>
    <x:row r="186" ht="23" customHeight="1">
      <x:c r="A186" s="45" t="str">
        <x:v>Centro Poniente</x:v>
      </x:c>
      <x:c r="B186" s="45" t="str">
        <x:v>Adriana Alejandra Tanus Buhler</x:v>
      </x:c>
      <x:c r="C186" s="50" t="str">
        <x:v>38227</x:v>
      </x:c>
      <x:c r="D186" s="45" t="str">
        <x:v>Lomas Plaza</x:v>
      </x:c>
      <x:c r="E186" s="45" t="str">
        <x:v>Abierta</x:v>
      </x:c>
      <x:c r="F186" s="51" t="d">
        <x:v>2007-04-20T00:00:00.000Z</x:v>
      </x:c>
      <x:c r="G186" s="45" t="str">
        <x:v>Miguel Hidalgo</x:v>
      </x:c>
      <x:c r="H186" s="45" t="str">
        <x:v>Ciudad De México</x:v>
      </x:c>
      <x:c r="I186" s="52" t="n">
        <x:v>19.4301651</x:v>
      </x:c>
      <x:c r="J186" s="52" t="n">
        <x:v>-99.2068075</x:v>
      </x:c>
      <x:c r="K186" s="45" t="str">
        <x:v>Cafe</x:v>
      </x:c>
      <x:c r="L186" s="45" t="str">
        <x:v>Office_Complex</x:v>
      </x:c>
      <x:c r="M186" s="45" t="str">
        <x:v>C2</x:v>
      </x:c>
      <x:c r="N186" s="45" t="str">
        <x:v>Sí</x:v>
      </x:c>
      <x:c r="O186" s="45" t="str">
        <x:v>Adriana Alejandra Tanus Buhler</x:v>
      </x:c>
      <x:c r="P186" s="45" t="str">
        <x:v>Ops y Directorio Alsea · octubre 2026</x:v>
      </x:c>
      <x:c r="Q186" s="45" t="str">
        <x:v>Puntos proporcionados</x:v>
      </x:c>
      <x:c r="R186" s="45" t="str">
        <x:v>Abierta</x:v>
      </x:c>
      <x:c r="S186" s="45" t="str"/>
      <x:c r="T186" s="45" t="n">
        <x:f>IF(AND(E186="Abierta",N186="Sí",ISNUMBER(I186),ISNUMBER(J186),ABS(I186)&lt;=90,ABS(J186)&lt;=180),1,0)</x:f>
        <x:v>1</x:v>
      </x:c>
    </x:row>
    <x:row r="187" ht="23" customHeight="1">
      <x:c r="A187" s="45" t="str">
        <x:v>Centro Poniente</x:v>
      </x:c>
      <x:c r="B187" s="45" t="str">
        <x:v>Adriana Alejandra Tanus Buhler</x:v>
      </x:c>
      <x:c r="C187" s="50" t="str">
        <x:v>38617</x:v>
      </x:c>
      <x:c r="D187" s="45" t="str">
        <x:v>Axomiatla</x:v>
      </x:c>
      <x:c r="E187" s="45" t="str">
        <x:v>Abierta</x:v>
      </x:c>
      <x:c r="F187" s="51" t="d">
        <x:v>2015-09-24T00:00:00.000Z</x:v>
      </x:c>
      <x:c r="G187" s="45" t="str">
        <x:v>Álvaro Obregón</x:v>
      </x:c>
      <x:c r="H187" s="45" t="str">
        <x:v>Ciudad De México</x:v>
      </x:c>
      <x:c r="I187" s="52" t="n">
        <x:v>19.3408296</x:v>
      </x:c>
      <x:c r="J187" s="52" t="n">
        <x:v>-99.2520733</x:v>
      </x:c>
      <x:c r="K187" s="45" t="str">
        <x:v>Cafe</x:v>
      </x:c>
      <x:c r="L187" s="45" t="str">
        <x:v>Neighborhood</x:v>
      </x:c>
      <x:c r="M187" s="45" t="str">
        <x:v>C2</x:v>
      </x:c>
      <x:c r="N187" s="45" t="str">
        <x:v>Sí</x:v>
      </x:c>
      <x:c r="O187" s="45" t="str">
        <x:v>Adriana Alejandra Tanus Buhler</x:v>
      </x:c>
      <x:c r="P187" s="45" t="str">
        <x:v>Ops y Directorio Alsea · octubre 2026</x:v>
      </x:c>
      <x:c r="Q187" s="45" t="str">
        <x:v>Puntos proporcionados</x:v>
      </x:c>
      <x:c r="R187" s="45" t="str">
        <x:v>Abierta</x:v>
      </x:c>
      <x:c r="S187" s="45" t="str"/>
      <x:c r="T187" s="45" t="n">
        <x:f>IF(AND(E187="Abierta",N187="Sí",ISNUMBER(I187),ISNUMBER(J187),ABS(I187)&lt;=90,ABS(J187)&lt;=180),1,0)</x:f>
        <x:v>1</x:v>
      </x:c>
    </x:row>
    <x:row r="188" ht="23" customHeight="1">
      <x:c r="A188" s="45" t="str">
        <x:v>Centro Poniente</x:v>
      </x:c>
      <x:c r="B188" s="45" t="str">
        <x:v>Adriana Alejandra Tanus Buhler</x:v>
      </x:c>
      <x:c r="C188" s="50" t="str">
        <x:v>38646</x:v>
      </x:c>
      <x:c r="D188" s="45" t="str">
        <x:v>Carracci</x:v>
      </x:c>
      <x:c r="E188" s="45" t="str">
        <x:v>Abierta</x:v>
      </x:c>
      <x:c r="F188" s="51" t="d">
        <x:v>2016-06-20T00:00:00.000Z</x:v>
      </x:c>
      <x:c r="G188" s="45" t="str">
        <x:v>Benito Juárez</x:v>
      </x:c>
      <x:c r="H188" s="45" t="str">
        <x:v>Ciudad De México</x:v>
      </x:c>
      <x:c r="I188" s="52" t="n">
        <x:v>19.3769634</x:v>
      </x:c>
      <x:c r="J188" s="52" t="n">
        <x:v>-99.1862414</x:v>
      </x:c>
      <x:c r="K188" s="45" t="str">
        <x:v>Drive_Thru</x:v>
      </x:c>
      <x:c r="L188" s="45" t="str">
        <x:v>Transfers</x:v>
      </x:c>
      <x:c r="M188" s="45" t="str">
        <x:v>C1</x:v>
      </x:c>
      <x:c r="N188" s="45" t="str">
        <x:v>Sí</x:v>
      </x:c>
      <x:c r="O188" s="45" t="str">
        <x:v>Adriana Alejandra Tanus Buhler</x:v>
      </x:c>
      <x:c r="P188" s="45" t="str">
        <x:v>Ops y Directorio Alsea · octubre 2026</x:v>
      </x:c>
      <x:c r="Q188" s="45" t="str">
        <x:v>Puntos proporcionados</x:v>
      </x:c>
      <x:c r="R188" s="45" t="str">
        <x:v>Abierta</x:v>
      </x:c>
      <x:c r="S188" s="45" t="str"/>
      <x:c r="T188" s="45" t="n">
        <x:f>IF(AND(E188="Abierta",N188="Sí",ISNUMBER(I188),ISNUMBER(J188),ABS(I188)&lt;=90,ABS(J188)&lt;=180),1,0)</x:f>
        <x:v>1</x:v>
      </x:c>
    </x:row>
    <x:row r="189" ht="23" customHeight="1">
      <x:c r="A189" s="45" t="str">
        <x:v>Centro Poniente</x:v>
      </x:c>
      <x:c r="B189" s="45" t="str">
        <x:v>Adriana Alejandra Tanus Buhler</x:v>
      </x:c>
      <x:c r="C189" s="50" t="str">
        <x:v>38692</x:v>
      </x:c>
      <x:c r="D189" s="45" t="str">
        <x:v>Plaza Exhibimex</x:v>
      </x:c>
      <x:c r="E189" s="45" t="str">
        <x:v>Abierta</x:v>
      </x:c>
      <x:c r="F189" s="51" t="d">
        <x:v>2016-12-12T00:00:00.000Z</x:v>
      </x:c>
      <x:c r="G189" s="45" t="str">
        <x:v>Álvaro Obregón</x:v>
      </x:c>
      <x:c r="H189" s="45" t="str">
        <x:v>Ciudad De México</x:v>
      </x:c>
      <x:c r="I189" s="52" t="n">
        <x:v>19.388473</x:v>
      </x:c>
      <x:c r="J189" s="52" t="n">
        <x:v>-99.191163</x:v>
      </x:c>
      <x:c r="K189" s="45" t="str">
        <x:v>Cafe</x:v>
      </x:c>
      <x:c r="L189" s="45" t="str">
        <x:v>Retail</x:v>
      </x:c>
      <x:c r="M189" s="45" t="str">
        <x:v>C1</x:v>
      </x:c>
      <x:c r="N189" s="45" t="str">
        <x:v>Sí</x:v>
      </x:c>
      <x:c r="O189" s="45" t="str">
        <x:v>Adriana Alejandra Tanus Buhler</x:v>
      </x:c>
      <x:c r="P189" s="45" t="str">
        <x:v>Ops y Directorio Alsea · octubre 2026</x:v>
      </x:c>
      <x:c r="Q189" s="45" t="str">
        <x:v>Puntos proporcionados</x:v>
      </x:c>
      <x:c r="R189" s="45" t="str">
        <x:v>Abierta</x:v>
      </x:c>
      <x:c r="S189" s="45" t="str"/>
      <x:c r="T189" s="45" t="n">
        <x:f>IF(AND(E189="Abierta",N189="Sí",ISNUMBER(I189),ISNUMBER(J189),ABS(I189)&lt;=90,ABS(J189)&lt;=180),1,0)</x:f>
        <x:v>1</x:v>
      </x:c>
    </x:row>
    <x:row r="190" ht="23" customHeight="1">
      <x:c r="A190" s="45" t="str">
        <x:v>Centro Poniente</x:v>
      </x:c>
      <x:c r="B190" s="45" t="str">
        <x:v>Adriana Alejandra Tanus Buhler</x:v>
      </x:c>
      <x:c r="C190" s="50" t="str">
        <x:v>38730</x:v>
      </x:c>
      <x:c r="D190" s="45" t="str">
        <x:v>Manacar PB</x:v>
      </x:c>
      <x:c r="E190" s="45" t="str">
        <x:v>Abierta</x:v>
      </x:c>
      <x:c r="F190" s="51" t="d">
        <x:v>2017-07-28T00:00:00.000Z</x:v>
      </x:c>
      <x:c r="G190" s="45" t="str">
        <x:v>Benito Juárez</x:v>
      </x:c>
      <x:c r="H190" s="45" t="str">
        <x:v>Ciudad De México</x:v>
      </x:c>
      <x:c r="I190" s="52" t="n">
        <x:v>19.3687492</x:v>
      </x:c>
      <x:c r="J190" s="52" t="n">
        <x:v>-99.1815395</x:v>
      </x:c>
      <x:c r="K190" s="45" t="str">
        <x:v>Cafe</x:v>
      </x:c>
      <x:c r="L190" s="45" t="str">
        <x:v>Office_Complex</x:v>
      </x:c>
      <x:c r="M190" s="45" t="str">
        <x:v>C1</x:v>
      </x:c>
      <x:c r="N190" s="45" t="str">
        <x:v>Sí</x:v>
      </x:c>
      <x:c r="O190" s="45" t="str">
        <x:v>Adriana Alejandra Tanus Buhler</x:v>
      </x:c>
      <x:c r="P190" s="45" t="str">
        <x:v>Ops y Directorio Alsea · octubre 2026</x:v>
      </x:c>
      <x:c r="Q190" s="45" t="str">
        <x:v>Puntos proporcionados</x:v>
      </x:c>
      <x:c r="R190" s="45" t="str">
        <x:v>Abierta</x:v>
      </x:c>
      <x:c r="S190" s="45" t="str"/>
      <x:c r="T190" s="45" t="n">
        <x:f>IF(AND(E190="Abierta",N190="Sí",ISNUMBER(I190),ISNUMBER(J190),ABS(I190)&lt;=90,ABS(J190)&lt;=180),1,0)</x:f>
        <x:v>1</x:v>
      </x:c>
    </x:row>
    <x:row r="191" ht="23" customHeight="1">
      <x:c r="A191" s="45" t="str">
        <x:v>Centro Poniente</x:v>
      </x:c>
      <x:c r="B191" s="45" t="str">
        <x:v>Adriana Alejandra Tanus Buhler</x:v>
      </x:c>
      <x:c r="C191" s="50" t="str">
        <x:v>38746</x:v>
      </x:c>
      <x:c r="D191" s="45" t="str">
        <x:v>Arcos Bosques II</x:v>
      </x:c>
      <x:c r="E191" s="45" t="str">
        <x:v>Abierta</x:v>
      </x:c>
      <x:c r="F191" s="51" t="d">
        <x:v>2018-01-11T00:00:00.000Z</x:v>
      </x:c>
      <x:c r="G191" s="45" t="str">
        <x:v>Cuajimalpa</x:v>
      </x:c>
      <x:c r="H191" s="45" t="str">
        <x:v>Ciudad De México</x:v>
      </x:c>
      <x:c r="I191" s="52" t="n">
        <x:v>19.387095</x:v>
      </x:c>
      <x:c r="J191" s="52" t="n">
        <x:v>-99.251928</x:v>
      </x:c>
      <x:c r="K191" s="45" t="str">
        <x:v>Kiosko</x:v>
      </x:c>
      <x:c r="L191" s="45" t="str">
        <x:v>Office_Complex</x:v>
      </x:c>
      <x:c r="M191" s="45" t="str">
        <x:v>C2</x:v>
      </x:c>
      <x:c r="N191" s="45" t="str">
        <x:v>Sí</x:v>
      </x:c>
      <x:c r="O191" s="45" t="str">
        <x:v>Adriana Alejandra Tanus Buhler</x:v>
      </x:c>
      <x:c r="P191" s="45" t="str">
        <x:v>Ops y Directorio Alsea · octubre 2026</x:v>
      </x:c>
      <x:c r="Q191" s="45" t="str">
        <x:v>Puntos proporcionados</x:v>
      </x:c>
      <x:c r="R191" s="45" t="str">
        <x:v>Abierta</x:v>
      </x:c>
      <x:c r="S191" s="45" t="str"/>
      <x:c r="T191" s="45" t="n">
        <x:f>IF(AND(E191="Abierta",N191="Sí",ISNUMBER(I191),ISNUMBER(J191),ABS(I191)&lt;=90,ABS(J191)&lt;=180),1,0)</x:f>
        <x:v>1</x:v>
      </x:c>
    </x:row>
    <x:row r="192" ht="23" customHeight="1">
      <x:c r="A192" s="45" t="str">
        <x:v>Centro Poniente</x:v>
      </x:c>
      <x:c r="B192" s="45" t="str">
        <x:v>Adriana Alejandra Tanus Buhler</x:v>
      </x:c>
      <x:c r="C192" s="50" t="str">
        <x:v>38954</x:v>
      </x:c>
      <x:c r="D192" s="45" t="str">
        <x:v>Universidad Anahuac Campus Sur</x:v>
      </x:c>
      <x:c r="E192" s="45" t="str">
        <x:v>Abierta</x:v>
      </x:c>
      <x:c r="F192" s="51" t="d">
        <x:v>2023-05-08T00:00:00.000Z</x:v>
      </x:c>
      <x:c r="G192" s="45" t="str">
        <x:v>Álvaro Obregón</x:v>
      </x:c>
      <x:c r="H192" s="45" t="str">
        <x:v>Ciudad De México</x:v>
      </x:c>
      <x:c r="I192" s="52" t="n">
        <x:v>19.3348162</x:v>
      </x:c>
      <x:c r="J192" s="52" t="n">
        <x:v>-99.2445265</x:v>
      </x:c>
      <x:c r="K192" s="45" t="str">
        <x:v>Cafe</x:v>
      </x:c>
      <x:c r="L192" s="45" t="str">
        <x:v>Institution</x:v>
      </x:c>
      <x:c r="M192" s="45" t="str">
        <x:v>C1</x:v>
      </x:c>
      <x:c r="N192" s="45" t="str">
        <x:v>Sí</x:v>
      </x:c>
      <x:c r="O192" s="45" t="str">
        <x:v>Adriana Alejandra Tanus Buhler</x:v>
      </x:c>
      <x:c r="P192" s="45" t="str">
        <x:v>Ops y Directorio Alsea · octubre 2026</x:v>
      </x:c>
      <x:c r="Q192" s="45" t="str">
        <x:v>Puntos proporcionados</x:v>
      </x:c>
      <x:c r="R192" s="45" t="str">
        <x:v>Abierta</x:v>
      </x:c>
      <x:c r="S192" s="45" t="str"/>
      <x:c r="T192" s="45" t="n">
        <x:f>IF(AND(E192="Abierta",N192="Sí",ISNUMBER(I192),ISNUMBER(J192),ABS(I192)&lt;=90,ABS(J192)&lt;=180),1,0)</x:f>
        <x:v>1</x:v>
      </x:c>
    </x:row>
    <x:row r="193" ht="23" customHeight="1">
      <x:c r="A193" s="45" t="str">
        <x:v>Centro Poniente</x:v>
      </x:c>
      <x:c r="B193" s="45" t="str">
        <x:v>Adriana Alejandra Tanus Buhler</x:v>
      </x:c>
      <x:c r="C193" s="50" t="str">
        <x:v>43142</x:v>
      </x:c>
      <x:c r="D193" s="45" t="str">
        <x:v>Montes Urales</x:v>
      </x:c>
      <x:c r="E193" s="45" t="str">
        <x:v>Abierta</x:v>
      </x:c>
      <x:c r="F193" s="51" t="d">
        <x:v>2024-12-27T00:00:00.000Z</x:v>
      </x:c>
      <x:c r="G193" s="45" t="str">
        <x:v>Miguel Hidalgo</x:v>
      </x:c>
      <x:c r="H193" s="45" t="str">
        <x:v>Ciudad De México</x:v>
      </x:c>
      <x:c r="I193" s="52" t="n">
        <x:v>19.4288175</x:v>
      </x:c>
      <x:c r="J193" s="52" t="n">
        <x:v>-99.2073776</x:v>
      </x:c>
      <x:c r="K193" s="45" t="str">
        <x:v>Cafe</x:v>
      </x:c>
      <x:c r="L193" s="45" t="str">
        <x:v>Office_Complex</x:v>
      </x:c>
      <x:c r="M193" s="45" t="str">
        <x:v>C2</x:v>
      </x:c>
      <x:c r="N193" s="45" t="str">
        <x:v>Sí</x:v>
      </x:c>
      <x:c r="O193" s="45" t="str">
        <x:v>Adriana Alejandra Tanus Buhler</x:v>
      </x:c>
      <x:c r="P193" s="45" t="str">
        <x:v>Ops y Directorio Alsea · octubre 2026</x:v>
      </x:c>
      <x:c r="Q193" s="45" t="str">
        <x:v>Puntos proporcionados</x:v>
      </x:c>
      <x:c r="R193" s="45" t="str">
        <x:v>Abierta</x:v>
      </x:c>
      <x:c r="S193" s="45" t="str"/>
      <x:c r="T193" s="45" t="n">
        <x:f>IF(AND(E193="Abierta",N193="Sí",ISNUMBER(I193),ISNUMBER(J193),ABS(I193)&lt;=90,ABS(J193)&lt;=180),1,0)</x:f>
        <x:v>1</x:v>
      </x:c>
    </x:row>
    <x:row r="194" ht="23" customHeight="1">
      <x:c r="A194" s="45" t="str">
        <x:v>Centro Poniente</x:v>
      </x:c>
      <x:c r="B194" s="45" t="str">
        <x:v>Andrea Nava Guzman</x:v>
      </x:c>
      <x:c r="C194" s="50" t="str">
        <x:v>38233</x:v>
      </x:c>
      <x:c r="D194" s="45" t="str">
        <x:v>Toluca Colon</x:v>
      </x:c>
      <x:c r="E194" s="45" t="str">
        <x:v>Abierta</x:v>
      </x:c>
      <x:c r="F194" s="51" t="d">
        <x:v>2007-05-22T00:00:00.000Z</x:v>
      </x:c>
      <x:c r="G194" s="45" t="str">
        <x:v>Toluca</x:v>
      </x:c>
      <x:c r="H194" s="45" t="str">
        <x:v>Estado De México</x:v>
      </x:c>
      <x:c r="I194" s="52" t="n">
        <x:v>19.279162</x:v>
      </x:c>
      <x:c r="J194" s="52" t="n">
        <x:v>-99.661345</x:v>
      </x:c>
      <x:c r="K194" s="45" t="str">
        <x:v>Cafe</x:v>
      </x:c>
      <x:c r="L194" s="45" t="str">
        <x:v>Neighborhood</x:v>
      </x:c>
      <x:c r="M194" s="45" t="str">
        <x:v>C1</x:v>
      </x:c>
      <x:c r="N194" s="45" t="str">
        <x:v>Sí</x:v>
      </x:c>
      <x:c r="O194" s="45" t="str">
        <x:v>Andrea Nava Guzman</x:v>
      </x:c>
      <x:c r="P194" s="45" t="str">
        <x:v>Ops y Directorio Alsea · octubre 2026</x:v>
      </x:c>
      <x:c r="Q194" s="45" t="str">
        <x:v>Puntos proporcionados</x:v>
      </x:c>
      <x:c r="R194" s="45" t="str">
        <x:v>Abierta</x:v>
      </x:c>
      <x:c r="S194" s="45" t="str"/>
      <x:c r="T194" s="45" t="n">
        <x:f>IF(AND(E194="Abierta",N194="Sí",ISNUMBER(I194),ISNUMBER(J194),ABS(I194)&lt;=90,ABS(J194)&lt;=180),1,0)</x:f>
        <x:v>1</x:v>
      </x:c>
    </x:row>
    <x:row r="195" ht="23" customHeight="1">
      <x:c r="A195" s="45" t="str">
        <x:v>Centro Poniente</x:v>
      </x:c>
      <x:c r="B195" s="45" t="str">
        <x:v>Andrea Nava Guzman</x:v>
      </x:c>
      <x:c r="C195" s="50" t="str">
        <x:v>38578</x:v>
      </x:c>
      <x:c r="D195" s="45" t="str">
        <x:v>Galerias Toluca</x:v>
      </x:c>
      <x:c r="E195" s="45" t="str">
        <x:v>Abierta</x:v>
      </x:c>
      <x:c r="F195" s="51" t="d">
        <x:v>2015-04-30T00:00:00.000Z</x:v>
      </x:c>
      <x:c r="G195" s="45" t="str">
        <x:v>Toluca</x:v>
      </x:c>
      <x:c r="H195" s="45" t="str">
        <x:v>Estado De México</x:v>
      </x:c>
      <x:c r="I195" s="52" t="n">
        <x:v>19.289888</x:v>
      </x:c>
      <x:c r="J195" s="52" t="n">
        <x:v>-99.622388</x:v>
      </x:c>
      <x:c r="K195" s="45" t="str">
        <x:v>Kiosko</x:v>
      </x:c>
      <x:c r="L195" s="45" t="str">
        <x:v>Retail</x:v>
      </x:c>
      <x:c r="M195" s="45" t="str">
        <x:v>C1</x:v>
      </x:c>
      <x:c r="N195" s="45" t="str">
        <x:v>Sí</x:v>
      </x:c>
      <x:c r="O195" s="45" t="str">
        <x:v>Andrea Nava Guzman</x:v>
      </x:c>
      <x:c r="P195" s="45" t="str">
        <x:v>Ops y Directorio Alsea · octubre 2026</x:v>
      </x:c>
      <x:c r="Q195" s="45" t="str">
        <x:v>Puntos proporcionados</x:v>
      </x:c>
      <x:c r="R195" s="45" t="str">
        <x:v>Abierta</x:v>
      </x:c>
      <x:c r="S195" s="45" t="str"/>
      <x:c r="T195" s="45" t="n">
        <x:f>IF(AND(E195="Abierta",N195="Sí",ISNUMBER(I195),ISNUMBER(J195),ABS(I195)&lt;=90,ABS(J195)&lt;=180),1,0)</x:f>
        <x:v>1</x:v>
      </x:c>
    </x:row>
    <x:row r="196" ht="23" customHeight="1">
      <x:c r="A196" s="45" t="str">
        <x:v>Centro Poniente</x:v>
      </x:c>
      <x:c r="B196" s="45" t="str">
        <x:v>Andrea Nava Guzman</x:v>
      </x:c>
      <x:c r="C196" s="50" t="str">
        <x:v>38769</x:v>
      </x:c>
      <x:c r="D196" s="45" t="str">
        <x:v>Patio Toluca</x:v>
      </x:c>
      <x:c r="E196" s="45" t="str">
        <x:v>Abierta</x:v>
      </x:c>
      <x:c r="F196" s="51" t="d">
        <x:v>2017-11-28T00:00:00.000Z</x:v>
      </x:c>
      <x:c r="G196" s="45" t="str">
        <x:v>Toluca</x:v>
      </x:c>
      <x:c r="H196" s="45" t="str">
        <x:v>Estado De México</x:v>
      </x:c>
      <x:c r="I196" s="52" t="n">
        <x:v>19.28706</x:v>
      </x:c>
      <x:c r="J196" s="52" t="n">
        <x:v>-99.6321359</x:v>
      </x:c>
      <x:c r="K196" s="45" t="str">
        <x:v>Cafe</x:v>
      </x:c>
      <x:c r="L196" s="45" t="str">
        <x:v>Retail</x:v>
      </x:c>
      <x:c r="M196" s="45" t="str">
        <x:v>C1</x:v>
      </x:c>
      <x:c r="N196" s="45" t="str">
        <x:v>Sí</x:v>
      </x:c>
      <x:c r="O196" s="45" t="str">
        <x:v>Andrea Nava Guzman</x:v>
      </x:c>
      <x:c r="P196" s="45" t="str">
        <x:v>Ops y Directorio Alsea · octubre 2026</x:v>
      </x:c>
      <x:c r="Q196" s="45" t="str">
        <x:v>Puntos proporcionados</x:v>
      </x:c>
      <x:c r="R196" s="45" t="str">
        <x:v>Abierta</x:v>
      </x:c>
      <x:c r="S196" s="45" t="str"/>
      <x:c r="T196" s="45" t="n">
        <x:f>IF(AND(E196="Abierta",N196="Sí",ISNUMBER(I196),ISNUMBER(J196),ABS(I196)&lt;=90,ABS(J196)&lt;=180),1,0)</x:f>
        <x:v>1</x:v>
      </x:c>
    </x:row>
    <x:row r="197" ht="23" customHeight="1">
      <x:c r="A197" s="45" t="str">
        <x:v>Centro Poniente</x:v>
      </x:c>
      <x:c r="B197" s="45" t="str">
        <x:v>Andrea Nava Guzman</x:v>
      </x:c>
      <x:c r="C197" s="50" t="str">
        <x:v>38829</x:v>
      </x:c>
      <x:c r="D197" s="45" t="str">
        <x:v>Outlet Lerma</x:v>
      </x:c>
      <x:c r="E197" s="45" t="str">
        <x:v>Abierta</x:v>
      </x:c>
      <x:c r="F197" s="51" t="d">
        <x:v>2018-05-09T00:00:00.000Z</x:v>
      </x:c>
      <x:c r="G197" s="45" t="str">
        <x:v>Lerma</x:v>
      </x:c>
      <x:c r="H197" s="45" t="str">
        <x:v>Estado De México</x:v>
      </x:c>
      <x:c r="I197" s="52" t="n">
        <x:v>19.2834273</x:v>
      </x:c>
      <x:c r="J197" s="52" t="n">
        <x:v>-99.5005873</x:v>
      </x:c>
      <x:c r="K197" s="45" t="str">
        <x:v>Cafe</x:v>
      </x:c>
      <x:c r="L197" s="45" t="str">
        <x:v>Retail</x:v>
      </x:c>
      <x:c r="M197" s="45" t="str">
        <x:v>C1</x:v>
      </x:c>
      <x:c r="N197" s="45" t="str">
        <x:v>Sí</x:v>
      </x:c>
      <x:c r="O197" s="45" t="str">
        <x:v>Andrea Nava Guzman</x:v>
      </x:c>
      <x:c r="P197" s="45" t="str">
        <x:v>Ops y Directorio Alsea · octubre 2026</x:v>
      </x:c>
      <x:c r="Q197" s="45" t="str">
        <x:v>Puntos proporcionados</x:v>
      </x:c>
      <x:c r="R197" s="45" t="str">
        <x:v>Abierta</x:v>
      </x:c>
      <x:c r="S197" s="45" t="str"/>
      <x:c r="T197" s="45" t="n">
        <x:f>IF(AND(E197="Abierta",N197="Sí",ISNUMBER(I197),ISNUMBER(J197),ABS(I197)&lt;=90,ABS(J197)&lt;=180),1,0)</x:f>
        <x:v>1</x:v>
      </x:c>
    </x:row>
    <x:row r="198" ht="23" customHeight="1">
      <x:c r="A198" s="45" t="str">
        <x:v>Centro Poniente</x:v>
      </x:c>
      <x:c r="B198" s="45" t="str">
        <x:v>Andrea Nava Guzman</x:v>
      </x:c>
      <x:c r="C198" s="50" t="str">
        <x:v>38847</x:v>
      </x:c>
      <x:c r="D198" s="45" t="str">
        <x:v>El Molino</x:v>
      </x:c>
      <x:c r="E198" s="45" t="str">
        <x:v>Abierta</x:v>
      </x:c>
      <x:c r="F198" s="51" t="d">
        <x:v>2019-06-14T00:00:00.000Z</x:v>
      </x:c>
      <x:c r="G198" s="45" t="str">
        <x:v>Toluca</x:v>
      </x:c>
      <x:c r="H198" s="45" t="str">
        <x:v>Estado De México</x:v>
      </x:c>
      <x:c r="I198" s="52" t="n">
        <x:v>19.2919237</x:v>
      </x:c>
      <x:c r="J198" s="52" t="n">
        <x:v>-99.6622011</x:v>
      </x:c>
      <x:c r="K198" s="45" t="str">
        <x:v>Cafe</x:v>
      </x:c>
      <x:c r="L198" s="45" t="str">
        <x:v>Retail</x:v>
      </x:c>
      <x:c r="M198" s="45" t="str">
        <x:v>C1</x:v>
      </x:c>
      <x:c r="N198" s="45" t="str">
        <x:v>Sí</x:v>
      </x:c>
      <x:c r="O198" s="45" t="str">
        <x:v>Andrea Nava Guzman</x:v>
      </x:c>
      <x:c r="P198" s="45" t="str">
        <x:v>Ops y Directorio Alsea · octubre 2026</x:v>
      </x:c>
      <x:c r="Q198" s="45" t="str">
        <x:v>Puntos proporcionados</x:v>
      </x:c>
      <x:c r="R198" s="45" t="str">
        <x:v>Abierta</x:v>
      </x:c>
      <x:c r="S198" s="45" t="str"/>
      <x:c r="T198" s="45" t="n">
        <x:f>IF(AND(E198="Abierta",N198="Sí",ISNUMBER(I198),ISNUMBER(J198),ABS(I198)&lt;=90,ABS(J198)&lt;=180),1,0)</x:f>
        <x:v>1</x:v>
      </x:c>
    </x:row>
    <x:row r="199" ht="23" customHeight="1">
      <x:c r="A199" s="45" t="str">
        <x:v>Centro Poniente</x:v>
      </x:c>
      <x:c r="B199" s="45" t="str">
        <x:v>Andrea Nava Guzman</x:v>
      </x:c>
      <x:c r="C199" s="50" t="str">
        <x:v>43011</x:v>
      </x:c>
      <x:c r="D199" s="45" t="str">
        <x:v>Carr Toluca-Atlacomulco DT</x:v>
      </x:c>
      <x:c r="E199" s="45" t="str">
        <x:v>Abierta</x:v>
      </x:c>
      <x:c r="F199" s="51" t="d">
        <x:v>2025-07-21T00:00:00.000Z</x:v>
      </x:c>
      <x:c r="G199" s="45" t="str">
        <x:v>Toluca</x:v>
      </x:c>
      <x:c r="H199" s="45" t="str">
        <x:v>Estado De México</x:v>
      </x:c>
      <x:c r="I199" s="52" t="n">
        <x:v>19.393662</x:v>
      </x:c>
      <x:c r="J199" s="52" t="n">
        <x:v>-99.70926</x:v>
      </x:c>
      <x:c r="K199" s="45" t="str">
        <x:v>Drive_Thru</x:v>
      </x:c>
      <x:c r="L199" s="45" t="str">
        <x:v>Neighborhood</x:v>
      </x:c>
      <x:c r="M199" s="45" t="str">
        <x:v>C2</x:v>
      </x:c>
      <x:c r="N199" s="45" t="str">
        <x:v>Sí</x:v>
      </x:c>
      <x:c r="O199" s="45" t="str">
        <x:v>Andrea Nava Guzman</x:v>
      </x:c>
      <x:c r="P199" s="45" t="str">
        <x:v>Ops y Directorio Alsea · octubre 2026</x:v>
      </x:c>
      <x:c r="Q199" s="45" t="str">
        <x:v>Puntos proporcionados</x:v>
      </x:c>
      <x:c r="R199" s="45" t="str">
        <x:v>Abierta</x:v>
      </x:c>
      <x:c r="S199" s="45" t="str"/>
      <x:c r="T199" s="45" t="n">
        <x:f>IF(AND(E199="Abierta",N199="Sí",ISNUMBER(I199),ISNUMBER(J199),ABS(I199)&lt;=90,ABS(J199)&lt;=180),1,0)</x:f>
        <x:v>1</x:v>
      </x:c>
    </x:row>
    <x:row r="200" ht="23" customHeight="1">
      <x:c r="A200" s="45" t="str">
        <x:v>Centro Poniente</x:v>
      </x:c>
      <x:c r="B200" s="45" t="str">
        <x:v>Andrea Nava Guzman</x:v>
      </x:c>
      <x:c r="C200" s="50" t="str">
        <x:v>43058</x:v>
      </x:c>
      <x:c r="D200" s="45" t="str">
        <x:v>Casa de Gobierno DT</x:v>
      </x:c>
      <x:c r="E200" s="45" t="str">
        <x:v>Abierta</x:v>
      </x:c>
      <x:c r="F200" s="51" t="d">
        <x:v>2026-03-20T00:00:00.000Z</x:v>
      </x:c>
      <x:c r="G200" s="45" t="str">
        <x:v>Toluca</x:v>
      </x:c>
      <x:c r="H200" s="45" t="str">
        <x:v>Estado De México</x:v>
      </x:c>
      <x:c r="I200" s="52" t="n">
        <x:v>19.276025</x:v>
      </x:c>
      <x:c r="J200" s="52" t="n">
        <x:v>-99.659595</x:v>
      </x:c>
      <x:c r="K200" s="45" t="str">
        <x:v>Drive_Thru</x:v>
      </x:c>
      <x:c r="L200" s="45" t="str">
        <x:v>Neighborhood</x:v>
      </x:c>
      <x:c r="M200" s="45" t="str">
        <x:v>C2</x:v>
      </x:c>
      <x:c r="N200" s="45" t="str">
        <x:v>Sí</x:v>
      </x:c>
      <x:c r="O200" s="45" t="str">
        <x:v>Andrea Nava Guzman</x:v>
      </x:c>
      <x:c r="P200" s="45" t="str">
        <x:v>Ops y Directorio Alsea · octubre 2026</x:v>
      </x:c>
      <x:c r="Q200" s="45" t="str">
        <x:v>Puntos proporcionados</x:v>
      </x:c>
      <x:c r="R200" s="45" t="str">
        <x:v>Abierta</x:v>
      </x:c>
      <x:c r="S200" s="45" t="str"/>
      <x:c r="T200" s="45" t="n">
        <x:f>IF(AND(E200="Abierta",N200="Sí",ISNUMBER(I200),ISNUMBER(J200),ABS(I200)&lt;=90,ABS(J200)&lt;=180),1,0)</x:f>
        <x:v>1</x:v>
      </x:c>
    </x:row>
    <x:row r="201" ht="23" customHeight="1">
      <x:c r="A201" s="45" t="str">
        <x:v>Centro Poniente</x:v>
      </x:c>
      <x:c r="B201" s="45" t="str">
        <x:v>Andrea Nava Guzman</x:v>
      </x:c>
      <x:c r="C201" s="50" t="str">
        <x:v>43147</x:v>
      </x:c>
      <x:c r="D201" s="45" t="str">
        <x:v>Juarez 70</x:v>
      </x:c>
      <x:c r="E201" s="45" t="str">
        <x:v>Abierta</x:v>
      </x:c>
      <x:c r="F201" s="51" t="d">
        <x:v>2025-01-22T00:00:00.000Z</x:v>
      </x:c>
      <x:c r="G201" s="45" t="str">
        <x:v>Toluca</x:v>
      </x:c>
      <x:c r="H201" s="45" t="str">
        <x:v>Estado De México</x:v>
      </x:c>
      <x:c r="I201" s="52" t="n">
        <x:v>19.2811109</x:v>
      </x:c>
      <x:c r="J201" s="52" t="n">
        <x:v>-99.6539994</x:v>
      </x:c>
      <x:c r="K201" s="45" t="str">
        <x:v>Cafe</x:v>
      </x:c>
      <x:c r="L201" s="45" t="str">
        <x:v>Retail</x:v>
      </x:c>
      <x:c r="M201" s="45" t="str">
        <x:v>C1</x:v>
      </x:c>
      <x:c r="N201" s="45" t="str">
        <x:v>Sí</x:v>
      </x:c>
      <x:c r="O201" s="45" t="str">
        <x:v>Andrea Nava Guzman</x:v>
      </x:c>
      <x:c r="P201" s="45" t="str">
        <x:v>Ops y Directorio Alsea · octubre 2026</x:v>
      </x:c>
      <x:c r="Q201" s="45" t="str">
        <x:v>Puntos proporcionados</x:v>
      </x:c>
      <x:c r="R201" s="45" t="str">
        <x:v>Abierta</x:v>
      </x:c>
      <x:c r="S201" s="45" t="str"/>
      <x:c r="T201" s="45" t="n">
        <x:f>IF(AND(E201="Abierta",N201="Sí",ISNUMBER(I201),ISNUMBER(J201),ABS(I201)&lt;=90,ABS(J201)&lt;=180),1,0)</x:f>
        <x:v>1</x:v>
      </x:c>
    </x:row>
    <x:row r="202" ht="23" customHeight="1">
      <x:c r="A202" s="45" t="str">
        <x:v>Centro Poniente</x:v>
      </x:c>
      <x:c r="B202" s="45" t="str">
        <x:v>Areli Anahi Lazcano Lezama</x:v>
      </x:c>
      <x:c r="C202" s="50" t="str">
        <x:v>38126</x:v>
      </x:c>
      <x:c r="D202" s="45" t="str">
        <x:v>Interlomas</x:v>
      </x:c>
      <x:c r="E202" s="45" t="str">
        <x:v>Abierta</x:v>
      </x:c>
      <x:c r="F202" s="51" t="d">
        <x:v>2004-03-12T00:00:00.000Z</x:v>
      </x:c>
      <x:c r="G202" s="45" t="str">
        <x:v>Huixquilucan</x:v>
      </x:c>
      <x:c r="H202" s="45" t="str">
        <x:v>Estado De México</x:v>
      </x:c>
      <x:c r="I202" s="52" t="n">
        <x:v>19.3989159</x:v>
      </x:c>
      <x:c r="J202" s="52" t="n">
        <x:v>-99.2754243</x:v>
      </x:c>
      <x:c r="K202" s="45" t="str">
        <x:v>Cafe</x:v>
      </x:c>
      <x:c r="L202" s="45" t="str">
        <x:v>Retail</x:v>
      </x:c>
      <x:c r="M202" s="45" t="str">
        <x:v>C2</x:v>
      </x:c>
      <x:c r="N202" s="45" t="str">
        <x:v>Sí</x:v>
      </x:c>
      <x:c r="O202" s="45" t="str">
        <x:v>Areli Anahi Lazcano Lezama</x:v>
      </x:c>
      <x:c r="P202" s="45" t="str">
        <x:v>Ops y Directorio Alsea · octubre 2026</x:v>
      </x:c>
      <x:c r="Q202" s="45" t="str">
        <x:v>Puntos proporcionados</x:v>
      </x:c>
      <x:c r="R202" s="45" t="str">
        <x:v>Abierta</x:v>
      </x:c>
      <x:c r="S202" s="45" t="str"/>
      <x:c r="T202" s="45" t="n">
        <x:f>IF(AND(E202="Abierta",N202="Sí",ISNUMBER(I202),ISNUMBER(J202),ABS(I202)&lt;=90,ABS(J202)&lt;=180),1,0)</x:f>
        <x:v>1</x:v>
      </x:c>
    </x:row>
    <x:row r="203" ht="23" customHeight="1">
      <x:c r="A203" s="45" t="str">
        <x:v>Centro Poniente</x:v>
      </x:c>
      <x:c r="B203" s="45" t="str">
        <x:v>Areli Anahi Lazcano Lezama</x:v>
      </x:c>
      <x:c r="C203" s="50" t="str">
        <x:v>38179</x:v>
      </x:c>
      <x:c r="D203" s="45" t="str">
        <x:v>Universidad Anáhuac</x:v>
      </x:c>
      <x:c r="E203" s="45" t="str">
        <x:v>Abierta</x:v>
      </x:c>
      <x:c r="F203" s="51" t="d">
        <x:v>2006-03-27T00:00:00.000Z</x:v>
      </x:c>
      <x:c r="G203" s="45" t="str">
        <x:v>Huixquilucan</x:v>
      </x:c>
      <x:c r="H203" s="45" t="str">
        <x:v>Estado De México</x:v>
      </x:c>
      <x:c r="I203" s="52" t="n">
        <x:v>19.4028274</x:v>
      </x:c>
      <x:c r="J203" s="52" t="n">
        <x:v>-99.2636781</x:v>
      </x:c>
      <x:c r="K203" s="45" t="str">
        <x:v>Kiosko</x:v>
      </x:c>
      <x:c r="L203" s="45" t="str">
        <x:v>Institution</x:v>
      </x:c>
      <x:c r="M203" s="45" t="str">
        <x:v>C1</x:v>
      </x:c>
      <x:c r="N203" s="45" t="str">
        <x:v>Sí</x:v>
      </x:c>
      <x:c r="O203" s="45" t="str">
        <x:v>Areli Anahi Lazcano Lezama</x:v>
      </x:c>
      <x:c r="P203" s="45" t="str">
        <x:v>Ops y Directorio Alsea · octubre 2026</x:v>
      </x:c>
      <x:c r="Q203" s="45" t="str">
        <x:v>Puntos proporcionados</x:v>
      </x:c>
      <x:c r="R203" s="45" t="str">
        <x:v>Abierta</x:v>
      </x:c>
      <x:c r="S203" s="45" t="str"/>
      <x:c r="T203" s="45" t="n">
        <x:f>IF(AND(E203="Abierta",N203="Sí",ISNUMBER(I203),ISNUMBER(J203),ABS(I203)&lt;=90,ABS(J203)&lt;=180),1,0)</x:f>
        <x:v>1</x:v>
      </x:c>
    </x:row>
    <x:row r="204" ht="23" customHeight="1">
      <x:c r="A204" s="45" t="str">
        <x:v>Centro Poniente</x:v>
      </x:c>
      <x:c r="B204" s="45" t="str">
        <x:v>Areli Anahi Lazcano Lezama</x:v>
      </x:c>
      <x:c r="C204" s="50" t="str">
        <x:v>38185</x:v>
      </x:c>
      <x:c r="D204" s="45" t="str">
        <x:v>Magnocentro</x:v>
      </x:c>
      <x:c r="E204" s="45" t="str">
        <x:v>Abierta</x:v>
      </x:c>
      <x:c r="F204" s="51" t="d">
        <x:v>2006-05-10T00:00:00.000Z</x:v>
      </x:c>
      <x:c r="G204" s="45" t="str">
        <x:v>Huixquilucan</x:v>
      </x:c>
      <x:c r="H204" s="45" t="str">
        <x:v>Estado De México</x:v>
      </x:c>
      <x:c r="I204" s="52" t="n">
        <x:v>19.406479</x:v>
      </x:c>
      <x:c r="J204" s="52" t="n">
        <x:v>-99.2719301</x:v>
      </x:c>
      <x:c r="K204" s="45" t="str">
        <x:v>Cafe</x:v>
      </x:c>
      <x:c r="L204" s="45" t="str">
        <x:v>Retail</x:v>
      </x:c>
      <x:c r="M204" s="45" t="str">
        <x:v>C2</x:v>
      </x:c>
      <x:c r="N204" s="45" t="str">
        <x:v>Sí</x:v>
      </x:c>
      <x:c r="O204" s="45" t="str">
        <x:v>Areli Anahi Lazcano Lezama</x:v>
      </x:c>
      <x:c r="P204" s="45" t="str">
        <x:v>Ops y Directorio Alsea · octubre 2026</x:v>
      </x:c>
      <x:c r="Q204" s="45" t="str">
        <x:v>Puntos proporcionados</x:v>
      </x:c>
      <x:c r="R204" s="45" t="str">
        <x:v>Abierta</x:v>
      </x:c>
      <x:c r="S204" s="45" t="str"/>
      <x:c r="T204" s="45" t="n">
        <x:f>IF(AND(E204="Abierta",N204="Sí",ISNUMBER(I204),ISNUMBER(J204),ABS(I204)&lt;=90,ABS(J204)&lt;=180),1,0)</x:f>
        <x:v>1</x:v>
      </x:c>
    </x:row>
    <x:row r="205" ht="23" customHeight="1">
      <x:c r="A205" s="45" t="str">
        <x:v>Centro Poniente</x:v>
      </x:c>
      <x:c r="B205" s="45" t="str">
        <x:v>Areli Anahi Lazcano Lezama</x:v>
      </x:c>
      <x:c r="C205" s="50" t="str">
        <x:v>38292</x:v>
      </x:c>
      <x:c r="D205" s="45" t="str">
        <x:v>Jesús del Monte</x:v>
      </x:c>
      <x:c r="E205" s="45" t="str">
        <x:v>Abierta</x:v>
      </x:c>
      <x:c r="F205" s="51" t="d">
        <x:v>2007-12-22T00:00:00.000Z</x:v>
      </x:c>
      <x:c r="G205" s="45" t="str">
        <x:v>Huixquilucan</x:v>
      </x:c>
      <x:c r="H205" s="45" t="str">
        <x:v>Estado De México</x:v>
      </x:c>
      <x:c r="I205" s="52" t="n">
        <x:v>19.3953405</x:v>
      </x:c>
      <x:c r="J205" s="52" t="n">
        <x:v>-99.2893072</x:v>
      </x:c>
      <x:c r="K205" s="45" t="str">
        <x:v>Cafe</x:v>
      </x:c>
      <x:c r="L205" s="45" t="str">
        <x:v>Retail</x:v>
      </x:c>
      <x:c r="M205" s="45" t="str">
        <x:v>C2</x:v>
      </x:c>
      <x:c r="N205" s="45" t="str">
        <x:v>Sí</x:v>
      </x:c>
      <x:c r="O205" s="45" t="str">
        <x:v>Areli Anahi Lazcano Lezama</x:v>
      </x:c>
      <x:c r="P205" s="45" t="str">
        <x:v>Ops y Directorio Alsea · octubre 2026</x:v>
      </x:c>
      <x:c r="Q205" s="45" t="str">
        <x:v>Puntos proporcionados</x:v>
      </x:c>
      <x:c r="R205" s="45" t="str">
        <x:v>Abierta</x:v>
      </x:c>
      <x:c r="S205" s="45" t="str"/>
      <x:c r="T205" s="45" t="n">
        <x:f>IF(AND(E205="Abierta",N205="Sí",ISNUMBER(I205),ISNUMBER(J205),ABS(I205)&lt;=90,ABS(J205)&lt;=180),1,0)</x:f>
        <x:v>1</x:v>
      </x:c>
    </x:row>
    <x:row r="206" ht="23" customHeight="1">
      <x:c r="A206" s="45" t="str">
        <x:v>Centro Poniente</x:v>
      </x:c>
      <x:c r="B206" s="45" t="str">
        <x:v>Areli Anahi Lazcano Lezama</x:v>
      </x:c>
      <x:c r="C206" s="50" t="str">
        <x:v>38439</x:v>
      </x:c>
      <x:c r="D206" s="45" t="str">
        <x:v>Ángeles Interlomas</x:v>
      </x:c>
      <x:c r="E206" s="45" t="str">
        <x:v>Abierta</x:v>
      </x:c>
      <x:c r="F206" s="51" t="d">
        <x:v>2011-12-06T00:00:00.000Z</x:v>
      </x:c>
      <x:c r="G206" s="45" t="str">
        <x:v>Huixquilucan</x:v>
      </x:c>
      <x:c r="H206" s="45" t="str">
        <x:v>Estado De México</x:v>
      </x:c>
      <x:c r="I206" s="52" t="n">
        <x:v>19.4400562</x:v>
      </x:c>
      <x:c r="J206" s="52" t="n">
        <x:v>-99.2899762</x:v>
      </x:c>
      <x:c r="K206" s="45" t="str">
        <x:v>Kiosko</x:v>
      </x:c>
      <x:c r="L206" s="45" t="str">
        <x:v>Institution</x:v>
      </x:c>
      <x:c r="M206" s="45" t="str">
        <x:v>C2</x:v>
      </x:c>
      <x:c r="N206" s="45" t="str">
        <x:v>Sí</x:v>
      </x:c>
      <x:c r="O206" s="45" t="str">
        <x:v>Areli Anahi Lazcano Lezama</x:v>
      </x:c>
      <x:c r="P206" s="45" t="str">
        <x:v>Ops y Directorio Alsea · octubre 2026</x:v>
      </x:c>
      <x:c r="Q206" s="45" t="str">
        <x:v>Puntos proporcionados</x:v>
      </x:c>
      <x:c r="R206" s="45" t="str">
        <x:v>Abierta</x:v>
      </x:c>
      <x:c r="S206" s="45" t="str"/>
      <x:c r="T206" s="45" t="n">
        <x:f>IF(AND(E206="Abierta",N206="Sí",ISNUMBER(I206),ISNUMBER(J206),ABS(I206)&lt;=90,ABS(J206)&lt;=180),1,0)</x:f>
        <x:v>1</x:v>
      </x:c>
    </x:row>
    <x:row r="207" ht="23" customHeight="1">
      <x:c r="A207" s="45" t="str">
        <x:v>Centro Poniente</x:v>
      </x:c>
      <x:c r="B207" s="45" t="str">
        <x:v>Areli Anahi Lazcano Lezama</x:v>
      </x:c>
      <x:c r="C207" s="50" t="str">
        <x:v>38452</x:v>
      </x:c>
      <x:c r="D207" s="45" t="str">
        <x:v>Parque Interlomas</x:v>
      </x:c>
      <x:c r="E207" s="45" t="str">
        <x:v>Abierta</x:v>
      </x:c>
      <x:c r="F207" s="51" t="d">
        <x:v>2012-04-29T00:00:00.000Z</x:v>
      </x:c>
      <x:c r="G207" s="45" t="str">
        <x:v>Huixquilucan</x:v>
      </x:c>
      <x:c r="H207" s="45" t="str">
        <x:v>Estado De México</x:v>
      </x:c>
      <x:c r="I207" s="52" t="n">
        <x:v>19.395667</x:v>
      </x:c>
      <x:c r="J207" s="52" t="n">
        <x:v>-99.2884136</x:v>
      </x:c>
      <x:c r="K207" s="45" t="str">
        <x:v>Kiosko</x:v>
      </x:c>
      <x:c r="L207" s="45" t="str">
        <x:v>Retail</x:v>
      </x:c>
      <x:c r="M207" s="45" t="str">
        <x:v>C2</x:v>
      </x:c>
      <x:c r="N207" s="45" t="str">
        <x:v>Sí</x:v>
      </x:c>
      <x:c r="O207" s="45" t="str">
        <x:v>Areli Anahi Lazcano Lezama</x:v>
      </x:c>
      <x:c r="P207" s="45" t="str">
        <x:v>Ops y Directorio Alsea · octubre 2026</x:v>
      </x:c>
      <x:c r="Q207" s="45" t="str">
        <x:v>Puntos proporcionados</x:v>
      </x:c>
      <x:c r="R207" s="45" t="str">
        <x:v>Abierta</x:v>
      </x:c>
      <x:c r="S207" s="45" t="str"/>
      <x:c r="T207" s="45" t="n">
        <x:f>IF(AND(E207="Abierta",N207="Sí",ISNUMBER(I207),ISNUMBER(J207),ABS(I207)&lt;=90,ABS(J207)&lt;=180),1,0)</x:f>
        <x:v>1</x:v>
      </x:c>
    </x:row>
    <x:row r="208" ht="23" customHeight="1">
      <x:c r="A208" s="45" t="str">
        <x:v>Centro Poniente</x:v>
      </x:c>
      <x:c r="B208" s="45" t="str">
        <x:v>Areli Anahi Lazcano Lezama</x:v>
      </x:c>
      <x:c r="C208" s="50" t="str">
        <x:v>38466</x:v>
      </x:c>
      <x:c r="D208" s="45" t="str">
        <x:v>Paseo Interlomas I</x:v>
      </x:c>
      <x:c r="E208" s="45" t="str">
        <x:v>Abierta</x:v>
      </x:c>
      <x:c r="F208" s="51" t="d">
        <x:v>2012-09-28T00:00:00.000Z</x:v>
      </x:c>
      <x:c r="G208" s="45" t="str">
        <x:v>Huixquilucan</x:v>
      </x:c>
      <x:c r="H208" s="45" t="str">
        <x:v>Estado De México</x:v>
      </x:c>
      <x:c r="I208" s="52" t="n">
        <x:v>19.3972623</x:v>
      </x:c>
      <x:c r="J208" s="52" t="n">
        <x:v>-99.2815312</x:v>
      </x:c>
      <x:c r="K208" s="45" t="str">
        <x:v>Kiosko</x:v>
      </x:c>
      <x:c r="L208" s="45" t="str">
        <x:v>Retail</x:v>
      </x:c>
      <x:c r="M208" s="45" t="str">
        <x:v>C2</x:v>
      </x:c>
      <x:c r="N208" s="45" t="str">
        <x:v>Sí</x:v>
      </x:c>
      <x:c r="O208" s="45" t="str">
        <x:v>Areli Anahi Lazcano Lezama</x:v>
      </x:c>
      <x:c r="P208" s="45" t="str">
        <x:v>Ops y Directorio Alsea · octubre 2026</x:v>
      </x:c>
      <x:c r="Q208" s="45" t="str">
        <x:v>Puntos proporcionados</x:v>
      </x:c>
      <x:c r="R208" s="45" t="str">
        <x:v>Abierta</x:v>
      </x:c>
      <x:c r="S208" s="45" t="str"/>
      <x:c r="T208" s="45" t="n">
        <x:f>IF(AND(E208="Abierta",N208="Sí",ISNUMBER(I208),ISNUMBER(J208),ABS(I208)&lt;=90,ABS(J208)&lt;=180),1,0)</x:f>
        <x:v>1</x:v>
      </x:c>
    </x:row>
    <x:row r="209" ht="23" customHeight="1">
      <x:c r="A209" s="45" t="str">
        <x:v>Centro Poniente</x:v>
      </x:c>
      <x:c r="B209" s="45" t="str">
        <x:v>Areli Anahi Lazcano Lezama</x:v>
      </x:c>
      <x:c r="C209" s="50" t="str">
        <x:v>38553</x:v>
      </x:c>
      <x:c r="D209" s="45" t="str">
        <x:v>Paseo Interlomas II</x:v>
      </x:c>
      <x:c r="E209" s="45" t="str">
        <x:v>Abierta</x:v>
      </x:c>
      <x:c r="F209" s="51" t="d">
        <x:v>2014-09-28T00:00:00.000Z</x:v>
      </x:c>
      <x:c r="G209" s="45" t="str">
        <x:v>Huixquilucan</x:v>
      </x:c>
      <x:c r="H209" s="45" t="str">
        <x:v>Estado De México</x:v>
      </x:c>
      <x:c r="I209" s="52" t="n">
        <x:v>19.3985491</x:v>
      </x:c>
      <x:c r="J209" s="52" t="n">
        <x:v>-99.2828302</x:v>
      </x:c>
      <x:c r="K209" s="45" t="str">
        <x:v>Kiosko</x:v>
      </x:c>
      <x:c r="L209" s="45" t="str">
        <x:v>Retail</x:v>
      </x:c>
      <x:c r="M209" s="45" t="str">
        <x:v>C2</x:v>
      </x:c>
      <x:c r="N209" s="45" t="str">
        <x:v>Sí</x:v>
      </x:c>
      <x:c r="O209" s="45" t="str">
        <x:v>Areli Anahi Lazcano Lezama</x:v>
      </x:c>
      <x:c r="P209" s="45" t="str">
        <x:v>Ops y Directorio Alsea · octubre 2026</x:v>
      </x:c>
      <x:c r="Q209" s="45" t="str">
        <x:v>Puntos proporcionados</x:v>
      </x:c>
      <x:c r="R209" s="45" t="str">
        <x:v>Abierta</x:v>
      </x:c>
      <x:c r="S209" s="45" t="str"/>
      <x:c r="T209" s="45" t="n">
        <x:f>IF(AND(E209="Abierta",N209="Sí",ISNUMBER(I209),ISNUMBER(J209),ABS(I209)&lt;=90,ABS(J209)&lt;=180),1,0)</x:f>
        <x:v>1</x:v>
      </x:c>
    </x:row>
    <x:row r="210" ht="23" customHeight="1">
      <x:c r="A210" s="45" t="str">
        <x:v>Centro Poniente</x:v>
      </x:c>
      <x:c r="B210" s="45" t="str">
        <x:v>Areli Anahi Lazcano Lezama</x:v>
      </x:c>
      <x:c r="C210" s="50" t="str">
        <x:v>38568</x:v>
      </x:c>
      <x:c r="D210" s="45" t="str">
        <x:v>Av Stim</x:v>
      </x:c>
      <x:c r="E210" s="45" t="str">
        <x:v>Abierta</x:v>
      </x:c>
      <x:c r="F210" s="51" t="d">
        <x:v>2014-12-26T00:00:00.000Z</x:v>
      </x:c>
      <x:c r="G210" s="45" t="str">
        <x:v>Cuajimalpa</x:v>
      </x:c>
      <x:c r="H210" s="45" t="str">
        <x:v>Ciudad De México</x:v>
      </x:c>
      <x:c r="I210" s="52" t="n">
        <x:v>19.391128</x:v>
      </x:c>
      <x:c r="J210" s="52" t="n">
        <x:v>-99.259271</x:v>
      </x:c>
      <x:c r="K210" s="45" t="str">
        <x:v>Cafe</x:v>
      </x:c>
      <x:c r="L210" s="45" t="str">
        <x:v>Neighborhood</x:v>
      </x:c>
      <x:c r="M210" s="45" t="str">
        <x:v>C1</x:v>
      </x:c>
      <x:c r="N210" s="45" t="str">
        <x:v>Sí</x:v>
      </x:c>
      <x:c r="O210" s="45" t="str">
        <x:v>Areli Anahi Lazcano Lezama</x:v>
      </x:c>
      <x:c r="P210" s="45" t="str">
        <x:v>Ops y Directorio Alsea · octubre 2026</x:v>
      </x:c>
      <x:c r="Q210" s="45" t="str">
        <x:v>Puntos proporcionados</x:v>
      </x:c>
      <x:c r="R210" s="45" t="str">
        <x:v>Abierta</x:v>
      </x:c>
      <x:c r="S210" s="45" t="str"/>
      <x:c r="T210" s="45" t="n">
        <x:f>IF(AND(E210="Abierta",N210="Sí",ISNUMBER(I210),ISNUMBER(J210),ABS(I210)&lt;=90,ABS(J210)&lt;=180),1,0)</x:f>
        <x:v>1</x:v>
      </x:c>
    </x:row>
    <x:row r="211" ht="23" customHeight="1">
      <x:c r="A211" s="45" t="str">
        <x:v>Centro Poniente</x:v>
      </x:c>
      <x:c r="B211" s="45" t="str">
        <x:v>Areli Anahi Lazcano Lezama</x:v>
      </x:c>
      <x:c r="C211" s="50" t="str">
        <x:v>38799</x:v>
      </x:c>
      <x:c r="D211" s="45" t="str">
        <x:v>Paseo Interlomas III</x:v>
      </x:c>
      <x:c r="E211" s="45" t="str">
        <x:v>Abierta</x:v>
      </x:c>
      <x:c r="F211" s="51" t="d">
        <x:v>2018-03-23T00:00:00.000Z</x:v>
      </x:c>
      <x:c r="G211" s="45" t="str">
        <x:v>Huixquilucan</x:v>
      </x:c>
      <x:c r="H211" s="45" t="str">
        <x:v>Estado De México</x:v>
      </x:c>
      <x:c r="I211" s="52" t="n">
        <x:v>19.3984675</x:v>
      </x:c>
      <x:c r="J211" s="52" t="n">
        <x:v>-99.2834346</x:v>
      </x:c>
      <x:c r="K211" s="45" t="str">
        <x:v>Cafe</x:v>
      </x:c>
      <x:c r="L211" s="45" t="str">
        <x:v>Retail</x:v>
      </x:c>
      <x:c r="M211" s="45" t="str">
        <x:v>C2</x:v>
      </x:c>
      <x:c r="N211" s="45" t="str">
        <x:v>Sí</x:v>
      </x:c>
      <x:c r="O211" s="45" t="str">
        <x:v>Areli Anahi Lazcano Lezama</x:v>
      </x:c>
      <x:c r="P211" s="45" t="str">
        <x:v>Ops y Directorio Alsea · octubre 2026</x:v>
      </x:c>
      <x:c r="Q211" s="45" t="str">
        <x:v>Puntos proporcionados</x:v>
      </x:c>
      <x:c r="R211" s="45" t="str">
        <x:v>Abierta</x:v>
      </x:c>
      <x:c r="S211" s="45" t="str"/>
      <x:c r="T211" s="45" t="n">
        <x:f>IF(AND(E211="Abierta",N211="Sí",ISNUMBER(I211),ISNUMBER(J211),ABS(I211)&lt;=90,ABS(J211)&lt;=180),1,0)</x:f>
        <x:v>1</x:v>
      </x:c>
    </x:row>
    <x:row r="212" ht="23" customHeight="1">
      <x:c r="A212" s="45" t="str">
        <x:v>Centro Poniente</x:v>
      </x:c>
      <x:c r="B212" s="45" t="str">
        <x:v>Areli Anahi Lazcano Lezama</x:v>
      </x:c>
      <x:c r="C212" s="50" t="str">
        <x:v>38815</x:v>
      </x:c>
      <x:c r="D212" s="45" t="str">
        <x:v>Central Interlomas</x:v>
      </x:c>
      <x:c r="E212" s="45" t="str">
        <x:v>Abierta</x:v>
      </x:c>
      <x:c r="F212" s="51" t="d">
        <x:v>2018-09-04T00:00:00.000Z</x:v>
      </x:c>
      <x:c r="G212" s="45" t="str">
        <x:v>Huixquilucan</x:v>
      </x:c>
      <x:c r="H212" s="45" t="str">
        <x:v>Estado De México</x:v>
      </x:c>
      <x:c r="I212" s="52" t="n">
        <x:v>19.3930915</x:v>
      </x:c>
      <x:c r="J212" s="52" t="n">
        <x:v>-99.2806787</x:v>
      </x:c>
      <x:c r="K212" s="45" t="str">
        <x:v>Cafe</x:v>
      </x:c>
      <x:c r="L212" s="45" t="str">
        <x:v>Retail</x:v>
      </x:c>
      <x:c r="M212" s="45" t="str">
        <x:v>C2</x:v>
      </x:c>
      <x:c r="N212" s="45" t="str">
        <x:v>Sí</x:v>
      </x:c>
      <x:c r="O212" s="45" t="str">
        <x:v>Areli Anahi Lazcano Lezama</x:v>
      </x:c>
      <x:c r="P212" s="45" t="str">
        <x:v>Ops y Directorio Alsea · octubre 2026</x:v>
      </x:c>
      <x:c r="Q212" s="45" t="str">
        <x:v>Puntos proporcionados</x:v>
      </x:c>
      <x:c r="R212" s="45" t="str">
        <x:v>Abierta</x:v>
      </x:c>
      <x:c r="S212" s="45" t="str"/>
      <x:c r="T212" s="45" t="n">
        <x:f>IF(AND(E212="Abierta",N212="Sí",ISNUMBER(I212),ISNUMBER(J212),ABS(I212)&lt;=90,ABS(J212)&lt;=180),1,0)</x:f>
        <x:v>1</x:v>
      </x:c>
    </x:row>
    <x:row r="213" ht="23" customHeight="1">
      <x:c r="A213" s="45" t="str">
        <x:v>Centro Poniente</x:v>
      </x:c>
      <x:c r="B213" s="45" t="str">
        <x:v>Areli Anahi Lazcano Lezama</x:v>
      </x:c>
      <x:c r="C213" s="50" t="str">
        <x:v>38918</x:v>
      </x:c>
      <x:c r="D213" s="45" t="str">
        <x:v>Bosque Real</x:v>
      </x:c>
      <x:c r="E213" s="45" t="str">
        <x:v>Abierta</x:v>
      </x:c>
      <x:c r="F213" s="51" t="d">
        <x:v>2022-09-02T00:00:00.000Z</x:v>
      </x:c>
      <x:c r="G213" s="45" t="str">
        <x:v>Huixquilucan</x:v>
      </x:c>
      <x:c r="H213" s="45" t="str">
        <x:v>Estado De México</x:v>
      </x:c>
      <x:c r="I213" s="52" t="n">
        <x:v>19.4157062</x:v>
      </x:c>
      <x:c r="J213" s="52" t="n">
        <x:v>-99.2979155</x:v>
      </x:c>
      <x:c r="K213" s="45" t="str">
        <x:v>Cafe</x:v>
      </x:c>
      <x:c r="L213" s="45" t="str">
        <x:v>Retail</x:v>
      </x:c>
      <x:c r="M213" s="45" t="str">
        <x:v>C2</x:v>
      </x:c>
      <x:c r="N213" s="45" t="str">
        <x:v>Sí</x:v>
      </x:c>
      <x:c r="O213" s="45" t="str">
        <x:v>Areli Anahi Lazcano Lezama</x:v>
      </x:c>
      <x:c r="P213" s="45" t="str">
        <x:v>Ops y Directorio Alsea · octubre 2026</x:v>
      </x:c>
      <x:c r="Q213" s="45" t="str">
        <x:v>Puntos proporcionados</x:v>
      </x:c>
      <x:c r="R213" s="45" t="str">
        <x:v>Abierta</x:v>
      </x:c>
      <x:c r="S213" s="45" t="str"/>
      <x:c r="T213" s="45" t="n">
        <x:f>IF(AND(E213="Abierta",N213="Sí",ISNUMBER(I213),ISNUMBER(J213),ABS(I213)&lt;=90,ABS(J213)&lt;=180),1,0)</x:f>
        <x:v>1</x:v>
      </x:c>
    </x:row>
    <x:row r="214" ht="23" customHeight="1">
      <x:c r="A214" s="45" t="str">
        <x:v>Centro Poniente</x:v>
      </x:c>
      <x:c r="B214" s="45" t="str">
        <x:v>Areli Anahi Lazcano Lezama</x:v>
      </x:c>
      <x:c r="C214" s="50" t="str">
        <x:v>43107</x:v>
      </x:c>
      <x:c r="D214" s="45" t="str">
        <x:v>Pabellón Bosques</x:v>
      </x:c>
      <x:c r="E214" s="45" t="str">
        <x:v>Abierta</x:v>
      </x:c>
      <x:c r="F214" s="51" t="d">
        <x:v>2024-12-04T00:00:00.000Z</x:v>
      </x:c>
      <x:c r="G214" s="45" t="str">
        <x:v>Cuajimalpa</x:v>
      </x:c>
      <x:c r="H214" s="45" t="str">
        <x:v>Ciudad De México</x:v>
      </x:c>
      <x:c r="I214" s="52" t="n">
        <x:v>19.38251</x:v>
      </x:c>
      <x:c r="J214" s="52" t="n">
        <x:v>-99.2674977</x:v>
      </x:c>
      <x:c r="K214" s="45" t="str">
        <x:v>Cafe</x:v>
      </x:c>
      <x:c r="L214" s="45" t="str">
        <x:v>Retail</x:v>
      </x:c>
      <x:c r="M214" s="45" t="str">
        <x:v>C2</x:v>
      </x:c>
      <x:c r="N214" s="45" t="str">
        <x:v>Sí</x:v>
      </x:c>
      <x:c r="O214" s="45" t="str">
        <x:v>Areli Anahi Lazcano Lezama</x:v>
      </x:c>
      <x:c r="P214" s="45" t="str">
        <x:v>Ops y Directorio Alsea · octubre 2026</x:v>
      </x:c>
      <x:c r="Q214" s="45" t="str">
        <x:v>Puntos proporcionados</x:v>
      </x:c>
      <x:c r="R214" s="45" t="str">
        <x:v>Abierta</x:v>
      </x:c>
      <x:c r="S214" s="45" t="str"/>
      <x:c r="T214" s="45" t="n">
        <x:f>IF(AND(E214="Abierta",N214="Sí",ISNUMBER(I214),ISNUMBER(J214),ABS(I214)&lt;=90,ABS(J214)&lt;=180),1,0)</x:f>
        <x:v>1</x:v>
      </x:c>
    </x:row>
    <x:row r="215" ht="23" customHeight="1">
      <x:c r="A215" s="45" t="str">
        <x:v>Centro Poniente</x:v>
      </x:c>
      <x:c r="B215" s="45" t="str">
        <x:v>Daniel Flores Maldonado</x:v>
      </x:c>
      <x:c r="C215" s="50" t="str">
        <x:v>38138</x:v>
      </x:c>
      <x:c r="D215" s="45" t="str">
        <x:v>Galerias metepec 1</x:v>
      </x:c>
      <x:c r="E215" s="45" t="str">
        <x:v>Abierta</x:v>
      </x:c>
      <x:c r="F215" s="51" t="d">
        <x:v>2004-12-16T00:00:00.000Z</x:v>
      </x:c>
      <x:c r="G215" s="45" t="str">
        <x:v>Metepec</x:v>
      </x:c>
      <x:c r="H215" s="45" t="str">
        <x:v>Estado De México</x:v>
      </x:c>
      <x:c r="I215" s="52" t="n">
        <x:v>19.257614</x:v>
      </x:c>
      <x:c r="J215" s="52" t="n">
        <x:v>-99.620467</x:v>
      </x:c>
      <x:c r="K215" s="45" t="str">
        <x:v>Cafe</x:v>
      </x:c>
      <x:c r="L215" s="45" t="str">
        <x:v>Retail</x:v>
      </x:c>
      <x:c r="M215" s="45" t="str">
        <x:v>C1</x:v>
      </x:c>
      <x:c r="N215" s="45" t="str">
        <x:v>Sí</x:v>
      </x:c>
      <x:c r="O215" s="45" t="str">
        <x:v>Daniel Flores Maldonado</x:v>
      </x:c>
      <x:c r="P215" s="45" t="str">
        <x:v>Ops y Directorio Alsea · octubre 2026</x:v>
      </x:c>
      <x:c r="Q215" s="45" t="str">
        <x:v>Puntos proporcionados</x:v>
      </x:c>
      <x:c r="R215" s="45" t="str">
        <x:v>Abierta</x:v>
      </x:c>
      <x:c r="S215" s="45" t="str"/>
      <x:c r="T215" s="45" t="n">
        <x:f>IF(AND(E215="Abierta",N215="Sí",ISNUMBER(I215),ISNUMBER(J215),ABS(I215)&lt;=90,ABS(J215)&lt;=180),1,0)</x:f>
        <x:v>1</x:v>
      </x:c>
    </x:row>
    <x:row r="216" ht="23" customHeight="1">
      <x:c r="A216" s="45" t="str">
        <x:v>Centro Poniente</x:v>
      </x:c>
      <x:c r="B216" s="45" t="str">
        <x:v>Daniel Flores Maldonado</x:v>
      </x:c>
      <x:c r="C216" s="50" t="str">
        <x:v>38141</x:v>
      </x:c>
      <x:c r="D216" s="45" t="str">
        <x:v>Plaza Mayor Metepec</x:v>
      </x:c>
      <x:c r="E216" s="45" t="str">
        <x:v>Abierta</x:v>
      </x:c>
      <x:c r="F216" s="51" t="d">
        <x:v>2004-12-16T00:00:00.000Z</x:v>
      </x:c>
      <x:c r="G216" s="45" t="str">
        <x:v>Metepec</x:v>
      </x:c>
      <x:c r="H216" s="45" t="str">
        <x:v>Estado De México</x:v>
      </x:c>
      <x:c r="I216" s="52" t="n">
        <x:v>19.2610843</x:v>
      </x:c>
      <x:c r="J216" s="52" t="n">
        <x:v>-99.6169881</x:v>
      </x:c>
      <x:c r="K216" s="45" t="str">
        <x:v>Cafe</x:v>
      </x:c>
      <x:c r="L216" s="45" t="str">
        <x:v>Retail</x:v>
      </x:c>
      <x:c r="M216" s="45" t="str">
        <x:v>C1</x:v>
      </x:c>
      <x:c r="N216" s="45" t="str">
        <x:v>Sí</x:v>
      </x:c>
      <x:c r="O216" s="45" t="str">
        <x:v>Daniel Flores Maldonado</x:v>
      </x:c>
      <x:c r="P216" s="45" t="str">
        <x:v>Ops y Directorio Alsea · octubre 2026</x:v>
      </x:c>
      <x:c r="Q216" s="45" t="str">
        <x:v>Puntos proporcionados</x:v>
      </x:c>
      <x:c r="R216" s="45" t="str">
        <x:v>Abierta</x:v>
      </x:c>
      <x:c r="S216" s="45" t="str"/>
      <x:c r="T216" s="45" t="n">
        <x:f>IF(AND(E216="Abierta",N216="Sí",ISNUMBER(I216),ISNUMBER(J216),ABS(I216)&lt;=90,ABS(J216)&lt;=180),1,0)</x:f>
        <x:v>1</x:v>
      </x:c>
    </x:row>
    <x:row r="217" ht="23" customHeight="1">
      <x:c r="A217" s="45" t="str">
        <x:v>Centro Poniente</x:v>
      </x:c>
      <x:c r="B217" s="45" t="str">
        <x:v>Daniel Flores Maldonado</x:v>
      </x:c>
      <x:c r="C217" s="50" t="str">
        <x:v>38319</x:v>
      </x:c>
      <x:c r="D217" s="45" t="str">
        <x:v>Tecnologico Metepec</x:v>
      </x:c>
      <x:c r="E217" s="45" t="str">
        <x:v>Abierta</x:v>
      </x:c>
      <x:c r="F217" s="51" t="d">
        <x:v>2008-06-20T00:00:00.000Z</x:v>
      </x:c>
      <x:c r="G217" s="45" t="str">
        <x:v>Metepec</x:v>
      </x:c>
      <x:c r="H217" s="45" t="str">
        <x:v>Estado De México</x:v>
      </x:c>
      <x:c r="I217" s="52" t="n">
        <x:v>19.273702</x:v>
      </x:c>
      <x:c r="J217" s="52" t="n">
        <x:v>-99.574625</x:v>
      </x:c>
      <x:c r="K217" s="45" t="str">
        <x:v>Cafe</x:v>
      </x:c>
      <x:c r="L217" s="45" t="str">
        <x:v>Neighborhood</x:v>
      </x:c>
      <x:c r="M217" s="45" t="str">
        <x:v>C1</x:v>
      </x:c>
      <x:c r="N217" s="45" t="str">
        <x:v>Sí</x:v>
      </x:c>
      <x:c r="O217" s="45" t="str">
        <x:v>Daniel Flores Maldonado</x:v>
      </x:c>
      <x:c r="P217" s="45" t="str">
        <x:v>Ops y Directorio Alsea · octubre 2026</x:v>
      </x:c>
      <x:c r="Q217" s="45" t="str">
        <x:v>Puntos proporcionados</x:v>
      </x:c>
      <x:c r="R217" s="45" t="str">
        <x:v>Abierta</x:v>
      </x:c>
      <x:c r="S217" s="45" t="str"/>
      <x:c r="T217" s="45" t="n">
        <x:f>IF(AND(E217="Abierta",N217="Sí",ISNUMBER(I217),ISNUMBER(J217),ABS(I217)&lt;=90,ABS(J217)&lt;=180),1,0)</x:f>
        <x:v>1</x:v>
      </x:c>
    </x:row>
    <x:row r="218" ht="23" customHeight="1">
      <x:c r="A218" s="45" t="str">
        <x:v>Centro Poniente</x:v>
      </x:c>
      <x:c r="B218" s="45" t="str">
        <x:v>Daniel Flores Maldonado</x:v>
      </x:c>
      <x:c r="C218" s="50" t="str">
        <x:v>38441</x:v>
      </x:c>
      <x:c r="D218" s="45" t="str">
        <x:v>Metepec Plaza del Parque</x:v>
      </x:c>
      <x:c r="E218" s="45" t="str">
        <x:v>Abierta</x:v>
      </x:c>
      <x:c r="F218" s="51" t="d">
        <x:v>2011-12-15T00:00:00.000Z</x:v>
      </x:c>
      <x:c r="G218" s="45" t="str">
        <x:v>Metepec</x:v>
      </x:c>
      <x:c r="H218" s="45" t="str">
        <x:v>Estado De México</x:v>
      </x:c>
      <x:c r="I218" s="52" t="n">
        <x:v>19.2524589</x:v>
      </x:c>
      <x:c r="J218" s="52" t="n">
        <x:v>-99.6132211</x:v>
      </x:c>
      <x:c r="K218" s="45" t="str">
        <x:v>Cafe</x:v>
      </x:c>
      <x:c r="L218" s="45" t="str">
        <x:v>Neighborhood</x:v>
      </x:c>
      <x:c r="M218" s="45" t="str">
        <x:v>C1</x:v>
      </x:c>
      <x:c r="N218" s="45" t="str">
        <x:v>Sí</x:v>
      </x:c>
      <x:c r="O218" s="45" t="str">
        <x:v>Daniel Flores Maldonado</x:v>
      </x:c>
      <x:c r="P218" s="45" t="str">
        <x:v>Ops y Directorio Alsea · octubre 2026</x:v>
      </x:c>
      <x:c r="Q218" s="45" t="str">
        <x:v>Puntos proporcionados</x:v>
      </x:c>
      <x:c r="R218" s="45" t="str">
        <x:v>Abierta</x:v>
      </x:c>
      <x:c r="S218" s="45" t="str"/>
      <x:c r="T218" s="45" t="n">
        <x:f>IF(AND(E218="Abierta",N218="Sí",ISNUMBER(I218),ISNUMBER(J218),ABS(I218)&lt;=90,ABS(J218)&lt;=180),1,0)</x:f>
        <x:v>1</x:v>
      </x:c>
    </x:row>
    <x:row r="219" ht="23" customHeight="1">
      <x:c r="A219" s="45" t="str">
        <x:v>Centro Poniente</x:v>
      </x:c>
      <x:c r="B219" s="45" t="str">
        <x:v>Daniel Flores Maldonado</x:v>
      </x:c>
      <x:c r="C219" s="50" t="str">
        <x:v>38485</x:v>
      </x:c>
      <x:c r="D219" s="45" t="str">
        <x:v>Sendero Toluca</x:v>
      </x:c>
      <x:c r="E219" s="45" t="str">
        <x:v>Abierta</x:v>
      </x:c>
      <x:c r="F219" s="51" t="d">
        <x:v>2013-01-31T00:00:00.000Z</x:v>
      </x:c>
      <x:c r="G219" s="45" t="str">
        <x:v>Lerma</x:v>
      </x:c>
      <x:c r="H219" s="45" t="str">
        <x:v>Estado De México</x:v>
      </x:c>
      <x:c r="I219" s="52" t="n">
        <x:v>19.2909236</x:v>
      </x:c>
      <x:c r="J219" s="52" t="n">
        <x:v>-99.5552982</x:v>
      </x:c>
      <x:c r="K219" s="45" t="str">
        <x:v>Cafe</x:v>
      </x:c>
      <x:c r="L219" s="45" t="str">
        <x:v>Retail</x:v>
      </x:c>
      <x:c r="M219" s="45" t="str">
        <x:v>C1</x:v>
      </x:c>
      <x:c r="N219" s="45" t="str">
        <x:v>Sí</x:v>
      </x:c>
      <x:c r="O219" s="45" t="str">
        <x:v>Daniel Flores Maldonado</x:v>
      </x:c>
      <x:c r="P219" s="45" t="str">
        <x:v>Ops y Directorio Alsea · octubre 2026</x:v>
      </x:c>
      <x:c r="Q219" s="45" t="str">
        <x:v>Puntos proporcionados</x:v>
      </x:c>
      <x:c r="R219" s="45" t="str">
        <x:v>Abierta</x:v>
      </x:c>
      <x:c r="S219" s="45" t="str"/>
      <x:c r="T219" s="45" t="n">
        <x:f>IF(AND(E219="Abierta",N219="Sí",ISNUMBER(I219),ISNUMBER(J219),ABS(I219)&lt;=90,ABS(J219)&lt;=180),1,0)</x:f>
        <x:v>1</x:v>
      </x:c>
    </x:row>
    <x:row r="220" ht="23" customHeight="1">
      <x:c r="A220" s="45" t="str">
        <x:v>Centro Poniente</x:v>
      </x:c>
      <x:c r="B220" s="45" t="str">
        <x:v>Daniel Flores Maldonado</x:v>
      </x:c>
      <x:c r="C220" s="50" t="str">
        <x:v>38547</x:v>
      </x:c>
      <x:c r="D220" s="45" t="str">
        <x:v>Carr Toluca Mexico KM48</x:v>
      </x:c>
      <x:c r="E220" s="45" t="str">
        <x:v>Abierta</x:v>
      </x:c>
      <x:c r="F220" s="51" t="d">
        <x:v>2014-09-19T00:00:00.000Z</x:v>
      </x:c>
      <x:c r="G220" s="45" t="str">
        <x:v>Lerma</x:v>
      </x:c>
      <x:c r="H220" s="45" t="str">
        <x:v>Estado De México</x:v>
      </x:c>
      <x:c r="I220" s="52" t="n">
        <x:v>19.2816425</x:v>
      </x:c>
      <x:c r="J220" s="52" t="n">
        <x:v>-99.4894632</x:v>
      </x:c>
      <x:c r="K220" s="45" t="str">
        <x:v>Drive_Thru</x:v>
      </x:c>
      <x:c r="L220" s="45" t="str">
        <x:v>Transfers</x:v>
      </x:c>
      <x:c r="M220" s="45" t="str">
        <x:v>C2</x:v>
      </x:c>
      <x:c r="N220" s="45" t="str">
        <x:v>Sí</x:v>
      </x:c>
      <x:c r="O220" s="45" t="str">
        <x:v>Daniel Flores Maldonado</x:v>
      </x:c>
      <x:c r="P220" s="45" t="str">
        <x:v>Ops y Directorio Alsea · octubre 2026</x:v>
      </x:c>
      <x:c r="Q220" s="45" t="str">
        <x:v>Puntos proporcionados</x:v>
      </x:c>
      <x:c r="R220" s="45" t="str">
        <x:v>Abierta</x:v>
      </x:c>
      <x:c r="S220" s="45" t="str"/>
      <x:c r="T220" s="45" t="n">
        <x:f>IF(AND(E220="Abierta",N220="Sí",ISNUMBER(I220),ISNUMBER(J220),ABS(I220)&lt;=90,ABS(J220)&lt;=180),1,0)</x:f>
        <x:v>1</x:v>
      </x:c>
    </x:row>
    <x:row r="221" ht="23" customHeight="1">
      <x:c r="A221" s="45" t="str">
        <x:v>Centro Poniente</x:v>
      </x:c>
      <x:c r="B221" s="45" t="str">
        <x:v>Daniel Flores Maldonado</x:v>
      </x:c>
      <x:c r="C221" s="50" t="str">
        <x:v>38668</x:v>
      </x:c>
      <x:c r="D221" s="45" t="str">
        <x:v>Pabellon Metepec</x:v>
      </x:c>
      <x:c r="E221" s="45" t="str">
        <x:v>Abierta</x:v>
      </x:c>
      <x:c r="F221" s="51" t="d">
        <x:v>2016-09-12T00:00:00.000Z</x:v>
      </x:c>
      <x:c r="G221" s="45" t="str">
        <x:v>Metepec</x:v>
      </x:c>
      <x:c r="H221" s="45" t="str">
        <x:v>Estado De México</x:v>
      </x:c>
      <x:c r="I221" s="52" t="n">
        <x:v>19.260263</x:v>
      </x:c>
      <x:c r="J221" s="52" t="n">
        <x:v>-99.629037</x:v>
      </x:c>
      <x:c r="K221" s="45" t="str">
        <x:v>Cafe</x:v>
      </x:c>
      <x:c r="L221" s="45" t="str">
        <x:v>Retail</x:v>
      </x:c>
      <x:c r="M221" s="45" t="str">
        <x:v>C1</x:v>
      </x:c>
      <x:c r="N221" s="45" t="str">
        <x:v>Sí</x:v>
      </x:c>
      <x:c r="O221" s="45" t="str">
        <x:v>Daniel Flores Maldonado</x:v>
      </x:c>
      <x:c r="P221" s="45" t="str">
        <x:v>Ops y Directorio Alsea · octubre 2026</x:v>
      </x:c>
      <x:c r="Q221" s="45" t="str">
        <x:v>Puntos proporcionados</x:v>
      </x:c>
      <x:c r="R221" s="45" t="str">
        <x:v>Abierta</x:v>
      </x:c>
      <x:c r="S221" s="45" t="str"/>
      <x:c r="T221" s="45" t="n">
        <x:f>IF(AND(E221="Abierta",N221="Sí",ISNUMBER(I221),ISNUMBER(J221),ABS(I221)&lt;=90,ABS(J221)&lt;=180),1,0)</x:f>
        <x:v>1</x:v>
      </x:c>
    </x:row>
    <x:row r="222" ht="23" customHeight="1">
      <x:c r="A222" s="45" t="str">
        <x:v>Centro Poniente</x:v>
      </x:c>
      <x:c r="B222" s="45" t="str">
        <x:v>Daniel Flores Maldonado</x:v>
      </x:c>
      <x:c r="C222" s="50" t="str">
        <x:v>38841</x:v>
      </x:c>
      <x:c r="D222" s="45" t="str">
        <x:v>Townsquare Metepec</x:v>
      </x:c>
      <x:c r="E222" s="45" t="str">
        <x:v>Abierta</x:v>
      </x:c>
      <x:c r="F222" s="51" t="d">
        <x:v>2018-11-08T00:00:00.000Z</x:v>
      </x:c>
      <x:c r="G222" s="45" t="str">
        <x:v>Metepec</x:v>
      </x:c>
      <x:c r="H222" s="45" t="str">
        <x:v>Estado De México</x:v>
      </x:c>
      <x:c r="I222" s="52" t="n">
        <x:v>19.267225</x:v>
      </x:c>
      <x:c r="J222" s="52" t="n">
        <x:v>-99.606012</x:v>
      </x:c>
      <x:c r="K222" s="45" t="str">
        <x:v>Cafe</x:v>
      </x:c>
      <x:c r="L222" s="45" t="str">
        <x:v>Retail</x:v>
      </x:c>
      <x:c r="M222" s="45" t="str">
        <x:v>C1</x:v>
      </x:c>
      <x:c r="N222" s="45" t="str">
        <x:v>Sí</x:v>
      </x:c>
      <x:c r="O222" s="45" t="str">
        <x:v>Daniel Flores Maldonado</x:v>
      </x:c>
      <x:c r="P222" s="45" t="str">
        <x:v>Ops y Directorio Alsea · octubre 2026</x:v>
      </x:c>
      <x:c r="Q222" s="45" t="str">
        <x:v>Puntos proporcionados</x:v>
      </x:c>
      <x:c r="R222" s="45" t="str">
        <x:v>Abierta</x:v>
      </x:c>
      <x:c r="S222" s="45" t="str"/>
      <x:c r="T222" s="45" t="n">
        <x:f>IF(AND(E222="Abierta",N222="Sí",ISNUMBER(I222),ISNUMBER(J222),ABS(I222)&lt;=90,ABS(J222)&lt;=180),1,0)</x:f>
        <x:v>1</x:v>
      </x:c>
    </x:row>
    <x:row r="223" ht="23" customHeight="1">
      <x:c r="A223" s="45" t="str">
        <x:v>Centro Poniente</x:v>
      </x:c>
      <x:c r="B223" s="45" t="str">
        <x:v>Daniel Flores Maldonado</x:v>
      </x:c>
      <x:c r="C223" s="50" t="str">
        <x:v>38896</x:v>
      </x:c>
      <x:c r="D223" s="45" t="str">
        <x:v>Paseo Tollocan DT</x:v>
      </x:c>
      <x:c r="E223" s="45" t="str">
        <x:v>Abierta</x:v>
      </x:c>
      <x:c r="F223" s="51" t="d">
        <x:v>2021-10-04T00:00:00.000Z</x:v>
      </x:c>
      <x:c r="G223" s="45" t="str">
        <x:v>Toluca</x:v>
      </x:c>
      <x:c r="H223" s="45" t="str">
        <x:v>Estado De México</x:v>
      </x:c>
      <x:c r="I223" s="52" t="n">
        <x:v>19.2874252</x:v>
      </x:c>
      <x:c r="J223" s="52" t="n">
        <x:v>-99.6277542</x:v>
      </x:c>
      <x:c r="K223" s="45" t="str">
        <x:v>Drive_Thru</x:v>
      </x:c>
      <x:c r="L223" s="45" t="str">
        <x:v>Transfers</x:v>
      </x:c>
      <x:c r="M223" s="45" t="str">
        <x:v>C1</x:v>
      </x:c>
      <x:c r="N223" s="45" t="str">
        <x:v>Sí</x:v>
      </x:c>
      <x:c r="O223" s="45" t="str">
        <x:v>Daniel Flores Maldonado</x:v>
      </x:c>
      <x:c r="P223" s="45" t="str">
        <x:v>Ops y Directorio Alsea · octubre 2026</x:v>
      </x:c>
      <x:c r="Q223" s="45" t="str">
        <x:v>Puntos proporcionados</x:v>
      </x:c>
      <x:c r="R223" s="45" t="str">
        <x:v>Abierta</x:v>
      </x:c>
      <x:c r="S223" s="45" t="str"/>
      <x:c r="T223" s="45" t="n">
        <x:f>IF(AND(E223="Abierta",N223="Sí",ISNUMBER(I223),ISNUMBER(J223),ABS(I223)&lt;=90,ABS(J223)&lt;=180),1,0)</x:f>
        <x:v>1</x:v>
      </x:c>
    </x:row>
    <x:row r="224" ht="23" customHeight="1">
      <x:c r="A224" s="45" t="str">
        <x:v>Centro Poniente</x:v>
      </x:c>
      <x:c r="B224" s="45" t="str">
        <x:v>Daniel Flores Maldonado</x:v>
      </x:c>
      <x:c r="C224" s="50" t="str">
        <x:v>38957</x:v>
      </x:c>
      <x:c r="D224" s="45" t="str">
        <x:v>Avándaro</x:v>
      </x:c>
      <x:c r="E224" s="45" t="str">
        <x:v>Abierta</x:v>
      </x:c>
      <x:c r="F224" s="51" t="d">
        <x:v>2023-06-02T00:00:00.000Z</x:v>
      </x:c>
      <x:c r="G224" s="45" t="str">
        <x:v>Valle De Bravo</x:v>
      </x:c>
      <x:c r="H224" s="45" t="str">
        <x:v>Estado De México</x:v>
      </x:c>
      <x:c r="I224" s="52" t="n">
        <x:v>19.165101</x:v>
      </x:c>
      <x:c r="J224" s="52" t="n">
        <x:v>-100.1252556</x:v>
      </x:c>
      <x:c r="K224" s="45" t="str">
        <x:v>Cafe</x:v>
      </x:c>
      <x:c r="L224" s="45" t="str">
        <x:v>Tourism_and_Entertainment</x:v>
      </x:c>
      <x:c r="M224" s="45" t="str">
        <x:v>C2</x:v>
      </x:c>
      <x:c r="N224" s="45" t="str">
        <x:v>Sí</x:v>
      </x:c>
      <x:c r="O224" s="45" t="str">
        <x:v>Daniel Flores Maldonado</x:v>
      </x:c>
      <x:c r="P224" s="45" t="str">
        <x:v>Ops y Directorio Alsea · octubre 2026</x:v>
      </x:c>
      <x:c r="Q224" s="45" t="str">
        <x:v>Puntos proporcionados</x:v>
      </x:c>
      <x:c r="R224" s="45" t="str">
        <x:v>Abierta</x:v>
      </x:c>
      <x:c r="S224" s="45" t="str"/>
      <x:c r="T224" s="45" t="n">
        <x:f>IF(AND(E224="Abierta",N224="Sí",ISNUMBER(I224),ISNUMBER(J224),ABS(I224)&lt;=90,ABS(J224)&lt;=180),1,0)</x:f>
        <x:v>1</x:v>
      </x:c>
    </x:row>
    <x:row r="225" ht="23" customHeight="1">
      <x:c r="A225" s="45" t="str">
        <x:v>Centro Poniente</x:v>
      </x:c>
      <x:c r="B225" s="45" t="str">
        <x:v>Daniel Flores Maldonado</x:v>
      </x:c>
      <x:c r="C225" s="50" t="str">
        <x:v>38987</x:v>
      </x:c>
      <x:c r="D225" s="45" t="str">
        <x:v>Punta Zero Calimaya DT</x:v>
      </x:c>
      <x:c r="E225" s="45" t="str">
        <x:v>Abierta</x:v>
      </x:c>
      <x:c r="F225" s="51" t="d">
        <x:v>2023-12-30T00:00:00.000Z</x:v>
      </x:c>
      <x:c r="G225" s="45" t="str">
        <x:v>Calimaya</x:v>
      </x:c>
      <x:c r="H225" s="45" t="str">
        <x:v>Estado De México</x:v>
      </x:c>
      <x:c r="I225" s="52" t="n">
        <x:v>19.1820711</x:v>
      </x:c>
      <x:c r="J225" s="52" t="n">
        <x:v>-99.5885179</x:v>
      </x:c>
      <x:c r="K225" s="45" t="str">
        <x:v>Drive_Thru</x:v>
      </x:c>
      <x:c r="L225" s="45" t="str">
        <x:v>Neighborhood</x:v>
      </x:c>
      <x:c r="M225" s="45" t="str">
        <x:v>C1</x:v>
      </x:c>
      <x:c r="N225" s="45" t="str">
        <x:v>Sí</x:v>
      </x:c>
      <x:c r="O225" s="45" t="str">
        <x:v>Daniel Flores Maldonado</x:v>
      </x:c>
      <x:c r="P225" s="45" t="str">
        <x:v>Ops y Directorio Alsea · octubre 2026</x:v>
      </x:c>
      <x:c r="Q225" s="45" t="str">
        <x:v>Puntos proporcionados</x:v>
      </x:c>
      <x:c r="R225" s="45" t="str">
        <x:v>Abierta</x:v>
      </x:c>
      <x:c r="S225" s="45" t="str"/>
      <x:c r="T225" s="45" t="n">
        <x:f>IF(AND(E225="Abierta",N225="Sí",ISNUMBER(I225),ISNUMBER(J225),ABS(I225)&lt;=90,ABS(J225)&lt;=180),1,0)</x:f>
        <x:v>1</x:v>
      </x:c>
    </x:row>
    <x:row r="226" ht="23" customHeight="1">
      <x:c r="A226" s="45" t="str">
        <x:v>Centro Poniente</x:v>
      </x:c>
      <x:c r="B226" s="45" t="str">
        <x:v>Daniel Flores Maldonado</x:v>
      </x:c>
      <x:c r="C226" s="50" t="str">
        <x:v>43059</x:v>
      </x:c>
      <x:c r="D226" s="45" t="str">
        <x:v>La Providencia DT</x:v>
      </x:c>
      <x:c r="E226" s="45" t="str">
        <x:v>Abierta</x:v>
      </x:c>
      <x:c r="F226" s="51" t="d">
        <x:v>2025-03-11T00:00:00.000Z</x:v>
      </x:c>
      <x:c r="G226" s="45" t="str">
        <x:v>Metepec</x:v>
      </x:c>
      <x:c r="H226" s="45" t="str">
        <x:v>Estado De México</x:v>
      </x:c>
      <x:c r="I226" s="52" t="n">
        <x:v>19.2759356</x:v>
      </x:c>
      <x:c r="J226" s="52" t="n">
        <x:v>-99.6006707</x:v>
      </x:c>
      <x:c r="K226" s="45" t="str">
        <x:v>Drive_Thru</x:v>
      </x:c>
      <x:c r="L226" s="45" t="str">
        <x:v>Transfers</x:v>
      </x:c>
      <x:c r="M226" s="45" t="str">
        <x:v>C1</x:v>
      </x:c>
      <x:c r="N226" s="45" t="str">
        <x:v>Sí</x:v>
      </x:c>
      <x:c r="O226" s="45" t="str">
        <x:v>Daniel Flores Maldonado</x:v>
      </x:c>
      <x:c r="P226" s="45" t="str">
        <x:v>Ops y Directorio Alsea · octubre 2026</x:v>
      </x:c>
      <x:c r="Q226" s="45" t="str">
        <x:v>Puntos proporcionados</x:v>
      </x:c>
      <x:c r="R226" s="45" t="str">
        <x:v>Abierta</x:v>
      </x:c>
      <x:c r="S226" s="45" t="str"/>
      <x:c r="T226" s="45" t="n">
        <x:f>IF(AND(E226="Abierta",N226="Sí",ISNUMBER(I226),ISNUMBER(J226),ABS(I226)&lt;=90,ABS(J226)&lt;=180),1,0)</x:f>
        <x:v>1</x:v>
      </x:c>
    </x:row>
    <x:row r="227" ht="23" customHeight="1">
      <x:c r="A227" s="45" t="str">
        <x:v>Centro Poniente</x:v>
      </x:c>
      <x:c r="B227" s="45" t="str">
        <x:v>Daniel Flores Maldonado</x:v>
      </x:c>
      <x:c r="C227" s="50" t="str">
        <x:v>43068</x:v>
      </x:c>
      <x:c r="D227" s="45" t="str">
        <x:v>Galerias Metepec II</x:v>
      </x:c>
      <x:c r="E227" s="45" t="str">
        <x:v>Abierta</x:v>
      </x:c>
      <x:c r="F227" s="51" t="d">
        <x:v>2025-08-04T00:00:00.000Z</x:v>
      </x:c>
      <x:c r="G227" s="45" t="str">
        <x:v>Metepec</x:v>
      </x:c>
      <x:c r="H227" s="45" t="str">
        <x:v>Estado De México</x:v>
      </x:c>
      <x:c r="I227" s="52" t="n">
        <x:v>19.255922</x:v>
      </x:c>
      <x:c r="J227" s="52" t="n">
        <x:v>-99.616087</x:v>
      </x:c>
      <x:c r="K227" s="45" t="str">
        <x:v>Cafe</x:v>
      </x:c>
      <x:c r="L227" s="45" t="str">
        <x:v>Retail</x:v>
      </x:c>
      <x:c r="M227" s="45" t="str">
        <x:v>C1</x:v>
      </x:c>
      <x:c r="N227" s="45" t="str">
        <x:v>Sí</x:v>
      </x:c>
      <x:c r="O227" s="45" t="str">
        <x:v>Daniel Flores Maldonado</x:v>
      </x:c>
      <x:c r="P227" s="45" t="str">
        <x:v>Ops y Directorio Alsea · octubre 2026</x:v>
      </x:c>
      <x:c r="Q227" s="45" t="str">
        <x:v>Puntos proporcionados</x:v>
      </x:c>
      <x:c r="R227" s="45" t="str">
        <x:v>Abierta</x:v>
      </x:c>
      <x:c r="S227" s="45" t="str"/>
      <x:c r="T227" s="45" t="n">
        <x:f>IF(AND(E227="Abierta",N227="Sí",ISNUMBER(I227),ISNUMBER(J227),ABS(I227)&lt;=90,ABS(J227)&lt;=180),1,0)</x:f>
        <x:v>1</x:v>
      </x:c>
    </x:row>
    <x:row r="228" ht="23" customHeight="1">
      <x:c r="A228" s="45" t="str">
        <x:v>Centro Poniente</x:v>
      </x:c>
      <x:c r="B228" s="45" t="str">
        <x:v>Erika Julieta Contreras Aguilar</x:v>
      </x:c>
      <x:c r="C228" s="50" t="str">
        <x:v>38122</x:v>
      </x:c>
      <x:c r="D228" s="45" t="str">
        <x:v>Santa Fe</x:v>
      </x:c>
      <x:c r="E228" s="45" t="str">
        <x:v>Abierta</x:v>
      </x:c>
      <x:c r="F228" s="51" t="d">
        <x:v>2003-12-18T00:00:00.000Z</x:v>
      </x:c>
      <x:c r="G228" s="45" t="str">
        <x:v>Álvaro Obregón</x:v>
      </x:c>
      <x:c r="H228" s="45" t="str">
        <x:v>Ciudad De México</x:v>
      </x:c>
      <x:c r="I228" s="52" t="n">
        <x:v>19.3681</x:v>
      </x:c>
      <x:c r="J228" s="52" t="n">
        <x:v>-99.262773</x:v>
      </x:c>
      <x:c r="K228" s="45" t="str">
        <x:v>Cafe</x:v>
      </x:c>
      <x:c r="L228" s="45" t="str">
        <x:v>Office_Complex</x:v>
      </x:c>
      <x:c r="M228" s="45" t="str">
        <x:v>C1</x:v>
      </x:c>
      <x:c r="N228" s="45" t="str">
        <x:v>Sí</x:v>
      </x:c>
      <x:c r="O228" s="45" t="str">
        <x:v>Erika Julieta Contreras Aguilar</x:v>
      </x:c>
      <x:c r="P228" s="45" t="str">
        <x:v>Ops y Directorio Alsea · octubre 2026</x:v>
      </x:c>
      <x:c r="Q228" s="45" t="str">
        <x:v>Puntos proporcionados</x:v>
      </x:c>
      <x:c r="R228" s="45" t="str">
        <x:v>Abierta</x:v>
      </x:c>
      <x:c r="S228" s="45" t="str"/>
      <x:c r="T228" s="45" t="n">
        <x:f>IF(AND(E228="Abierta",N228="Sí",ISNUMBER(I228),ISNUMBER(J228),ABS(I228)&lt;=90,ABS(J228)&lt;=180),1,0)</x:f>
        <x:v>1</x:v>
      </x:c>
    </x:row>
    <x:row r="229" ht="23" customHeight="1">
      <x:c r="A229" s="45" t="str">
        <x:v>Centro Poniente</x:v>
      </x:c>
      <x:c r="B229" s="45" t="str">
        <x:v>Erika Julieta Contreras Aguilar</x:v>
      </x:c>
      <x:c r="C229" s="50" t="str">
        <x:v>38148</x:v>
      </x:c>
      <x:c r="D229" s="45" t="str">
        <x:v>Centro Comercial Santa Fe 1</x:v>
      </x:c>
      <x:c r="E229" s="45" t="str">
        <x:v>Abierta</x:v>
      </x:c>
      <x:c r="F229" s="51" t="d">
        <x:v>2005-03-24T00:00:00.000Z</x:v>
      </x:c>
      <x:c r="G229" s="45" t="str">
        <x:v>Cuajimalpa</x:v>
      </x:c>
      <x:c r="H229" s="45" t="str">
        <x:v>Ciudad De México</x:v>
      </x:c>
      <x:c r="I229" s="52" t="n">
        <x:v>19.3608928</x:v>
      </x:c>
      <x:c r="J229" s="52" t="n">
        <x:v>-99.2744669</x:v>
      </x:c>
      <x:c r="K229" s="45" t="str">
        <x:v>Cafe</x:v>
      </x:c>
      <x:c r="L229" s="45" t="str">
        <x:v>Retail</x:v>
      </x:c>
      <x:c r="M229" s="45" t="str">
        <x:v>C2</x:v>
      </x:c>
      <x:c r="N229" s="45" t="str">
        <x:v>Sí</x:v>
      </x:c>
      <x:c r="O229" s="45" t="str">
        <x:v>Erika Julieta Contreras Aguilar</x:v>
      </x:c>
      <x:c r="P229" s="45" t="str">
        <x:v>Ops y Directorio Alsea · octubre 2026</x:v>
      </x:c>
      <x:c r="Q229" s="45" t="str">
        <x:v>Puntos proporcionados</x:v>
      </x:c>
      <x:c r="R229" s="45" t="str">
        <x:v>Abierta</x:v>
      </x:c>
      <x:c r="S229" s="45" t="str"/>
      <x:c r="T229" s="45" t="n">
        <x:f>IF(AND(E229="Abierta",N229="Sí",ISNUMBER(I229),ISNUMBER(J229),ABS(I229)&lt;=90,ABS(J229)&lt;=180),1,0)</x:f>
        <x:v>1</x:v>
      </x:c>
    </x:row>
    <x:row r="230" ht="23" customHeight="1">
      <x:c r="A230" s="45" t="str">
        <x:v>Centro Poniente</x:v>
      </x:c>
      <x:c r="B230" s="45" t="str">
        <x:v>Erika Julieta Contreras Aguilar</x:v>
      </x:c>
      <x:c r="C230" s="50" t="str">
        <x:v>38150</x:v>
      </x:c>
      <x:c r="D230" s="45" t="str">
        <x:v>Santa Fe 2</x:v>
      </x:c>
      <x:c r="E230" s="45" t="str">
        <x:v>Abierta</x:v>
      </x:c>
      <x:c r="F230" s="51" t="d">
        <x:v>2005-03-31T00:00:00.000Z</x:v>
      </x:c>
      <x:c r="G230" s="45" t="str">
        <x:v>Álvaro Obregón</x:v>
      </x:c>
      <x:c r="H230" s="45" t="str">
        <x:v>Ciudad De México</x:v>
      </x:c>
      <x:c r="I230" s="52" t="n">
        <x:v>19.365034</x:v>
      </x:c>
      <x:c r="J230" s="52" t="n">
        <x:v>-99.265131</x:v>
      </x:c>
      <x:c r="K230" s="45" t="str">
        <x:v>Cafe</x:v>
      </x:c>
      <x:c r="L230" s="45" t="str">
        <x:v>Retail</x:v>
      </x:c>
      <x:c r="M230" s="45" t="str">
        <x:v>C1</x:v>
      </x:c>
      <x:c r="N230" s="45" t="str">
        <x:v>Sí</x:v>
      </x:c>
      <x:c r="O230" s="45" t="str">
        <x:v>Erika Julieta Contreras Aguilar</x:v>
      </x:c>
      <x:c r="P230" s="45" t="str">
        <x:v>Ops y Directorio Alsea · octubre 2026</x:v>
      </x:c>
      <x:c r="Q230" s="45" t="str">
        <x:v>Puntos proporcionados</x:v>
      </x:c>
      <x:c r="R230" s="45" t="str">
        <x:v>Abierta</x:v>
      </x:c>
      <x:c r="S230" s="45" t="str"/>
      <x:c r="T230" s="45" t="n">
        <x:f>IF(AND(E230="Abierta",N230="Sí",ISNUMBER(I230),ISNUMBER(J230),ABS(I230)&lt;=90,ABS(J230)&lt;=180),1,0)</x:f>
        <x:v>1</x:v>
      </x:c>
    </x:row>
    <x:row r="231" ht="23" customHeight="1">
      <x:c r="A231" s="45" t="str">
        <x:v>Centro Poniente</x:v>
      </x:c>
      <x:c r="B231" s="45" t="str">
        <x:v>Erika Julieta Contreras Aguilar</x:v>
      </x:c>
      <x:c r="C231" s="50" t="str">
        <x:v>38189</x:v>
      </x:c>
      <x:c r="D231" s="45" t="str">
        <x:v>Santa Fe Imax</x:v>
      </x:c>
      <x:c r="E231" s="45" t="str">
        <x:v>Abierta</x:v>
      </x:c>
      <x:c r="F231" s="51" t="d">
        <x:v>2006-06-23T00:00:00.000Z</x:v>
      </x:c>
      <x:c r="G231" s="45" t="str">
        <x:v>Cuajimalpa</x:v>
      </x:c>
      <x:c r="H231" s="45" t="str">
        <x:v>Ciudad De México</x:v>
      </x:c>
      <x:c r="I231" s="52" t="n">
        <x:v>19.3592675</x:v>
      </x:c>
      <x:c r="J231" s="52" t="n">
        <x:v>-99.2747089</x:v>
      </x:c>
      <x:c r="K231" s="45" t="str">
        <x:v>Cafe</x:v>
      </x:c>
      <x:c r="L231" s="45" t="str">
        <x:v>Retail</x:v>
      </x:c>
      <x:c r="M231" s="45" t="str">
        <x:v>C2</x:v>
      </x:c>
      <x:c r="N231" s="45" t="str">
        <x:v>Sí</x:v>
      </x:c>
      <x:c r="O231" s="45" t="str">
        <x:v>Erika Julieta Contreras Aguilar</x:v>
      </x:c>
      <x:c r="P231" s="45" t="str">
        <x:v>Ops y Directorio Alsea · octubre 2026</x:v>
      </x:c>
      <x:c r="Q231" s="45" t="str">
        <x:v>Puntos proporcionados</x:v>
      </x:c>
      <x:c r="R231" s="45" t="str">
        <x:v>Abierta</x:v>
      </x:c>
      <x:c r="S231" s="45" t="str"/>
      <x:c r="T231" s="45" t="n">
        <x:f>IF(AND(E231="Abierta",N231="Sí",ISNUMBER(I231),ISNUMBER(J231),ABS(I231)&lt;=90,ABS(J231)&lt;=180),1,0)</x:f>
        <x:v>1</x:v>
      </x:c>
    </x:row>
    <x:row r="232" ht="23" customHeight="1">
      <x:c r="A232" s="45" t="str">
        <x:v>Centro Poniente</x:v>
      </x:c>
      <x:c r="B232" s="45" t="str">
        <x:v>Erika Julieta Contreras Aguilar</x:v>
      </x:c>
      <x:c r="C232" s="50" t="str">
        <x:v>38225</x:v>
      </x:c>
      <x:c r="D232" s="45" t="str">
        <x:v>Centro Comercial Santa Fe 2</x:v>
      </x:c>
      <x:c r="E232" s="45" t="str">
        <x:v>Abierta</x:v>
      </x:c>
      <x:c r="F232" s="51" t="d">
        <x:v>2007-03-31T00:00:00.000Z</x:v>
      </x:c>
      <x:c r="G232" s="45" t="str">
        <x:v>Cuajimalpa</x:v>
      </x:c>
      <x:c r="H232" s="45" t="str">
        <x:v>Ciudad De México</x:v>
      </x:c>
      <x:c r="I232" s="52" t="n">
        <x:v>19.3621797</x:v>
      </x:c>
      <x:c r="J232" s="52" t="n">
        <x:v>-99.2714809</x:v>
      </x:c>
      <x:c r="K232" s="45" t="str">
        <x:v>Cafe</x:v>
      </x:c>
      <x:c r="L232" s="45" t="str">
        <x:v>Retail</x:v>
      </x:c>
      <x:c r="M232" s="45" t="str">
        <x:v>C2</x:v>
      </x:c>
      <x:c r="N232" s="45" t="str">
        <x:v>Sí</x:v>
      </x:c>
      <x:c r="O232" s="45" t="str">
        <x:v>Erika Julieta Contreras Aguilar</x:v>
      </x:c>
      <x:c r="P232" s="45" t="str">
        <x:v>Ops y Directorio Alsea · octubre 2026</x:v>
      </x:c>
      <x:c r="Q232" s="45" t="str">
        <x:v>Puntos proporcionados</x:v>
      </x:c>
      <x:c r="R232" s="45" t="str">
        <x:v>Abierta</x:v>
      </x:c>
      <x:c r="S232" s="45" t="str"/>
      <x:c r="T232" s="45" t="n">
        <x:f>IF(AND(E232="Abierta",N232="Sí",ISNUMBER(I232),ISNUMBER(J232),ABS(I232)&lt;=90,ABS(J232)&lt;=180),1,0)</x:f>
        <x:v>1</x:v>
      </x:c>
    </x:row>
    <x:row r="233" ht="23" customHeight="1">
      <x:c r="A233" s="45" t="str">
        <x:v>Centro Poniente</x:v>
      </x:c>
      <x:c r="B233" s="45" t="str">
        <x:v>Erika Julieta Contreras Aguilar</x:v>
      </x:c>
      <x:c r="C233" s="50" t="str">
        <x:v>38361</x:v>
      </x:c>
      <x:c r="D233" s="45" t="str">
        <x:v>Castorena</x:v>
      </x:c>
      <x:c r="E233" s="45" t="str">
        <x:v>Abierta</x:v>
      </x:c>
      <x:c r="F233" s="51" t="d">
        <x:v>2009-02-20T00:00:00.000Z</x:v>
      </x:c>
      <x:c r="G233" s="45" t="str">
        <x:v>Cuajimalpa</x:v>
      </x:c>
      <x:c r="H233" s="45" t="str">
        <x:v>Ciudad De México</x:v>
      </x:c>
      <x:c r="I233" s="52" t="n">
        <x:v>19.3606</x:v>
      </x:c>
      <x:c r="J233" s="52" t="n">
        <x:v>-99.291772</x:v>
      </x:c>
      <x:c r="K233" s="45" t="str">
        <x:v>Cafe</x:v>
      </x:c>
      <x:c r="L233" s="45" t="str">
        <x:v>Neighborhood</x:v>
      </x:c>
      <x:c r="M233" s="45" t="str">
        <x:v>C1</x:v>
      </x:c>
      <x:c r="N233" s="45" t="str">
        <x:v>Sí</x:v>
      </x:c>
      <x:c r="O233" s="45" t="str">
        <x:v>Erika Julieta Contreras Aguilar</x:v>
      </x:c>
      <x:c r="P233" s="45" t="str">
        <x:v>Ops y Directorio Alsea · octubre 2026</x:v>
      </x:c>
      <x:c r="Q233" s="45" t="str">
        <x:v>Puntos proporcionados</x:v>
      </x:c>
      <x:c r="R233" s="45" t="str">
        <x:v>Abierta</x:v>
      </x:c>
      <x:c r="S233" s="45" t="str"/>
      <x:c r="T233" s="45" t="n">
        <x:f>IF(AND(E233="Abierta",N233="Sí",ISNUMBER(I233),ISNUMBER(J233),ABS(I233)&lt;=90,ABS(J233)&lt;=180),1,0)</x:f>
        <x:v>1</x:v>
      </x:c>
    </x:row>
    <x:row r="234" ht="23" customHeight="1">
      <x:c r="A234" s="45" t="str">
        <x:v>Centro Poniente</x:v>
      </x:c>
      <x:c r="B234" s="45" t="str">
        <x:v>Erika Julieta Contreras Aguilar</x:v>
      </x:c>
      <x:c r="C234" s="50" t="str">
        <x:v>38414</x:v>
      </x:c>
      <x:c r="D234" s="45" t="str">
        <x:v>Park Plaza</x:v>
      </x:c>
      <x:c r="E234" s="45" t="str">
        <x:v>Abierta</x:v>
      </x:c>
      <x:c r="F234" s="51" t="d">
        <x:v>2011-05-02T00:00:00.000Z</x:v>
      </x:c>
      <x:c r="G234" s="45" t="str">
        <x:v>Álvaro Obregón</x:v>
      </x:c>
      <x:c r="H234" s="45" t="str">
        <x:v>Ciudad De México</x:v>
      </x:c>
      <x:c r="I234" s="52" t="n">
        <x:v>19.3651892</x:v>
      </x:c>
      <x:c r="J234" s="52" t="n">
        <x:v>-99.2593605</x:v>
      </x:c>
      <x:c r="K234" s="45" t="str">
        <x:v>Cafe</x:v>
      </x:c>
      <x:c r="L234" s="45" t="str">
        <x:v>Office_Complex</x:v>
      </x:c>
      <x:c r="M234" s="45" t="str">
        <x:v>C1</x:v>
      </x:c>
      <x:c r="N234" s="45" t="str">
        <x:v>Sí</x:v>
      </x:c>
      <x:c r="O234" s="45" t="str">
        <x:v>Erika Julieta Contreras Aguilar</x:v>
      </x:c>
      <x:c r="P234" s="45" t="str">
        <x:v>Ops y Directorio Alsea · octubre 2026</x:v>
      </x:c>
      <x:c r="Q234" s="45" t="str">
        <x:v>Puntos proporcionados</x:v>
      </x:c>
      <x:c r="R234" s="45" t="str">
        <x:v>Abierta</x:v>
      </x:c>
      <x:c r="S234" s="45" t="str"/>
      <x:c r="T234" s="45" t="n">
        <x:f>IF(AND(E234="Abierta",N234="Sí",ISNUMBER(I234),ISNUMBER(J234),ABS(I234)&lt;=90,ABS(J234)&lt;=180),1,0)</x:f>
        <x:v>1</x:v>
      </x:c>
    </x:row>
    <x:row r="235" ht="23" customHeight="1">
      <x:c r="A235" s="45" t="str">
        <x:v>Centro Poniente</x:v>
      </x:c>
      <x:c r="B235" s="45" t="str">
        <x:v>Erika Julieta Contreras Aguilar</x:v>
      </x:c>
      <x:c r="C235" s="50" t="str">
        <x:v>38438</x:v>
      </x:c>
      <x:c r="D235" s="45" t="str">
        <x:v>City Walk</x:v>
      </x:c>
      <x:c r="E235" s="45" t="str">
        <x:v>Abierta</x:v>
      </x:c>
      <x:c r="F235" s="51" t="d">
        <x:v>2011-12-13T00:00:00.000Z</x:v>
      </x:c>
      <x:c r="G235" s="45" t="str">
        <x:v>Cuajimalpa</x:v>
      </x:c>
      <x:c r="H235" s="45" t="str">
        <x:v>Ciudad De México</x:v>
      </x:c>
      <x:c r="I235" s="52" t="n">
        <x:v>19.3592865</x:v>
      </x:c>
      <x:c r="J235" s="52" t="n">
        <x:v>-99.2704603</x:v>
      </x:c>
      <x:c r="K235" s="45" t="str">
        <x:v>Cafe</x:v>
      </x:c>
      <x:c r="L235" s="45" t="str">
        <x:v>Neighborhood</x:v>
      </x:c>
      <x:c r="M235" s="45" t="str">
        <x:v>C1</x:v>
      </x:c>
      <x:c r="N235" s="45" t="str">
        <x:v>Sí</x:v>
      </x:c>
      <x:c r="O235" s="45" t="str">
        <x:v>Erika Julieta Contreras Aguilar</x:v>
      </x:c>
      <x:c r="P235" s="45" t="str">
        <x:v>Ops y Directorio Alsea · octubre 2026</x:v>
      </x:c>
      <x:c r="Q235" s="45" t="str">
        <x:v>Puntos proporcionados</x:v>
      </x:c>
      <x:c r="R235" s="45" t="str">
        <x:v>Abierta</x:v>
      </x:c>
      <x:c r="S235" s="45" t="str"/>
      <x:c r="T235" s="45" t="n">
        <x:f>IF(AND(E235="Abierta",N235="Sí",ISNUMBER(I235),ISNUMBER(J235),ABS(I235)&lt;=90,ABS(J235)&lt;=180),1,0)</x:f>
        <x:v>1</x:v>
      </x:c>
    </x:row>
    <x:row r="236" ht="23" customHeight="1">
      <x:c r="A236" s="45" t="str">
        <x:v>Centro Poniente</x:v>
      </x:c>
      <x:c r="B236" s="45" t="str">
        <x:v>Erika Julieta Contreras Aguilar</x:v>
      </x:c>
      <x:c r="C236" s="50" t="str">
        <x:v>38508</x:v>
      </x:c>
      <x:c r="D236" s="45" t="str">
        <x:v>Ampliacion Santa Fe</x:v>
      </x:c>
      <x:c r="E236" s="45" t="str">
        <x:v>Abierta</x:v>
      </x:c>
      <x:c r="F236" s="51" t="d">
        <x:v>2013-09-20T00:00:00.000Z</x:v>
      </x:c>
      <x:c r="G236" s="45" t="str">
        <x:v>Cuajimalpa</x:v>
      </x:c>
      <x:c r="H236" s="45" t="str">
        <x:v>Ciudad De México</x:v>
      </x:c>
      <x:c r="I236" s="52" t="n">
        <x:v>19.3608354</x:v>
      </x:c>
      <x:c r="J236" s="52" t="n">
        <x:v>-99.2758465</x:v>
      </x:c>
      <x:c r="K236" s="45" t="str">
        <x:v>Cafe</x:v>
      </x:c>
      <x:c r="L236" s="45" t="str">
        <x:v>Retail</x:v>
      </x:c>
      <x:c r="M236" s="45" t="str">
        <x:v>C2</x:v>
      </x:c>
      <x:c r="N236" s="45" t="str">
        <x:v>Sí</x:v>
      </x:c>
      <x:c r="O236" s="45" t="str">
        <x:v>Erika Julieta Contreras Aguilar</x:v>
      </x:c>
      <x:c r="P236" s="45" t="str">
        <x:v>Ops y Directorio Alsea · octubre 2026</x:v>
      </x:c>
      <x:c r="Q236" s="45" t="str">
        <x:v>Puntos proporcionados</x:v>
      </x:c>
      <x:c r="R236" s="45" t="str">
        <x:v>Abierta</x:v>
      </x:c>
      <x:c r="S236" s="45" t="str"/>
      <x:c r="T236" s="45" t="n">
        <x:f>IF(AND(E236="Abierta",N236="Sí",ISNUMBER(I236),ISNUMBER(J236),ABS(I236)&lt;=90,ABS(J236)&lt;=180),1,0)</x:f>
        <x:v>1</x:v>
      </x:c>
    </x:row>
    <x:row r="237" ht="23" customHeight="1">
      <x:c r="A237" s="45" t="str">
        <x:v>Centro Poniente</x:v>
      </x:c>
      <x:c r="B237" s="45" t="str">
        <x:v>Erika Julieta Contreras Aguilar</x:v>
      </x:c>
      <x:c r="C237" s="50" t="str">
        <x:v>38534</x:v>
      </x:c>
      <x:c r="D237" s="45" t="str">
        <x:v>Patio Santa Fe 1</x:v>
      </x:c>
      <x:c r="E237" s="45" t="str">
        <x:v>Abierta</x:v>
      </x:c>
      <x:c r="F237" s="51" t="d">
        <x:v>2014-05-09T00:00:00.000Z</x:v>
      </x:c>
      <x:c r="G237" s="45" t="str">
        <x:v>Álvaro Obregón</x:v>
      </x:c>
      <x:c r="H237" s="45" t="str">
        <x:v>Ciudad De México</x:v>
      </x:c>
      <x:c r="I237" s="52" t="n">
        <x:v>19.3768427</x:v>
      </x:c>
      <x:c r="J237" s="52" t="n">
        <x:v>-99.2543562</x:v>
      </x:c>
      <x:c r="K237" s="45" t="str">
        <x:v>Cafe</x:v>
      </x:c>
      <x:c r="L237" s="45" t="str">
        <x:v>Retail</x:v>
      </x:c>
      <x:c r="M237" s="45" t="str">
        <x:v>C2</x:v>
      </x:c>
      <x:c r="N237" s="45" t="str">
        <x:v>Sí</x:v>
      </x:c>
      <x:c r="O237" s="45" t="str">
        <x:v>Erika Julieta Contreras Aguilar</x:v>
      </x:c>
      <x:c r="P237" s="45" t="str">
        <x:v>Ops y Directorio Alsea · octubre 2026</x:v>
      </x:c>
      <x:c r="Q237" s="45" t="str">
        <x:v>Puntos proporcionados</x:v>
      </x:c>
      <x:c r="R237" s="45" t="str">
        <x:v>Abierta</x:v>
      </x:c>
      <x:c r="S237" s="45" t="str"/>
      <x:c r="T237" s="45" t="n">
        <x:f>IF(AND(E237="Abierta",N237="Sí",ISNUMBER(I237),ISNUMBER(J237),ABS(I237)&lt;=90,ABS(J237)&lt;=180),1,0)</x:f>
        <x:v>1</x:v>
      </x:c>
    </x:row>
    <x:row r="238" ht="23" customHeight="1">
      <x:c r="A238" s="45" t="str">
        <x:v>Centro Poniente</x:v>
      </x:c>
      <x:c r="B238" s="45" t="str">
        <x:v>Erika Julieta Contreras Aguilar</x:v>
      </x:c>
      <x:c r="C238" s="50" t="str">
        <x:v>38607</x:v>
      </x:c>
      <x:c r="D238" s="45" t="str">
        <x:v>Carretera  Mexico Toluca KM42</x:v>
      </x:c>
      <x:c r="E238" s="45" t="str">
        <x:v>Abierta</x:v>
      </x:c>
      <x:c r="F238" s="51" t="d">
        <x:v>2015-09-15T00:00:00.000Z</x:v>
      </x:c>
      <x:c r="G238" s="45" t="str">
        <x:v>Ocoyoacac</x:v>
      </x:c>
      <x:c r="H238" s="45" t="str">
        <x:v>Estado De México</x:v>
      </x:c>
      <x:c r="I238" s="52" t="n">
        <x:v>19.287764</x:v>
      </x:c>
      <x:c r="J238" s="52" t="n">
        <x:v>-99.445906</x:v>
      </x:c>
      <x:c r="K238" s="45" t="str">
        <x:v>Drive_Thru</x:v>
      </x:c>
      <x:c r="L238" s="45" t="str">
        <x:v>Transfers</x:v>
      </x:c>
      <x:c r="M238" s="45" t="str">
        <x:v>C2</x:v>
      </x:c>
      <x:c r="N238" s="45" t="str">
        <x:v>Sí</x:v>
      </x:c>
      <x:c r="O238" s="45" t="str">
        <x:v>Erika Julieta Contreras Aguilar</x:v>
      </x:c>
      <x:c r="P238" s="45" t="str">
        <x:v>Ops y Directorio Alsea · octubre 2026</x:v>
      </x:c>
      <x:c r="Q238" s="45" t="str">
        <x:v>Puntos proporcionados</x:v>
      </x:c>
      <x:c r="R238" s="45" t="str">
        <x:v>Abierta</x:v>
      </x:c>
      <x:c r="S238" s="45" t="str"/>
      <x:c r="T238" s="45" t="n">
        <x:f>IF(AND(E238="Abierta",N238="Sí",ISNUMBER(I238),ISNUMBER(J238),ABS(I238)&lt;=90,ABS(J238)&lt;=180),1,0)</x:f>
        <x:v>1</x:v>
      </x:c>
    </x:row>
    <x:row r="239" ht="23" customHeight="1">
      <x:c r="A239" s="45" t="str">
        <x:v>Centro Poniente</x:v>
      </x:c>
      <x:c r="B239" s="45" t="str">
        <x:v>Erika Julieta Contreras Aguilar</x:v>
      </x:c>
      <x:c r="C239" s="50" t="str">
        <x:v>38633</x:v>
      </x:c>
      <x:c r="D239" s="45" t="str">
        <x:v>Carretera Toluca Mexico (plaza cedros DT)</x:v>
      </x:c>
      <x:c r="E239" s="45" t="str">
        <x:v>Abierta</x:v>
      </x:c>
      <x:c r="F239" s="51" t="d">
        <x:v>2022-12-21T00:00:00.000Z</x:v>
      </x:c>
      <x:c r="G239" s="45" t="str">
        <x:v>Cuajimalpa</x:v>
      </x:c>
      <x:c r="H239" s="45" t="str">
        <x:v>Ciudad De México</x:v>
      </x:c>
      <x:c r="I239" s="52" t="n">
        <x:v>19.3523228</x:v>
      </x:c>
      <x:c r="J239" s="52" t="n">
        <x:v>-99.2947399</x:v>
      </x:c>
      <x:c r="K239" s="45" t="str">
        <x:v>Drive_Thru</x:v>
      </x:c>
      <x:c r="L239" s="45" t="str">
        <x:v>Transfers</x:v>
      </x:c>
      <x:c r="M239" s="45" t="str">
        <x:v>C1</x:v>
      </x:c>
      <x:c r="N239" s="45" t="str">
        <x:v>Sí</x:v>
      </x:c>
      <x:c r="O239" s="45" t="str">
        <x:v>Erika Julieta Contreras Aguilar</x:v>
      </x:c>
      <x:c r="P239" s="45" t="str">
        <x:v>Ops y Directorio Alsea · octubre 2026</x:v>
      </x:c>
      <x:c r="Q239" s="45" t="str">
        <x:v>Puntos proporcionados</x:v>
      </x:c>
      <x:c r="R239" s="45" t="str">
        <x:v>Abierta</x:v>
      </x:c>
      <x:c r="S239" s="45" t="str"/>
      <x:c r="T239" s="45" t="n">
        <x:f>IF(AND(E239="Abierta",N239="Sí",ISNUMBER(I239),ISNUMBER(J239),ABS(I239)&lt;=90,ABS(J239)&lt;=180),1,0)</x:f>
        <x:v>1</x:v>
      </x:c>
    </x:row>
    <x:row r="240" ht="23" customHeight="1">
      <x:c r="A240" s="45" t="str">
        <x:v>Centro Poniente</x:v>
      </x:c>
      <x:c r="B240" s="45" t="str">
        <x:v>Erika Julieta Contreras Aguilar</x:v>
      </x:c>
      <x:c r="C240" s="50" t="str">
        <x:v>38704</x:v>
      </x:c>
      <x:c r="D240" s="45" t="str">
        <x:v>Corportivo Banamex</x:v>
      </x:c>
      <x:c r="E240" s="45" t="str">
        <x:v>Abierta</x:v>
      </x:c>
      <x:c r="F240" s="51" t="d">
        <x:v>2016-12-07T00:00:00.000Z</x:v>
      </x:c>
      <x:c r="G240" s="45" t="str">
        <x:v>Álvaro Obregón</x:v>
      </x:c>
      <x:c r="H240" s="45" t="str">
        <x:v>Ciudad De México</x:v>
      </x:c>
      <x:c r="I240" s="52" t="n">
        <x:v>19.3744374</x:v>
      </x:c>
      <x:c r="J240" s="52" t="n">
        <x:v>-99.2594182</x:v>
      </x:c>
      <x:c r="K240" s="45" t="str">
        <x:v>Kiosko</x:v>
      </x:c>
      <x:c r="L240" s="45" t="str">
        <x:v>Office_Complex</x:v>
      </x:c>
      <x:c r="M240" s="45" t="str">
        <x:v>C2</x:v>
      </x:c>
      <x:c r="N240" s="45" t="str">
        <x:v>Sí</x:v>
      </x:c>
      <x:c r="O240" s="45" t="str">
        <x:v>Erika Julieta Contreras Aguilar</x:v>
      </x:c>
      <x:c r="P240" s="45" t="str">
        <x:v>Ops y Directorio Alsea · octubre 2026</x:v>
      </x:c>
      <x:c r="Q240" s="45" t="str">
        <x:v>Puntos proporcionados</x:v>
      </x:c>
      <x:c r="R240" s="45" t="str">
        <x:v>Abierta</x:v>
      </x:c>
      <x:c r="S240" s="45" t="str"/>
      <x:c r="T240" s="45" t="n">
        <x:f>IF(AND(E240="Abierta",N240="Sí",ISNUMBER(I240),ISNUMBER(J240),ABS(I240)&lt;=90,ABS(J240)&lt;=180),1,0)</x:f>
        <x:v>1</x:v>
      </x:c>
    </x:row>
    <x:row r="241" ht="23" customHeight="1">
      <x:c r="A241" s="45" t="str">
        <x:v>Centro Poniente</x:v>
      </x:c>
      <x:c r="B241" s="45" t="str">
        <x:v>Erika Julieta Contreras Aguilar</x:v>
      </x:c>
      <x:c r="C241" s="50" t="str">
        <x:v>38747</x:v>
      </x:c>
      <x:c r="D241" s="45" t="str">
        <x:v>Centro Comercial Santa Fe 3</x:v>
      </x:c>
      <x:c r="E241" s="45" t="str">
        <x:v>Abierta</x:v>
      </x:c>
      <x:c r="F241" s="51" t="d">
        <x:v>2018-07-07T00:00:00.000Z</x:v>
      </x:c>
      <x:c r="G241" s="45" t="str">
        <x:v>Cuajimalpa</x:v>
      </x:c>
      <x:c r="H241" s="45" t="str">
        <x:v>Ciudad De México</x:v>
      </x:c>
      <x:c r="I241" s="52" t="n">
        <x:v>19.3616246</x:v>
      </x:c>
      <x:c r="J241" s="52" t="n">
        <x:v>-99.2728285</x:v>
      </x:c>
      <x:c r="K241" s="45" t="str">
        <x:v>Kiosko</x:v>
      </x:c>
      <x:c r="L241" s="45" t="str">
        <x:v>Retail</x:v>
      </x:c>
      <x:c r="M241" s="45" t="str">
        <x:v>C2</x:v>
      </x:c>
      <x:c r="N241" s="45" t="str">
        <x:v>Sí</x:v>
      </x:c>
      <x:c r="O241" s="45" t="str">
        <x:v>Erika Julieta Contreras Aguilar</x:v>
      </x:c>
      <x:c r="P241" s="45" t="str">
        <x:v>Ops y Directorio Alsea · octubre 2026</x:v>
      </x:c>
      <x:c r="Q241" s="45" t="str">
        <x:v>Puntos proporcionados</x:v>
      </x:c>
      <x:c r="R241" s="45" t="str">
        <x:v>Abierta</x:v>
      </x:c>
      <x:c r="S241" s="45" t="str"/>
      <x:c r="T241" s="45" t="n">
        <x:f>IF(AND(E241="Abierta",N241="Sí",ISNUMBER(I241),ISNUMBER(J241),ABS(I241)&lt;=90,ABS(J241)&lt;=180),1,0)</x:f>
        <x:v>1</x:v>
      </x:c>
    </x:row>
    <x:row r="242" ht="23" customHeight="1">
      <x:c r="A242" s="45" t="str">
        <x:v>Centro Poniente</x:v>
      </x:c>
      <x:c r="B242" s="45" t="str">
        <x:v>Erika Julieta Contreras Aguilar</x:v>
      </x:c>
      <x:c r="C242" s="50" t="str">
        <x:v>38749</x:v>
      </x:c>
      <x:c r="D242" s="45" t="str">
        <x:v>Patio Santa Fe 2</x:v>
      </x:c>
      <x:c r="E242" s="45" t="str">
        <x:v>Abierta</x:v>
      </x:c>
      <x:c r="F242" s="51" t="d">
        <x:v>2018-01-12T00:00:00.000Z</x:v>
      </x:c>
      <x:c r="G242" s="45" t="str">
        <x:v>Álvaro Obregón</x:v>
      </x:c>
      <x:c r="H242" s="45" t="str">
        <x:v>Ciudad De México</x:v>
      </x:c>
      <x:c r="I242" s="52" t="n">
        <x:v>19.3767806</x:v>
      </x:c>
      <x:c r="J242" s="52" t="n">
        <x:v>-99.254704</x:v>
      </x:c>
      <x:c r="K242" s="45" t="str">
        <x:v>Cafe</x:v>
      </x:c>
      <x:c r="L242" s="45" t="str">
        <x:v>Retail</x:v>
      </x:c>
      <x:c r="M242" s="45" t="str">
        <x:v>C2</x:v>
      </x:c>
      <x:c r="N242" s="45" t="str">
        <x:v>Sí</x:v>
      </x:c>
      <x:c r="O242" s="45" t="str">
        <x:v>Erika Julieta Contreras Aguilar</x:v>
      </x:c>
      <x:c r="P242" s="45" t="str">
        <x:v>Ops y Directorio Alsea · octubre 2026</x:v>
      </x:c>
      <x:c r="Q242" s="45" t="str">
        <x:v>Puntos proporcionados</x:v>
      </x:c>
      <x:c r="R242" s="45" t="str">
        <x:v>Abierta</x:v>
      </x:c>
      <x:c r="S242" s="45" t="str"/>
      <x:c r="T242" s="45" t="n">
        <x:f>IF(AND(E242="Abierta",N242="Sí",ISNUMBER(I242),ISNUMBER(J242),ABS(I242)&lt;=90,ABS(J242)&lt;=180),1,0)</x:f>
        <x:v>1</x:v>
      </x:c>
    </x:row>
    <x:row r="243" ht="23" customHeight="1">
      <x:c r="A243" s="45" t="str">
        <x:v>Centro Poniente</x:v>
      </x:c>
      <x:c r="B243" s="45" t="str">
        <x:v>José de Jesús Magos Arzaluz</x:v>
      </x:c>
      <x:c r="C243" s="50" t="str">
        <x:v>38158</x:v>
      </x:c>
      <x:c r="D243" s="45" t="str">
        <x:v>Plaza Lilas</x:v>
      </x:c>
      <x:c r="E243" s="45" t="str">
        <x:v>Abierta</x:v>
      </x:c>
      <x:c r="F243" s="51" t="d">
        <x:v>2005-08-20T00:00:00.000Z</x:v>
      </x:c>
      <x:c r="G243" s="45" t="str">
        <x:v>Miguel Hidalgo</x:v>
      </x:c>
      <x:c r="H243" s="45" t="str">
        <x:v>Ciudad De México</x:v>
      </x:c>
      <x:c r="I243" s="52" t="n">
        <x:v>19.3875872</x:v>
      </x:c>
      <x:c r="J243" s="52" t="n">
        <x:v>-99.2476858</x:v>
      </x:c>
      <x:c r="K243" s="45" t="str">
        <x:v>Cafe</x:v>
      </x:c>
      <x:c r="L243" s="45" t="str">
        <x:v>Retail</x:v>
      </x:c>
      <x:c r="M243" s="45" t="str">
        <x:v>C2</x:v>
      </x:c>
      <x:c r="N243" s="45" t="str">
        <x:v>Sí</x:v>
      </x:c>
      <x:c r="O243" s="45" t="str">
        <x:v>José de Jesús Magos Arzaluz</x:v>
      </x:c>
      <x:c r="P243" s="45" t="str">
        <x:v>Ops y Directorio Alsea · octubre 2026</x:v>
      </x:c>
      <x:c r="Q243" s="45" t="str">
        <x:v>Puntos proporcionados</x:v>
      </x:c>
      <x:c r="R243" s="45" t="str">
        <x:v>Abierta</x:v>
      </x:c>
      <x:c r="S243" s="45" t="str"/>
      <x:c r="T243" s="45" t="n">
        <x:f>IF(AND(E243="Abierta",N243="Sí",ISNUMBER(I243),ISNUMBER(J243),ABS(I243)&lt;=90,ABS(J243)&lt;=180),1,0)</x:f>
        <x:v>1</x:v>
      </x:c>
    </x:row>
    <x:row r="244" ht="23" customHeight="1">
      <x:c r="A244" s="45" t="str">
        <x:v>Centro Poniente</x:v>
      </x:c>
      <x:c r="B244" s="45" t="str">
        <x:v>José de Jesús Magos Arzaluz</x:v>
      </x:c>
      <x:c r="C244" s="50" t="str">
        <x:v>38166</x:v>
      </x:c>
      <x:c r="D244" s="45" t="str">
        <x:v>Superama SantaFe</x:v>
      </x:c>
      <x:c r="E244" s="45" t="str">
        <x:v>Abierta</x:v>
      </x:c>
      <x:c r="F244" s="51" t="d">
        <x:v>2005-11-07T00:00:00.000Z</x:v>
      </x:c>
      <x:c r="G244" s="45" t="str">
        <x:v>Cuajimalpa</x:v>
      </x:c>
      <x:c r="H244" s="45" t="str">
        <x:v>Ciudad De México</x:v>
      </x:c>
      <x:c r="I244" s="52" t="n">
        <x:v>19.355871</x:v>
      </x:c>
      <x:c r="J244" s="52" t="n">
        <x:v>-99.276318</x:v>
      </x:c>
      <x:c r="K244" s="45" t="str">
        <x:v>Cafe</x:v>
      </x:c>
      <x:c r="L244" s="45" t="str">
        <x:v>Retail</x:v>
      </x:c>
      <x:c r="M244" s="45" t="str">
        <x:v>C2</x:v>
      </x:c>
      <x:c r="N244" s="45" t="str">
        <x:v>Sí</x:v>
      </x:c>
      <x:c r="O244" s="45" t="str">
        <x:v>José de Jesús Magos Arzaluz</x:v>
      </x:c>
      <x:c r="P244" s="45" t="str">
        <x:v>Ops y Directorio Alsea · octubre 2026</x:v>
      </x:c>
      <x:c r="Q244" s="45" t="str">
        <x:v>Puntos proporcionados</x:v>
      </x:c>
      <x:c r="R244" s="45" t="str">
        <x:v>Abierta</x:v>
      </x:c>
      <x:c r="S244" s="45" t="str"/>
      <x:c r="T244" s="45" t="n">
        <x:f>IF(AND(E244="Abierta",N244="Sí",ISNUMBER(I244),ISNUMBER(J244),ABS(I244)&lt;=90,ABS(J244)&lt;=180),1,0)</x:f>
        <x:v>1</x:v>
      </x:c>
    </x:row>
    <x:row r="245" ht="23" customHeight="1">
      <x:c r="A245" s="45" t="str">
        <x:v>Centro Poniente</x:v>
      </x:c>
      <x:c r="B245" s="45" t="str">
        <x:v>José de Jesús Magos Arzaluz</x:v>
      </x:c>
      <x:c r="C245" s="50" t="str">
        <x:v>38390</x:v>
      </x:c>
      <x:c r="D245" s="45" t="str">
        <x:v>Samara I</x:v>
      </x:c>
      <x:c r="E245" s="45" t="str">
        <x:v>Abierta</x:v>
      </x:c>
      <x:c r="F245" s="51" t="d">
        <x:v>2010-10-04T00:00:00.000Z</x:v>
      </x:c>
      <x:c r="G245" s="45" t="str">
        <x:v>Álvaro Obregón</x:v>
      </x:c>
      <x:c r="H245" s="45" t="str">
        <x:v>Ciudad De México</x:v>
      </x:c>
      <x:c r="I245" s="52" t="n">
        <x:v>19.3680399</x:v>
      </x:c>
      <x:c r="J245" s="52" t="n">
        <x:v>-99.2585669</x:v>
      </x:c>
      <x:c r="K245" s="45" t="str">
        <x:v>Kiosko</x:v>
      </x:c>
      <x:c r="L245" s="45" t="str">
        <x:v>Office_Complex</x:v>
      </x:c>
      <x:c r="M245" s="45" t="str">
        <x:v>C1</x:v>
      </x:c>
      <x:c r="N245" s="45" t="str">
        <x:v>Sí</x:v>
      </x:c>
      <x:c r="O245" s="45" t="str">
        <x:v>José de Jesús Magos Arzaluz</x:v>
      </x:c>
      <x:c r="P245" s="45" t="str">
        <x:v>Ops y Directorio Alsea · octubre 2026</x:v>
      </x:c>
      <x:c r="Q245" s="45" t="str">
        <x:v>Puntos proporcionados</x:v>
      </x:c>
      <x:c r="R245" s="45" t="str">
        <x:v>Abierta</x:v>
      </x:c>
      <x:c r="S245" s="45" t="str"/>
      <x:c r="T245" s="45" t="n">
        <x:f>IF(AND(E245="Abierta",N245="Sí",ISNUMBER(I245),ISNUMBER(J245),ABS(I245)&lt;=90,ABS(J245)&lt;=180),1,0)</x:f>
        <x:v>1</x:v>
      </x:c>
    </x:row>
    <x:row r="246" ht="23" customHeight="1">
      <x:c r="A246" s="45" t="str">
        <x:v>Centro Poniente</x:v>
      </x:c>
      <x:c r="B246" s="45" t="str">
        <x:v>José de Jesús Magos Arzaluz</x:v>
      </x:c>
      <x:c r="C246" s="50" t="str">
        <x:v>38400</x:v>
      </x:c>
      <x:c r="D246" s="45" t="str">
        <x:v>Centro Medico ABC Santa Fe</x:v>
      </x:c>
      <x:c r="E246" s="45" t="str">
        <x:v>Abierta</x:v>
      </x:c>
      <x:c r="F246" s="51" t="d">
        <x:v>2010-12-16T00:00:00.000Z</x:v>
      </x:c>
      <x:c r="G246" s="45" t="str">
        <x:v>Cuajimalpa</x:v>
      </x:c>
      <x:c r="H246" s="45" t="str">
        <x:v>Ciudad De México</x:v>
      </x:c>
      <x:c r="I246" s="52" t="n">
        <x:v>19.356774</x:v>
      </x:c>
      <x:c r="J246" s="52" t="n">
        <x:v>-99.282443</x:v>
      </x:c>
      <x:c r="K246" s="45" t="str">
        <x:v>Cafe</x:v>
      </x:c>
      <x:c r="L246" s="45" t="str">
        <x:v>Institution</x:v>
      </x:c>
      <x:c r="M246" s="45" t="str">
        <x:v>C2</x:v>
      </x:c>
      <x:c r="N246" s="45" t="str">
        <x:v>Sí</x:v>
      </x:c>
      <x:c r="O246" s="45" t="str">
        <x:v>José de Jesús Magos Arzaluz</x:v>
      </x:c>
      <x:c r="P246" s="45" t="str">
        <x:v>Ops y Directorio Alsea · octubre 2026</x:v>
      </x:c>
      <x:c r="Q246" s="45" t="str">
        <x:v>Puntos proporcionados</x:v>
      </x:c>
      <x:c r="R246" s="45" t="str">
        <x:v>Abierta</x:v>
      </x:c>
      <x:c r="S246" s="45" t="str"/>
      <x:c r="T246" s="45" t="n">
        <x:f>IF(AND(E246="Abierta",N246="Sí",ISNUMBER(I246),ISNUMBER(J246),ABS(I246)&lt;=90,ABS(J246)&lt;=180),1,0)</x:f>
        <x:v>1</x:v>
      </x:c>
    </x:row>
    <x:row r="247" ht="23" customHeight="1">
      <x:c r="A247" s="45" t="str">
        <x:v>Centro Poniente</x:v>
      </x:c>
      <x:c r="B247" s="45" t="str">
        <x:v>José de Jesús Magos Arzaluz</x:v>
      </x:c>
      <x:c r="C247" s="50" t="str">
        <x:v>38445</x:v>
      </x:c>
      <x:c r="D247" s="45" t="str">
        <x:v>Samara II</x:v>
      </x:c>
      <x:c r="E247" s="45" t="str">
        <x:v>Abierta</x:v>
      </x:c>
      <x:c r="F247" s="51" t="d">
        <x:v>2012-02-20T00:00:00.000Z</x:v>
      </x:c>
      <x:c r="G247" s="45" t="str">
        <x:v>Álvaro Obregón</x:v>
      </x:c>
      <x:c r="H247" s="45" t="str">
        <x:v>Ciudad De México</x:v>
      </x:c>
      <x:c r="I247" s="52" t="n">
        <x:v>19.368072</x:v>
      </x:c>
      <x:c r="J247" s="52" t="n">
        <x:v>-99.259174</x:v>
      </x:c>
      <x:c r="K247" s="45" t="str">
        <x:v>Cafe</x:v>
      </x:c>
      <x:c r="L247" s="45" t="str">
        <x:v>Retail</x:v>
      </x:c>
      <x:c r="M247" s="45" t="str">
        <x:v>C1</x:v>
      </x:c>
      <x:c r="N247" s="45" t="str">
        <x:v>Sí</x:v>
      </x:c>
      <x:c r="O247" s="45" t="str">
        <x:v>José de Jesús Magos Arzaluz</x:v>
      </x:c>
      <x:c r="P247" s="45" t="str">
        <x:v>Ops y Directorio Alsea · octubre 2026</x:v>
      </x:c>
      <x:c r="Q247" s="45" t="str">
        <x:v>Puntos proporcionados</x:v>
      </x:c>
      <x:c r="R247" s="45" t="str">
        <x:v>Abierta</x:v>
      </x:c>
      <x:c r="S247" s="45" t="str"/>
      <x:c r="T247" s="45" t="n">
        <x:f>IF(AND(E247="Abierta",N247="Sí",ISNUMBER(I247),ISNUMBER(J247),ABS(I247)&lt;=90,ABS(J247)&lt;=180),1,0)</x:f>
        <x:v>1</x:v>
      </x:c>
    </x:row>
    <x:row r="248" ht="23" customHeight="1">
      <x:c r="A248" s="45" t="str">
        <x:v>Centro Poniente</x:v>
      </x:c>
      <x:c r="B248" s="45" t="str">
        <x:v>José de Jesús Magos Arzaluz</x:v>
      </x:c>
      <x:c r="C248" s="50" t="str">
        <x:v>38512</x:v>
      </x:c>
      <x:c r="D248" s="45" t="str">
        <x:v>Garden Santa Fe</x:v>
      </x:c>
      <x:c r="E248" s="45" t="str">
        <x:v>Abierta</x:v>
      </x:c>
      <x:c r="F248" s="51" t="d">
        <x:v>2014-03-18T00:00:00.000Z</x:v>
      </x:c>
      <x:c r="G248" s="45" t="str">
        <x:v>Álvaro Obregón</x:v>
      </x:c>
      <x:c r="H248" s="45" t="str">
        <x:v>Ciudad De México</x:v>
      </x:c>
      <x:c r="I248" s="52" t="n">
        <x:v>19.3655118</x:v>
      </x:c>
      <x:c r="J248" s="52" t="n">
        <x:v>-99.2642959</x:v>
      </x:c>
      <x:c r="K248" s="45" t="str">
        <x:v>Cafe</x:v>
      </x:c>
      <x:c r="L248" s="45" t="str">
        <x:v>Retail</x:v>
      </x:c>
      <x:c r="M248" s="45" t="str">
        <x:v>C2</x:v>
      </x:c>
      <x:c r="N248" s="45" t="str">
        <x:v>Sí</x:v>
      </x:c>
      <x:c r="O248" s="45" t="str">
        <x:v>José de Jesús Magos Arzaluz</x:v>
      </x:c>
      <x:c r="P248" s="45" t="str">
        <x:v>Ops y Directorio Alsea · octubre 2026</x:v>
      </x:c>
      <x:c r="Q248" s="45" t="str">
        <x:v>Puntos proporcionados</x:v>
      </x:c>
      <x:c r="R248" s="45" t="str">
        <x:v>Abierta</x:v>
      </x:c>
      <x:c r="S248" s="45" t="str"/>
      <x:c r="T248" s="45" t="n">
        <x:f>IF(AND(E248="Abierta",N248="Sí",ISNUMBER(I248),ISNUMBER(J248),ABS(I248)&lt;=90,ABS(J248)&lt;=180),1,0)</x:f>
        <x:v>1</x:v>
      </x:c>
    </x:row>
    <x:row r="249" ht="23" customHeight="1">
      <x:c r="A249" s="45" t="str">
        <x:v>Centro Poniente</x:v>
      </x:c>
      <x:c r="B249" s="45" t="str">
        <x:v>José de Jesús Magos Arzaluz</x:v>
      </x:c>
      <x:c r="C249" s="50" t="str">
        <x:v>38532</x:v>
      </x:c>
      <x:c r="D249" s="45" t="str">
        <x:v>One o One</x:v>
      </x:c>
      <x:c r="E249" s="45" t="str">
        <x:v>Abierta</x:v>
      </x:c>
      <x:c r="F249" s="51" t="d">
        <x:v>2014-04-22T00:00:00.000Z</x:v>
      </x:c>
      <x:c r="G249" s="45" t="str">
        <x:v>Cuajimalpa</x:v>
      </x:c>
      <x:c r="H249" s="45" t="str">
        <x:v>Ciudad De México</x:v>
      </x:c>
      <x:c r="I249" s="52" t="n">
        <x:v>19.3592405</x:v>
      </x:c>
      <x:c r="J249" s="52" t="n">
        <x:v>-99.2790333</x:v>
      </x:c>
      <x:c r="K249" s="45" t="str">
        <x:v>Cafe</x:v>
      </x:c>
      <x:c r="L249" s="45" t="str">
        <x:v>Office_Complex</x:v>
      </x:c>
      <x:c r="M249" s="45" t="str">
        <x:v>C2</x:v>
      </x:c>
      <x:c r="N249" s="45" t="str">
        <x:v>Sí</x:v>
      </x:c>
      <x:c r="O249" s="45" t="str">
        <x:v>José de Jesús Magos Arzaluz</x:v>
      </x:c>
      <x:c r="P249" s="45" t="str">
        <x:v>Ops y Directorio Alsea · octubre 2026</x:v>
      </x:c>
      <x:c r="Q249" s="45" t="str">
        <x:v>Puntos proporcionados</x:v>
      </x:c>
      <x:c r="R249" s="45" t="str">
        <x:v>Abierta</x:v>
      </x:c>
      <x:c r="S249" s="45" t="str"/>
      <x:c r="T249" s="45" t="n">
        <x:f>IF(AND(E249="Abierta",N249="Sí",ISNUMBER(I249),ISNUMBER(J249),ABS(I249)&lt;=90,ABS(J249)&lt;=180),1,0)</x:f>
        <x:v>1</x:v>
      </x:c>
    </x:row>
    <x:row r="250" ht="23" customHeight="1">
      <x:c r="A250" s="45" t="str">
        <x:v>Centro Poniente</x:v>
      </x:c>
      <x:c r="B250" s="45" t="str">
        <x:v>José de Jesús Magos Arzaluz</x:v>
      </x:c>
      <x:c r="C250" s="50" t="str">
        <x:v>38751</x:v>
      </x:c>
      <x:c r="D250" s="45" t="str">
        <x:v>Torre Zentrrum II</x:v>
      </x:c>
      <x:c r="E250" s="45" t="str">
        <x:v>Abierta</x:v>
      </x:c>
      <x:c r="F250" s="51" t="d">
        <x:v>2018-01-11T00:00:00.000Z</x:v>
      </x:c>
      <x:c r="G250" s="45" t="str">
        <x:v>Cuajimalpa</x:v>
      </x:c>
      <x:c r="H250" s="45" t="str">
        <x:v>Ciudad De México</x:v>
      </x:c>
      <x:c r="I250" s="52" t="n">
        <x:v>19.3581597</x:v>
      </x:c>
      <x:c r="J250" s="52" t="n">
        <x:v>-99.2742072</x:v>
      </x:c>
      <x:c r="K250" s="45" t="str">
        <x:v>Cafe</x:v>
      </x:c>
      <x:c r="L250" s="45" t="str">
        <x:v>Office_Complex</x:v>
      </x:c>
      <x:c r="M250" s="45" t="str">
        <x:v>C1</x:v>
      </x:c>
      <x:c r="N250" s="45" t="str">
        <x:v>Sí</x:v>
      </x:c>
      <x:c r="O250" s="45" t="str">
        <x:v>José de Jesús Magos Arzaluz</x:v>
      </x:c>
      <x:c r="P250" s="45" t="str">
        <x:v>Ops y Directorio Alsea · octubre 2026</x:v>
      </x:c>
      <x:c r="Q250" s="45" t="str">
        <x:v>Puntos proporcionados</x:v>
      </x:c>
      <x:c r="R250" s="45" t="str">
        <x:v>Abierta</x:v>
      </x:c>
      <x:c r="S250" s="45" t="str"/>
      <x:c r="T250" s="45" t="n">
        <x:f>IF(AND(E250="Abierta",N250="Sí",ISNUMBER(I250),ISNUMBER(J250),ABS(I250)&lt;=90,ABS(J250)&lt;=180),1,0)</x:f>
        <x:v>1</x:v>
      </x:c>
    </x:row>
    <x:row r="251" ht="23" customHeight="1">
      <x:c r="A251" s="45" t="str">
        <x:v>Centro Poniente</x:v>
      </x:c>
      <x:c r="B251" s="45" t="str">
        <x:v>José de Jesús Magos Arzaluz</x:v>
      </x:c>
      <x:c r="C251" s="50" t="str">
        <x:v>38755</x:v>
      </x:c>
      <x:c r="D251" s="45" t="str">
        <x:v>Corporativo Santander</x:v>
      </x:c>
      <x:c r="E251" s="45" t="str">
        <x:v>Abierta</x:v>
      </x:c>
      <x:c r="F251" s="51" t="d">
        <x:v>2017-09-11T00:00:00.000Z</x:v>
      </x:c>
      <x:c r="G251" s="45" t="str">
        <x:v>Álvaro Obregón</x:v>
      </x:c>
      <x:c r="H251" s="45" t="str">
        <x:v>Ciudad De México</x:v>
      </x:c>
      <x:c r="I251" s="52" t="n">
        <x:v>19.3763885</x:v>
      </x:c>
      <x:c r="J251" s="52" t="n">
        <x:v>-99.2567267</x:v>
      </x:c>
      <x:c r="K251" s="45" t="str">
        <x:v>Cafe</x:v>
      </x:c>
      <x:c r="L251" s="45" t="str">
        <x:v>Office_Complex</x:v>
      </x:c>
      <x:c r="M251" s="45" t="str">
        <x:v>C2</x:v>
      </x:c>
      <x:c r="N251" s="45" t="str">
        <x:v>Sí</x:v>
      </x:c>
      <x:c r="O251" s="45" t="str">
        <x:v>José de Jesús Magos Arzaluz</x:v>
      </x:c>
      <x:c r="P251" s="45" t="str">
        <x:v>Ops y Directorio Alsea · octubre 2026</x:v>
      </x:c>
      <x:c r="Q251" s="45" t="str">
        <x:v>Puntos proporcionados</x:v>
      </x:c>
      <x:c r="R251" s="45" t="str">
        <x:v>Abierta</x:v>
      </x:c>
      <x:c r="S251" s="45" t="str"/>
      <x:c r="T251" s="45" t="n">
        <x:f>IF(AND(E251="Abierta",N251="Sí",ISNUMBER(I251),ISNUMBER(J251),ABS(I251)&lt;=90,ABS(J251)&lt;=180),1,0)</x:f>
        <x:v>1</x:v>
      </x:c>
    </x:row>
    <x:row r="252" ht="23" customHeight="1">
      <x:c r="A252" s="45" t="str">
        <x:v>Centro Poniente</x:v>
      </x:c>
      <x:c r="B252" s="45" t="str">
        <x:v>José de Jesús Magos Arzaluz</x:v>
      </x:c>
      <x:c r="C252" s="50" t="str">
        <x:v>38777</x:v>
      </x:c>
      <x:c r="D252" s="45" t="str">
        <x:v>Parque la Mexicana</x:v>
      </x:c>
      <x:c r="E252" s="45" t="str">
        <x:v>Abierta</x:v>
      </x:c>
      <x:c r="F252" s="51" t="d">
        <x:v>2017-12-09T00:00:00.000Z</x:v>
      </x:c>
      <x:c r="G252" s="45" t="str">
        <x:v>Cuajimalpa</x:v>
      </x:c>
      <x:c r="H252" s="45" t="str">
        <x:v>Ciudad De México</x:v>
      </x:c>
      <x:c r="I252" s="52" t="n">
        <x:v>19.358135</x:v>
      </x:c>
      <x:c r="J252" s="52" t="n">
        <x:v>-99.268652</x:v>
      </x:c>
      <x:c r="K252" s="45" t="str">
        <x:v>Cafe</x:v>
      </x:c>
      <x:c r="L252" s="45" t="str">
        <x:v>Tourism_and_Entertainment</x:v>
      </x:c>
      <x:c r="M252" s="45" t="str">
        <x:v>C2</x:v>
      </x:c>
      <x:c r="N252" s="45" t="str">
        <x:v>Sí</x:v>
      </x:c>
      <x:c r="O252" s="45" t="str">
        <x:v>José de Jesús Magos Arzaluz</x:v>
      </x:c>
      <x:c r="P252" s="45" t="str">
        <x:v>Ops y Directorio Alsea · octubre 2026</x:v>
      </x:c>
      <x:c r="Q252" s="45" t="str">
        <x:v>Puntos proporcionados</x:v>
      </x:c>
      <x:c r="R252" s="45" t="str">
        <x:v>Abierta</x:v>
      </x:c>
      <x:c r="S252" s="45" t="str"/>
      <x:c r="T252" s="45" t="n">
        <x:f>IF(AND(E252="Abierta",N252="Sí",ISNUMBER(I252),ISNUMBER(J252),ABS(I252)&lt;=90,ABS(J252)&lt;=180),1,0)</x:f>
        <x:v>1</x:v>
      </x:c>
    </x:row>
    <x:row r="253" ht="23" customHeight="1">
      <x:c r="A253" s="45" t="str">
        <x:v>Centro Poniente</x:v>
      </x:c>
      <x:c r="B253" s="45" t="str">
        <x:v>José de Jesús Magos Arzaluz</x:v>
      </x:c>
      <x:c r="C253" s="50" t="str">
        <x:v>38780</x:v>
      </x:c>
      <x:c r="D253" s="45" t="str">
        <x:v>Tec Santa Fe</x:v>
      </x:c>
      <x:c r="E253" s="45" t="str">
        <x:v>Abierta</x:v>
      </x:c>
      <x:c r="F253" s="51" t="d">
        <x:v>2018-01-30T00:00:00.000Z</x:v>
      </x:c>
      <x:c r="G253" s="45" t="str">
        <x:v>Cuajimalpa</x:v>
      </x:c>
      <x:c r="H253" s="45" t="str">
        <x:v>Ciudad De México</x:v>
      </x:c>
      <x:c r="I253" s="52" t="n">
        <x:v>19.3595389</x:v>
      </x:c>
      <x:c r="J253" s="52" t="n">
        <x:v>-99.2582655</x:v>
      </x:c>
      <x:c r="K253" s="45" t="str">
        <x:v>Cafe</x:v>
      </x:c>
      <x:c r="L253" s="45" t="str">
        <x:v>Institution</x:v>
      </x:c>
      <x:c r="M253" s="45" t="str">
        <x:v>C1</x:v>
      </x:c>
      <x:c r="N253" s="45" t="str">
        <x:v>Sí</x:v>
      </x:c>
      <x:c r="O253" s="45" t="str">
        <x:v>José de Jesús Magos Arzaluz</x:v>
      </x:c>
      <x:c r="P253" s="45" t="str">
        <x:v>Ops y Directorio Alsea · octubre 2026</x:v>
      </x:c>
      <x:c r="Q253" s="45" t="str">
        <x:v>Puntos proporcionados</x:v>
      </x:c>
      <x:c r="R253" s="45" t="str">
        <x:v>Abierta</x:v>
      </x:c>
      <x:c r="S253" s="45" t="str"/>
      <x:c r="T253" s="45" t="n">
        <x:f>IF(AND(E253="Abierta",N253="Sí",ISNUMBER(I253),ISNUMBER(J253),ABS(I253)&lt;=90,ABS(J253)&lt;=180),1,0)</x:f>
        <x:v>1</x:v>
      </x:c>
    </x:row>
    <x:row r="254" ht="23" customHeight="1">
      <x:c r="A254" s="45" t="str">
        <x:v>Centro Poniente</x:v>
      </x:c>
      <x:c r="B254" s="45" t="str">
        <x:v>José de Jesús Magos Arzaluz</x:v>
      </x:c>
      <x:c r="C254" s="50" t="str">
        <x:v>38798</x:v>
      </x:c>
      <x:c r="D254" s="45" t="str">
        <x:v>Corp. Televisa Sta Fe</x:v>
      </x:c>
      <x:c r="E254" s="45" t="str">
        <x:v>Abierta</x:v>
      </x:c>
      <x:c r="F254" s="51" t="d">
        <x:v>2018-04-06T00:00:00.000Z</x:v>
      </x:c>
      <x:c r="G254" s="45" t="str">
        <x:v>Álvaro Obregón</x:v>
      </x:c>
      <x:c r="H254" s="45" t="str">
        <x:v>Ciudad De México</x:v>
      </x:c>
      <x:c r="I254" s="52" t="n">
        <x:v>19.3758325</x:v>
      </x:c>
      <x:c r="J254" s="52" t="n">
        <x:v>-99.2519314</x:v>
      </x:c>
      <x:c r="K254" s="45" t="str">
        <x:v>Kiosko</x:v>
      </x:c>
      <x:c r="L254" s="45" t="str">
        <x:v>Office_Complex</x:v>
      </x:c>
      <x:c r="M254" s="45" t="str">
        <x:v>C2</x:v>
      </x:c>
      <x:c r="N254" s="45" t="str">
        <x:v>Sí</x:v>
      </x:c>
      <x:c r="O254" s="45" t="str">
        <x:v>José de Jesús Magos Arzaluz</x:v>
      </x:c>
      <x:c r="P254" s="45" t="str">
        <x:v>Ops y Directorio Alsea · octubre 2026</x:v>
      </x:c>
      <x:c r="Q254" s="45" t="str">
        <x:v>Puntos proporcionados</x:v>
      </x:c>
      <x:c r="R254" s="45" t="str">
        <x:v>Abierta</x:v>
      </x:c>
      <x:c r="S254" s="45" t="str"/>
      <x:c r="T254" s="45" t="n">
        <x:f>IF(AND(E254="Abierta",N254="Sí",ISNUMBER(I254),ISNUMBER(J254),ABS(I254)&lt;=90,ABS(J254)&lt;=180),1,0)</x:f>
        <x:v>1</x:v>
      </x:c>
    </x:row>
    <x:row r="255" ht="23" customHeight="1">
      <x:c r="A255" s="45" t="str">
        <x:v>Centro Poniente</x:v>
      </x:c>
      <x:c r="B255" s="45" t="str">
        <x:v>José de Jesús Magos Arzaluz</x:v>
      </x:c>
      <x:c r="C255" s="50" t="str">
        <x:v>38810</x:v>
      </x:c>
      <x:c r="D255" s="45" t="str">
        <x:v>Plaza Centenario ( Tenaria)</x:v>
      </x:c>
      <x:c r="E255" s="45" t="str">
        <x:v>Abierta</x:v>
      </x:c>
      <x:c r="F255" s="51" t="d">
        <x:v>2018-07-14T00:00:00.000Z</x:v>
      </x:c>
      <x:c r="G255" s="45" t="str">
        <x:v>Álvaro Obregón</x:v>
      </x:c>
      <x:c r="H255" s="45" t="str">
        <x:v>Ciudad De México</x:v>
      </x:c>
      <x:c r="I255" s="52" t="n">
        <x:v>19.362209</x:v>
      </x:c>
      <x:c r="J255" s="52" t="n">
        <x:v>-99.2238435</x:v>
      </x:c>
      <x:c r="K255" s="45" t="str">
        <x:v>Drive_Thru</x:v>
      </x:c>
      <x:c r="L255" s="45" t="str">
        <x:v>Retail</x:v>
      </x:c>
      <x:c r="M255" s="45" t="str">
        <x:v>C2</x:v>
      </x:c>
      <x:c r="N255" s="45" t="str">
        <x:v>Sí</x:v>
      </x:c>
      <x:c r="O255" s="45" t="str">
        <x:v>José de Jesús Magos Arzaluz</x:v>
      </x:c>
      <x:c r="P255" s="45" t="str">
        <x:v>Ops y Directorio Alsea · octubre 2026</x:v>
      </x:c>
      <x:c r="Q255" s="45" t="str">
        <x:v>Puntos proporcionados</x:v>
      </x:c>
      <x:c r="R255" s="45" t="str">
        <x:v>Abierta</x:v>
      </x:c>
      <x:c r="S255" s="45" t="str"/>
      <x:c r="T255" s="45" t="n">
        <x:f>IF(AND(E255="Abierta",N255="Sí",ISNUMBER(I255),ISNUMBER(J255),ABS(I255)&lt;=90,ABS(J255)&lt;=180),1,0)</x:f>
        <x:v>1</x:v>
      </x:c>
    </x:row>
    <x:row r="256" ht="23" customHeight="1">
      <x:c r="A256" s="45" t="str">
        <x:v>Centro Poniente</x:v>
      </x:c>
      <x:c r="B256" s="45" t="str">
        <x:v>José de Jesús Magos Arzaluz</x:v>
      </x:c>
      <x:c r="C256" s="50" t="str">
        <x:v>38929</x:v>
      </x:c>
      <x:c r="D256" s="45" t="str">
        <x:v>Aeropuerto Toluca AMB</x:v>
      </x:c>
      <x:c r="E256" s="45" t="str">
        <x:v>Abierta</x:v>
      </x:c>
      <x:c r="F256" s="51" t="d">
        <x:v>2022-09-30T00:00:00.000Z</x:v>
      </x:c>
      <x:c r="G256" s="45" t="str">
        <x:v>San Pedro Totoltepec</x:v>
      </x:c>
      <x:c r="H256" s="45" t="str">
        <x:v>Estado De México</x:v>
      </x:c>
      <x:c r="I256" s="52" t="n">
        <x:v>19.3386853</x:v>
      </x:c>
      <x:c r="J256" s="52" t="n">
        <x:v>-99.5713552</x:v>
      </x:c>
      <x:c r="K256" s="45" t="str">
        <x:v>Kiosko</x:v>
      </x:c>
      <x:c r="L256" s="45" t="str">
        <x:v>Travel_and_Channel</x:v>
      </x:c>
      <x:c r="M256" s="45" t="str">
        <x:v>C4</x:v>
      </x:c>
      <x:c r="N256" s="45" t="str">
        <x:v>Sí</x:v>
      </x:c>
      <x:c r="O256" s="45" t="str">
        <x:v>José de Jesús Magos Arzaluz</x:v>
      </x:c>
      <x:c r="P256" s="45" t="str">
        <x:v>Ops y Directorio Alsea · octubre 2026</x:v>
      </x:c>
      <x:c r="Q256" s="45" t="str">
        <x:v>Puntos proporcionados</x:v>
      </x:c>
      <x:c r="R256" s="45" t="str">
        <x:v>Abierta</x:v>
      </x:c>
      <x:c r="S256" s="45" t="str"/>
      <x:c r="T256" s="45" t="n">
        <x:f>IF(AND(E256="Abierta",N256="Sí",ISNUMBER(I256),ISNUMBER(J256),ABS(I256)&lt;=90,ABS(J256)&lt;=180),1,0)</x:f>
        <x:v>1</x:v>
      </x:c>
    </x:row>
    <x:row r="257" ht="23" customHeight="1">
      <x:c r="A257" s="45" t="str">
        <x:v>Centro Poniente</x:v>
      </x:c>
      <x:c r="B257" s="45" t="str">
        <x:v>José de Jesús Magos Arzaluz</x:v>
      </x:c>
      <x:c r="C257" s="50" t="str">
        <x:v>43162</x:v>
      </x:c>
      <x:c r="D257" s="45" t="str">
        <x:v>Apto Toluca SUE</x:v>
      </x:c>
      <x:c r="E257" s="45" t="str">
        <x:v>Abierta</x:v>
      </x:c>
      <x:c r="F257" s="51" t="d">
        <x:v>2025-09-28T00:00:00.000Z</x:v>
      </x:c>
      <x:c r="G257" s="45" t="str">
        <x:v>San Pedro Totoltepec</x:v>
      </x:c>
      <x:c r="H257" s="45" t="str">
        <x:v>Estado De México</x:v>
      </x:c>
      <x:c r="I257" s="52" t="n">
        <x:v>19.3388364</x:v>
      </x:c>
      <x:c r="J257" s="52" t="n">
        <x:v>-99.5704401</x:v>
      </x:c>
      <x:c r="K257" s="45" t="str">
        <x:v>Cafe</x:v>
      </x:c>
      <x:c r="L257" s="45" t="str">
        <x:v>Travel_and_Channel</x:v>
      </x:c>
      <x:c r="M257" s="45" t="str">
        <x:v>C4</x:v>
      </x:c>
      <x:c r="N257" s="45" t="str">
        <x:v>Sí</x:v>
      </x:c>
      <x:c r="O257" s="45" t="str">
        <x:v>José de Jesús Magos Arzaluz</x:v>
      </x:c>
      <x:c r="P257" s="45" t="str">
        <x:v>Ops y Directorio Alsea · octubre 2026</x:v>
      </x:c>
      <x:c r="Q257" s="45" t="str">
        <x:v>Puntos proporcionados</x:v>
      </x:c>
      <x:c r="R257" s="45" t="str">
        <x:v>Abierta</x:v>
      </x:c>
      <x:c r="S257" s="45" t="str"/>
      <x:c r="T257" s="45" t="n">
        <x:f>IF(AND(E257="Abierta",N257="Sí",ISNUMBER(I257),ISNUMBER(J257),ABS(I257)&lt;=90,ABS(J257)&lt;=180),1,0)</x:f>
        <x:v>1</x:v>
      </x:c>
    </x:row>
    <x:row r="258" ht="23" customHeight="1">
      <x:c r="A258" s="45" t="str">
        <x:v>Centro Poniente</x:v>
      </x:c>
      <x:c r="B258" s="45" t="str">
        <x:v>Juan Jesus Zuñiga Flores</x:v>
      </x:c>
      <x:c r="C258" s="50" t="str">
        <x:v>38193</x:v>
      </x:c>
      <x:c r="D258" s="45" t="str">
        <x:v>Metropoli Patriotismo</x:v>
      </x:c>
      <x:c r="E258" s="45" t="str">
        <x:v>Abierta</x:v>
      </x:c>
      <x:c r="F258" s="51" t="d">
        <x:v>2006-06-30T00:00:00.000Z</x:v>
      </x:c>
      <x:c r="G258" s="45" t="str">
        <x:v>Benito Juárez</x:v>
      </x:c>
      <x:c r="H258" s="45" t="str">
        <x:v>Ciudad De México</x:v>
      </x:c>
      <x:c r="I258" s="52" t="n">
        <x:v>19.3960203</x:v>
      </x:c>
      <x:c r="J258" s="52" t="n">
        <x:v>-99.180721</x:v>
      </x:c>
      <x:c r="K258" s="45" t="str">
        <x:v>Kiosko</x:v>
      </x:c>
      <x:c r="L258" s="45" t="str">
        <x:v>Retail</x:v>
      </x:c>
      <x:c r="M258" s="45" t="str">
        <x:v>C1</x:v>
      </x:c>
      <x:c r="N258" s="45" t="str">
        <x:v>Sí</x:v>
      </x:c>
      <x:c r="O258" s="45" t="str">
        <x:v>Juan Jesus Zuñiga Flores</x:v>
      </x:c>
      <x:c r="P258" s="45" t="str">
        <x:v>Ops y Directorio Alsea · octubre 2026</x:v>
      </x:c>
      <x:c r="Q258" s="45" t="str">
        <x:v>Puntos proporcionados</x:v>
      </x:c>
      <x:c r="R258" s="45" t="str">
        <x:v>Abierta</x:v>
      </x:c>
      <x:c r="S258" s="45" t="str"/>
      <x:c r="T258" s="45" t="n">
        <x:f>IF(AND(E258="Abierta",N258="Sí",ISNUMBER(I258),ISNUMBER(J258),ABS(I258)&lt;=90,ABS(J258)&lt;=180),1,0)</x:f>
        <x:v>1</x:v>
      </x:c>
    </x:row>
    <x:row r="259" ht="23" customHeight="1">
      <x:c r="A259" s="45" t="str">
        <x:v>Centro Poniente</x:v>
      </x:c>
      <x:c r="B259" s="45" t="str">
        <x:v>Juan Jesus Zuñiga Flores</x:v>
      </x:c>
      <x:c r="C259" s="50" t="str">
        <x:v>38372</x:v>
      </x:c>
      <x:c r="D259" s="45" t="str">
        <x:v>Felix Cuevas</x:v>
      </x:c>
      <x:c r="E259" s="45" t="str">
        <x:v>Abierta</x:v>
      </x:c>
      <x:c r="F259" s="51" t="d">
        <x:v>2009-12-23T00:00:00.000Z</x:v>
      </x:c>
      <x:c r="G259" s="45" t="str">
        <x:v>Benito Juárez</x:v>
      </x:c>
      <x:c r="H259" s="45" t="str">
        <x:v>Ciudad De México</x:v>
      </x:c>
      <x:c r="I259" s="52" t="n">
        <x:v>19.3740452</x:v>
      </x:c>
      <x:c r="J259" s="52" t="n">
        <x:v>-99.1786888</x:v>
      </x:c>
      <x:c r="K259" s="45" t="str">
        <x:v>Kiosko</x:v>
      </x:c>
      <x:c r="L259" s="45" t="str">
        <x:v>Office_Complex</x:v>
      </x:c>
      <x:c r="M259" s="45" t="str">
        <x:v>C1</x:v>
      </x:c>
      <x:c r="N259" s="45" t="str">
        <x:v>Sí</x:v>
      </x:c>
      <x:c r="O259" s="45" t="str">
        <x:v>Juan Jesus Zuñiga Flores</x:v>
      </x:c>
      <x:c r="P259" s="45" t="str">
        <x:v>Ops y Directorio Alsea · octubre 2026</x:v>
      </x:c>
      <x:c r="Q259" s="45" t="str">
        <x:v>Puntos proporcionados</x:v>
      </x:c>
      <x:c r="R259" s="45" t="str">
        <x:v>Abierta</x:v>
      </x:c>
      <x:c r="S259" s="45" t="str"/>
      <x:c r="T259" s="45" t="n">
        <x:f>IF(AND(E259="Abierta",N259="Sí",ISNUMBER(I259),ISNUMBER(J259),ABS(I259)&lt;=90,ABS(J259)&lt;=180),1,0)</x:f>
        <x:v>1</x:v>
      </x:c>
    </x:row>
    <x:row r="260" ht="23" customHeight="1">
      <x:c r="A260" s="45" t="str">
        <x:v>Centro Poniente</x:v>
      </x:c>
      <x:c r="B260" s="45" t="str">
        <x:v>Juan Jesus Zuñiga Flores</x:v>
      </x:c>
      <x:c r="C260" s="50" t="str">
        <x:v>38416</x:v>
      </x:c>
      <x:c r="D260" s="45" t="str">
        <x:v>Mixcoac</x:v>
      </x:c>
      <x:c r="E260" s="45" t="str">
        <x:v>Abierta</x:v>
      </x:c>
      <x:c r="F260" s="51" t="d">
        <x:v>2011-05-06T00:00:00.000Z</x:v>
      </x:c>
      <x:c r="G260" s="45" t="str">
        <x:v>Benito Juárez</x:v>
      </x:c>
      <x:c r="H260" s="45" t="str">
        <x:v>Ciudad De México</x:v>
      </x:c>
      <x:c r="I260" s="52" t="n">
        <x:v>19.3805324</x:v>
      </x:c>
      <x:c r="J260" s="52" t="n">
        <x:v>-99.1858754</x:v>
      </x:c>
      <x:c r="K260" s="45" t="str">
        <x:v>Cafe</x:v>
      </x:c>
      <x:c r="L260" s="45" t="str">
        <x:v>Retail</x:v>
      </x:c>
      <x:c r="M260" s="45" t="str">
        <x:v>C1</x:v>
      </x:c>
      <x:c r="N260" s="45" t="str">
        <x:v>Sí</x:v>
      </x:c>
      <x:c r="O260" s="45" t="str">
        <x:v>Juan Jesus Zuñiga Flores</x:v>
      </x:c>
      <x:c r="P260" s="45" t="str">
        <x:v>Ops y Directorio Alsea · octubre 2026</x:v>
      </x:c>
      <x:c r="Q260" s="45" t="str">
        <x:v>Puntos proporcionados</x:v>
      </x:c>
      <x:c r="R260" s="45" t="str">
        <x:v>Abierta</x:v>
      </x:c>
      <x:c r="S260" s="45" t="str"/>
      <x:c r="T260" s="45" t="n">
        <x:f>IF(AND(E260="Abierta",N260="Sí",ISNUMBER(I260),ISNUMBER(J260),ABS(I260)&lt;=90,ABS(J260)&lt;=180),1,0)</x:f>
        <x:v>1</x:v>
      </x:c>
    </x:row>
    <x:row r="261" ht="23" customHeight="1">
      <x:c r="A261" s="45" t="str">
        <x:v>Centro Poniente</x:v>
      </x:c>
      <x:c r="B261" s="45" t="str">
        <x:v>Juan Jesus Zuñiga Flores</x:v>
      </x:c>
      <x:c r="C261" s="50" t="str">
        <x:v>38499</x:v>
      </x:c>
      <x:c r="D261" s="45" t="str">
        <x:v>Pennsylvania</x:v>
      </x:c>
      <x:c r="E261" s="45" t="str">
        <x:v>Abierta</x:v>
      </x:c>
      <x:c r="F261" s="51" t="d">
        <x:v>2013-08-17T00:00:00.000Z</x:v>
      </x:c>
      <x:c r="G261" s="45" t="str">
        <x:v>Benito Juárez</x:v>
      </x:c>
      <x:c r="H261" s="45" t="str">
        <x:v>Ciudad De México</x:v>
      </x:c>
      <x:c r="I261" s="52" t="n">
        <x:v>19.3899719</x:v>
      </x:c>
      <x:c r="J261" s="52" t="n">
        <x:v>-99.1785221</x:v>
      </x:c>
      <x:c r="K261" s="45" t="str">
        <x:v>Cafe</x:v>
      </x:c>
      <x:c r="L261" s="45" t="str">
        <x:v>Neighborhood</x:v>
      </x:c>
      <x:c r="M261" s="45" t="str">
        <x:v>C1</x:v>
      </x:c>
      <x:c r="N261" s="45" t="str">
        <x:v>Sí</x:v>
      </x:c>
      <x:c r="O261" s="45" t="str">
        <x:v>Juan Jesus Zuñiga Flores</x:v>
      </x:c>
      <x:c r="P261" s="45" t="str">
        <x:v>Ops y Directorio Alsea · octubre 2026</x:v>
      </x:c>
      <x:c r="Q261" s="45" t="str">
        <x:v>Puntos proporcionados</x:v>
      </x:c>
      <x:c r="R261" s="45" t="str">
        <x:v>Abierta</x:v>
      </x:c>
      <x:c r="S261" s="45" t="str"/>
      <x:c r="T261" s="45" t="n">
        <x:f>IF(AND(E261="Abierta",N261="Sí",ISNUMBER(I261),ISNUMBER(J261),ABS(I261)&lt;=90,ABS(J261)&lt;=180),1,0)</x:f>
        <x:v>1</x:v>
      </x:c>
    </x:row>
    <x:row r="262" ht="23" customHeight="1">
      <x:c r="A262" s="45" t="str">
        <x:v>Centro Poniente</x:v>
      </x:c>
      <x:c r="B262" s="45" t="str">
        <x:v>Juan Jesus Zuñiga Flores</x:v>
      </x:c>
      <x:c r="C262" s="50" t="str">
        <x:v>38530</x:v>
      </x:c>
      <x:c r="D262" s="45" t="str">
        <x:v>Narvarte</x:v>
      </x:c>
      <x:c r="E262" s="45" t="str">
        <x:v>Abierta</x:v>
      </x:c>
      <x:c r="F262" s="51" t="d">
        <x:v>2014-03-24T00:00:00.000Z</x:v>
      </x:c>
      <x:c r="G262" s="45" t="str">
        <x:v>Benito Juárez</x:v>
      </x:c>
      <x:c r="H262" s="45" t="str">
        <x:v>Ciudad De México</x:v>
      </x:c>
      <x:c r="I262" s="52" t="n">
        <x:v>19.390056</x:v>
      </x:c>
      <x:c r="J262" s="52" t="n">
        <x:v>-99.152097</x:v>
      </x:c>
      <x:c r="K262" s="45" t="str">
        <x:v>Drive_Thru</x:v>
      </x:c>
      <x:c r="L262" s="45" t="str">
        <x:v>Neighborhood</x:v>
      </x:c>
      <x:c r="M262" s="45" t="str">
        <x:v>C2</x:v>
      </x:c>
      <x:c r="N262" s="45" t="str">
        <x:v>Sí</x:v>
      </x:c>
      <x:c r="O262" s="45" t="str">
        <x:v>Juan Jesus Zuñiga Flores</x:v>
      </x:c>
      <x:c r="P262" s="45" t="str">
        <x:v>Ops y Directorio Alsea · octubre 2026</x:v>
      </x:c>
      <x:c r="Q262" s="45" t="str">
        <x:v>Puntos proporcionados</x:v>
      </x:c>
      <x:c r="R262" s="45" t="str">
        <x:v>Abierta</x:v>
      </x:c>
      <x:c r="S262" s="45" t="str"/>
      <x:c r="T262" s="45" t="n">
        <x:f>IF(AND(E262="Abierta",N262="Sí",ISNUMBER(I262),ISNUMBER(J262),ABS(I262)&lt;=90,ABS(J262)&lt;=180),1,0)</x:f>
        <x:v>1</x:v>
      </x:c>
    </x:row>
    <x:row r="263" ht="23" customHeight="1">
      <x:c r="A263" s="45" t="str">
        <x:v>Centro Poniente</x:v>
      </x:c>
      <x:c r="B263" s="45" t="str">
        <x:v>Juan Jesus Zuñiga Flores</x:v>
      </x:c>
      <x:c r="C263" s="50" t="str">
        <x:v>38549</x:v>
      </x:c>
      <x:c r="D263" s="45" t="str">
        <x:v>Galerias Insurgentes</x:v>
      </x:c>
      <x:c r="E263" s="45" t="str">
        <x:v>Abierta</x:v>
      </x:c>
      <x:c r="F263" s="51" t="d">
        <x:v>2014-09-26T00:00:00.000Z</x:v>
      </x:c>
      <x:c r="G263" s="45" t="str">
        <x:v>Benito Juárez</x:v>
      </x:c>
      <x:c r="H263" s="45" t="str">
        <x:v>Ciudad De México</x:v>
      </x:c>
      <x:c r="I263" s="52" t="n">
        <x:v>19.371289</x:v>
      </x:c>
      <x:c r="J263" s="52" t="n">
        <x:v>-99.17957</x:v>
      </x:c>
      <x:c r="K263" s="45" t="str">
        <x:v>Cafe</x:v>
      </x:c>
      <x:c r="L263" s="45" t="str">
        <x:v>Retail</x:v>
      </x:c>
      <x:c r="M263" s="45" t="str">
        <x:v>C2</x:v>
      </x:c>
      <x:c r="N263" s="45" t="str">
        <x:v>Sí</x:v>
      </x:c>
      <x:c r="O263" s="45" t="str">
        <x:v>Juan Jesus Zuñiga Flores</x:v>
      </x:c>
      <x:c r="P263" s="45" t="str">
        <x:v>Ops y Directorio Alsea · octubre 2026</x:v>
      </x:c>
      <x:c r="Q263" s="45" t="str">
        <x:v>Puntos proporcionados</x:v>
      </x:c>
      <x:c r="R263" s="45" t="str">
        <x:v>Abierta</x:v>
      </x:c>
      <x:c r="S263" s="45" t="str"/>
      <x:c r="T263" s="45" t="n">
        <x:f>IF(AND(E263="Abierta",N263="Sí",ISNUMBER(I263),ISNUMBER(J263),ABS(I263)&lt;=90,ABS(J263)&lt;=180),1,0)</x:f>
        <x:v>1</x:v>
      </x:c>
    </x:row>
    <x:row r="264" ht="23" customHeight="1">
      <x:c r="A264" s="45" t="str">
        <x:v>Centro Poniente</x:v>
      </x:c>
      <x:c r="B264" s="45" t="str">
        <x:v>Juan Jesus Zuñiga Flores</x:v>
      </x:c>
      <x:c r="C264" s="50" t="str">
        <x:v>38587</x:v>
      </x:c>
      <x:c r="D264" s="45" t="str">
        <x:v>Plateros</x:v>
      </x:c>
      <x:c r="E264" s="45" t="str">
        <x:v>Abierta</x:v>
      </x:c>
      <x:c r="F264" s="51" t="d">
        <x:v>2015-06-18T00:00:00.000Z</x:v>
      </x:c>
      <x:c r="G264" s="45" t="str">
        <x:v>Álvaro Obregón</x:v>
      </x:c>
      <x:c r="H264" s="45" t="str">
        <x:v>Ciudad De México</x:v>
      </x:c>
      <x:c r="I264" s="52" t="n">
        <x:v>19.369211</x:v>
      </x:c>
      <x:c r="J264" s="52" t="n">
        <x:v>-99.193146</x:v>
      </x:c>
      <x:c r="K264" s="45" t="str">
        <x:v>Cafe</x:v>
      </x:c>
      <x:c r="L264" s="45" t="str">
        <x:v>Retail</x:v>
      </x:c>
      <x:c r="M264" s="45" t="str">
        <x:v>C1</x:v>
      </x:c>
      <x:c r="N264" s="45" t="str">
        <x:v>Sí</x:v>
      </x:c>
      <x:c r="O264" s="45" t="str">
        <x:v>Juan Jesus Zuñiga Flores</x:v>
      </x:c>
      <x:c r="P264" s="45" t="str">
        <x:v>Ops y Directorio Alsea · octubre 2026</x:v>
      </x:c>
      <x:c r="Q264" s="45" t="str">
        <x:v>Puntos proporcionados</x:v>
      </x:c>
      <x:c r="R264" s="45" t="str">
        <x:v>Abierta</x:v>
      </x:c>
      <x:c r="S264" s="45" t="str"/>
      <x:c r="T264" s="45" t="n">
        <x:f>IF(AND(E264="Abierta",N264="Sí",ISNUMBER(I264),ISNUMBER(J264),ABS(I264)&lt;=90,ABS(J264)&lt;=180),1,0)</x:f>
        <x:v>1</x:v>
      </x:c>
    </x:row>
    <x:row r="265" ht="23" customHeight="1">
      <x:c r="A265" s="45" t="str">
        <x:v>Centro Poniente</x:v>
      </x:c>
      <x:c r="B265" s="45" t="str">
        <x:v>Juan Jesus Zuñiga Flores</x:v>
      </x:c>
      <x:c r="C265" s="50" t="str">
        <x:v>38715</x:v>
      </x:c>
      <x:c r="D265" s="45" t="str">
        <x:v>Av. Coyoacan DT only</x:v>
      </x:c>
      <x:c r="E265" s="45" t="str">
        <x:v>Abierta</x:v>
      </x:c>
      <x:c r="F265" s="51" t="d">
        <x:v>2017-02-24T00:00:00.000Z</x:v>
      </x:c>
      <x:c r="G265" s="45" t="str">
        <x:v>Benito Juárez</x:v>
      </x:c>
      <x:c r="H265" s="45" t="str">
        <x:v>Ciudad De México</x:v>
      </x:c>
      <x:c r="I265" s="52" t="n">
        <x:v>19.3863785</x:v>
      </x:c>
      <x:c r="J265" s="52" t="n">
        <x:v>-99.1674723</x:v>
      </x:c>
      <x:c r="K265" s="45" t="str">
        <x:v>Drive_Thru</x:v>
      </x:c>
      <x:c r="L265" s="45" t="str">
        <x:v>Transfers</x:v>
      </x:c>
      <x:c r="M265" s="45" t="str">
        <x:v>C2</x:v>
      </x:c>
      <x:c r="N265" s="45" t="str">
        <x:v>Sí</x:v>
      </x:c>
      <x:c r="O265" s="45" t="str">
        <x:v>Juan Jesus Zuñiga Flores</x:v>
      </x:c>
      <x:c r="P265" s="45" t="str">
        <x:v>Ops y Directorio Alsea · octubre 2026</x:v>
      </x:c>
      <x:c r="Q265" s="45" t="str">
        <x:v>Puntos proporcionados</x:v>
      </x:c>
      <x:c r="R265" s="45" t="str">
        <x:v>Abierta</x:v>
      </x:c>
      <x:c r="S265" s="45" t="str"/>
      <x:c r="T265" s="45" t="n">
        <x:f>IF(AND(E265="Abierta",N265="Sí",ISNUMBER(I265),ISNUMBER(J265),ABS(I265)&lt;=90,ABS(J265)&lt;=180),1,0)</x:f>
        <x:v>1</x:v>
      </x:c>
    </x:row>
    <x:row r="266" ht="23" customHeight="1">
      <x:c r="A266" s="45" t="str">
        <x:v>Centro Poniente</x:v>
      </x:c>
      <x:c r="B266" s="45" t="str">
        <x:v>Juan Jesus Zuñiga Flores</x:v>
      </x:c>
      <x:c r="C266" s="50" t="str">
        <x:v>38764</x:v>
      </x:c>
      <x:c r="D266" s="45" t="str">
        <x:v>Star  Medica Napoles</x:v>
      </x:c>
      <x:c r="E266" s="45" t="str">
        <x:v>Abierta</x:v>
      </x:c>
      <x:c r="F266" s="51" t="d">
        <x:v>2017-11-22T00:00:00.000Z</x:v>
      </x:c>
      <x:c r="G266" s="45" t="str">
        <x:v>Benito Juárez</x:v>
      </x:c>
      <x:c r="H266" s="45" t="str">
        <x:v>Ciudad De México</x:v>
      </x:c>
      <x:c r="I266" s="52" t="n">
        <x:v>19.3961916</x:v>
      </x:c>
      <x:c r="J266" s="52" t="n">
        <x:v>-99.1795433</x:v>
      </x:c>
      <x:c r="K266" s="45" t="str">
        <x:v>Cafe</x:v>
      </x:c>
      <x:c r="L266" s="45" t="str">
        <x:v>Institution</x:v>
      </x:c>
      <x:c r="M266" s="45" t="str">
        <x:v>C2</x:v>
      </x:c>
      <x:c r="N266" s="45" t="str">
        <x:v>Sí</x:v>
      </x:c>
      <x:c r="O266" s="45" t="str">
        <x:v>Juan Jesus Zuñiga Flores</x:v>
      </x:c>
      <x:c r="P266" s="45" t="str">
        <x:v>Ops y Directorio Alsea · octubre 2026</x:v>
      </x:c>
      <x:c r="Q266" s="45" t="str">
        <x:v>Puntos proporcionados</x:v>
      </x:c>
      <x:c r="R266" s="45" t="str">
        <x:v>Abierta</x:v>
      </x:c>
      <x:c r="S266" s="45" t="str"/>
      <x:c r="T266" s="45" t="n">
        <x:f>IF(AND(E266="Abierta",N266="Sí",ISNUMBER(I266),ISNUMBER(J266),ABS(I266)&lt;=90,ABS(J266)&lt;=180),1,0)</x:f>
        <x:v>1</x:v>
      </x:c>
    </x:row>
    <x:row r="267" ht="23" customHeight="1">
      <x:c r="A267" s="45" t="str">
        <x:v>Centro Poniente</x:v>
      </x:c>
      <x:c r="B267" s="45" t="str">
        <x:v>Juan Jesus Zuñiga Flores</x:v>
      </x:c>
      <x:c r="C267" s="50" t="str">
        <x:v>38951</x:v>
      </x:c>
      <x:c r="D267" s="45" t="str">
        <x:v>Universidad Panamericana</x:v>
      </x:c>
      <x:c r="E267" s="45" t="str">
        <x:v>Abierta</x:v>
      </x:c>
      <x:c r="F267" s="51" t="d">
        <x:v>2023-03-14T00:00:00.000Z</x:v>
      </x:c>
      <x:c r="G267" s="45" t="str">
        <x:v>Benito Juárez</x:v>
      </x:c>
      <x:c r="H267" s="45" t="str">
        <x:v>Ciudad De México</x:v>
      </x:c>
      <x:c r="I267" s="52" t="n">
        <x:v>19.3728986</x:v>
      </x:c>
      <x:c r="J267" s="52" t="n">
        <x:v>-99.1831354</x:v>
      </x:c>
      <x:c r="K267" s="45" t="str">
        <x:v>Kiosko</x:v>
      </x:c>
      <x:c r="L267" s="45" t="str">
        <x:v>Institution</x:v>
      </x:c>
      <x:c r="M267" s="45" t="str">
        <x:v>C1</x:v>
      </x:c>
      <x:c r="N267" s="45" t="str">
        <x:v>Sí</x:v>
      </x:c>
      <x:c r="O267" s="45" t="str">
        <x:v>Juan Jesus Zuñiga Flores</x:v>
      </x:c>
      <x:c r="P267" s="45" t="str">
        <x:v>Ops y Directorio Alsea · octubre 2026</x:v>
      </x:c>
      <x:c r="Q267" s="45" t="str">
        <x:v>Puntos proporcionados</x:v>
      </x:c>
      <x:c r="R267" s="45" t="str">
        <x:v>Abierta</x:v>
      </x:c>
      <x:c r="S267" s="45" t="str"/>
      <x:c r="T267" s="45" t="n">
        <x:f>IF(AND(E267="Abierta",N267="Sí",ISNUMBER(I267),ISNUMBER(J267),ABS(I267)&lt;=90,ABS(J267)&lt;=180),1,0)</x:f>
        <x:v>1</x:v>
      </x:c>
    </x:row>
    <x:row r="268" ht="23" customHeight="1">
      <x:c r="A268" s="45" t="str">
        <x:v>Centro Poniente</x:v>
      </x:c>
      <x:c r="B268" s="45" t="str">
        <x:v>Juan Jesus Zuñiga Flores</x:v>
      </x:c>
      <x:c r="C268" s="50" t="str">
        <x:v>43105</x:v>
      </x:c>
      <x:c r="D268" s="45" t="str">
        <x:v>Insurgentes Capital</x:v>
      </x:c>
      <x:c r="E268" s="45" t="str">
        <x:v>Abierta</x:v>
      </x:c>
      <x:c r="F268" s="51" t="d">
        <x:v>2025-02-28T00:00:00.000Z</x:v>
      </x:c>
      <x:c r="G268" s="45" t="str">
        <x:v>Benito Juárez</x:v>
      </x:c>
      <x:c r="H268" s="45" t="str">
        <x:v>Ciudad De México</x:v>
      </x:c>
      <x:c r="I268" s="52" t="n">
        <x:v>19.381428</x:v>
      </x:c>
      <x:c r="J268" s="52" t="n">
        <x:v>-99.176733</x:v>
      </x:c>
      <x:c r="K268" s="45" t="str">
        <x:v>Cafe</x:v>
      </x:c>
      <x:c r="L268" s="45" t="str">
        <x:v>Office_Complex</x:v>
      </x:c>
      <x:c r="M268" s="45" t="str">
        <x:v>C2</x:v>
      </x:c>
      <x:c r="N268" s="45" t="str">
        <x:v>Sí</x:v>
      </x:c>
      <x:c r="O268" s="45" t="str">
        <x:v>Juan Jesus Zuñiga Flores</x:v>
      </x:c>
      <x:c r="P268" s="45" t="str">
        <x:v>Ops y Directorio Alsea · octubre 2026</x:v>
      </x:c>
      <x:c r="Q268" s="45" t="str">
        <x:v>Puntos proporcionados</x:v>
      </x:c>
      <x:c r="R268" s="45" t="str">
        <x:v>Abierta</x:v>
      </x:c>
      <x:c r="S268" s="45" t="str"/>
      <x:c r="T268" s="45" t="n">
        <x:f>IF(AND(E268="Abierta",N268="Sí",ISNUMBER(I268),ISNUMBER(J268),ABS(I268)&lt;=90,ABS(J268)&lt;=180),1,0)</x:f>
        <x:v>1</x:v>
      </x:c>
    </x:row>
    <x:row r="269" ht="23" customHeight="1">
      <x:c r="A269" s="45" t="str">
        <x:v>Centro Poniente</x:v>
      </x:c>
      <x:c r="B269" s="45" t="str">
        <x:v>Manuel Alejandro Avila Molina</x:v>
      </x:c>
      <x:c r="C269" s="50" t="str">
        <x:v>38121</x:v>
      </x:c>
      <x:c r="D269" s="45" t="str">
        <x:v>Herradura</x:v>
      </x:c>
      <x:c r="E269" s="45" t="str">
        <x:v>Abierta</x:v>
      </x:c>
      <x:c r="F269" s="51" t="d">
        <x:v>2003-12-17T00:00:00.000Z</x:v>
      </x:c>
      <x:c r="G269" s="45" t="str">
        <x:v>Huixquilucan</x:v>
      </x:c>
      <x:c r="H269" s="45" t="str">
        <x:v>Estado De México</x:v>
      </x:c>
      <x:c r="I269" s="52" t="n">
        <x:v>19.422748</x:v>
      </x:c>
      <x:c r="J269" s="52" t="n">
        <x:v>-99.2597692</x:v>
      </x:c>
      <x:c r="K269" s="45" t="str">
        <x:v>Cafe</x:v>
      </x:c>
      <x:c r="L269" s="45" t="str">
        <x:v>Retail</x:v>
      </x:c>
      <x:c r="M269" s="45" t="str">
        <x:v>C2</x:v>
      </x:c>
      <x:c r="N269" s="45" t="str">
        <x:v>Sí</x:v>
      </x:c>
      <x:c r="O269" s="45" t="str">
        <x:v>Manuel Alejandro Avila Molina</x:v>
      </x:c>
      <x:c r="P269" s="45" t="str">
        <x:v>Ops y Directorio Alsea · octubre 2026</x:v>
      </x:c>
      <x:c r="Q269" s="45" t="str">
        <x:v>Puntos proporcionados</x:v>
      </x:c>
      <x:c r="R269" s="45" t="str">
        <x:v>Abierta</x:v>
      </x:c>
      <x:c r="S269" s="45" t="str"/>
      <x:c r="T269" s="45" t="n">
        <x:f>IF(AND(E269="Abierta",N269="Sí",ISNUMBER(I269),ISNUMBER(J269),ABS(I269)&lt;=90,ABS(J269)&lt;=180),1,0)</x:f>
        <x:v>1</x:v>
      </x:c>
    </x:row>
    <x:row r="270" ht="23" customHeight="1">
      <x:c r="A270" s="45" t="str">
        <x:v>Centro Poniente</x:v>
      </x:c>
      <x:c r="B270" s="45" t="str">
        <x:v>Manuel Alejandro Avila Molina</x:v>
      </x:c>
      <x:c r="C270" s="50" t="str">
        <x:v>38366</x:v>
      </x:c>
      <x:c r="D270" s="45" t="str">
        <x:v>Hospital ABC</x:v>
      </x:c>
      <x:c r="E270" s="45" t="str">
        <x:v>Abierta</x:v>
      </x:c>
      <x:c r="F270" s="51" t="d">
        <x:v>2009-03-09T00:00:00.000Z</x:v>
      </x:c>
      <x:c r="G270" s="45" t="str">
        <x:v>Álvaro Obregón</x:v>
      </x:c>
      <x:c r="H270" s="45" t="str">
        <x:v>Ciudad De México</x:v>
      </x:c>
      <x:c r="I270" s="52" t="n">
        <x:v>19.3997836</x:v>
      </x:c>
      <x:c r="J270" s="52" t="n">
        <x:v>-99.2040237</x:v>
      </x:c>
      <x:c r="K270" s="45" t="str">
        <x:v>Cafe</x:v>
      </x:c>
      <x:c r="L270" s="45" t="str">
        <x:v>Institution</x:v>
      </x:c>
      <x:c r="M270" s="45" t="str">
        <x:v>C2</x:v>
      </x:c>
      <x:c r="N270" s="45" t="str">
        <x:v>Sí</x:v>
      </x:c>
      <x:c r="O270" s="45" t="str">
        <x:v>Manuel Alejandro Avila Molina</x:v>
      </x:c>
      <x:c r="P270" s="45" t="str">
        <x:v>Ops y Directorio Alsea · octubre 2026</x:v>
      </x:c>
      <x:c r="Q270" s="45" t="str">
        <x:v>Puntos proporcionados</x:v>
      </x:c>
      <x:c r="R270" s="45" t="str">
        <x:v>Abierta</x:v>
      </x:c>
      <x:c r="S270" s="45" t="str"/>
      <x:c r="T270" s="45" t="n">
        <x:f>IF(AND(E270="Abierta",N270="Sí",ISNUMBER(I270),ISNUMBER(J270),ABS(I270)&lt;=90,ABS(J270)&lt;=180),1,0)</x:f>
        <x:v>1</x:v>
      </x:c>
    </x:row>
    <x:row r="271" ht="23" customHeight="1">
      <x:c r="A271" s="45" t="str">
        <x:v>Centro Poniente</x:v>
      </x:c>
      <x:c r="B271" s="45" t="str">
        <x:v>Manuel Alejandro Avila Molina</x:v>
      </x:c>
      <x:c r="C271" s="50" t="str">
        <x:v>38386</x:v>
      </x:c>
      <x:c r="D271" s="45" t="str">
        <x:v>Duraznos</x:v>
      </x:c>
      <x:c r="E271" s="45" t="str">
        <x:v>Abierta</x:v>
      </x:c>
      <x:c r="F271" s="51" t="d">
        <x:v>2010-08-09T00:00:00.000Z</x:v>
      </x:c>
      <x:c r="G271" s="45" t="str">
        <x:v>Miguel Hidalgo</x:v>
      </x:c>
      <x:c r="H271" s="45" t="str">
        <x:v>Ciudad De México</x:v>
      </x:c>
      <x:c r="I271" s="52" t="n">
        <x:v>19.403256</x:v>
      </x:c>
      <x:c r="J271" s="52" t="n">
        <x:v>-99.24282</x:v>
      </x:c>
      <x:c r="K271" s="45" t="str">
        <x:v>Cafe</x:v>
      </x:c>
      <x:c r="L271" s="45" t="str">
        <x:v>Retail</x:v>
      </x:c>
      <x:c r="M271" s="45" t="str">
        <x:v>C1</x:v>
      </x:c>
      <x:c r="N271" s="45" t="str">
        <x:v>Sí</x:v>
      </x:c>
      <x:c r="O271" s="45" t="str">
        <x:v>Manuel Alejandro Avila Molina</x:v>
      </x:c>
      <x:c r="P271" s="45" t="str">
        <x:v>Ops y Directorio Alsea · octubre 2026</x:v>
      </x:c>
      <x:c r="Q271" s="45" t="str">
        <x:v>Puntos proporcionados</x:v>
      </x:c>
      <x:c r="R271" s="45" t="str">
        <x:v>Abierta</x:v>
      </x:c>
      <x:c r="S271" s="45" t="str"/>
      <x:c r="T271" s="45" t="n">
        <x:f>IF(AND(E271="Abierta",N271="Sí",ISNUMBER(I271),ISNUMBER(J271),ABS(I271)&lt;=90,ABS(J271)&lt;=180),1,0)</x:f>
        <x:v>1</x:v>
      </x:c>
    </x:row>
    <x:row r="272" ht="23" customHeight="1">
      <x:c r="A272" s="45" t="str">
        <x:v>Centro Poniente</x:v>
      </x:c>
      <x:c r="B272" s="45" t="str">
        <x:v>Manuel Alejandro Avila Molina</x:v>
      </x:c>
      <x:c r="C272" s="50" t="str">
        <x:v>38461</x:v>
      </x:c>
      <x:c r="D272" s="45" t="str">
        <x:v>Fuente de Tritones</x:v>
      </x:c>
      <x:c r="E272" s="45" t="str">
        <x:v>Abierta</x:v>
      </x:c>
      <x:c r="F272" s="51" t="d">
        <x:v>2012-09-13T00:00:00.000Z</x:v>
      </x:c>
      <x:c r="G272" s="45" t="str">
        <x:v>Naucalpan</x:v>
      </x:c>
      <x:c r="H272" s="45" t="str">
        <x:v>Estado De México</x:v>
      </x:c>
      <x:c r="I272" s="52" t="n">
        <x:v>19.4299273</x:v>
      </x:c>
      <x:c r="J272" s="52" t="n">
        <x:v>-99.2274915</x:v>
      </x:c>
      <x:c r="K272" s="45" t="str">
        <x:v>Cafe</x:v>
      </x:c>
      <x:c r="L272" s="45" t="str">
        <x:v>Neighborhood</x:v>
      </x:c>
      <x:c r="M272" s="45" t="str">
        <x:v>C2</x:v>
      </x:c>
      <x:c r="N272" s="45" t="str">
        <x:v>Sí</x:v>
      </x:c>
      <x:c r="O272" s="45" t="str">
        <x:v>Manuel Alejandro Avila Molina</x:v>
      </x:c>
      <x:c r="P272" s="45" t="str">
        <x:v>Ops y Directorio Alsea · octubre 2026</x:v>
      </x:c>
      <x:c r="Q272" s="45" t="str">
        <x:v>Puntos proporcionados</x:v>
      </x:c>
      <x:c r="R272" s="45" t="str">
        <x:v>Abierta</x:v>
      </x:c>
      <x:c r="S272" s="45" t="str"/>
      <x:c r="T272" s="45" t="n">
        <x:f>IF(AND(E272="Abierta",N272="Sí",ISNUMBER(I272),ISNUMBER(J272),ABS(I272)&lt;=90,ABS(J272)&lt;=180),1,0)</x:f>
        <x:v>1</x:v>
      </x:c>
    </x:row>
    <x:row r="273" ht="23" customHeight="1">
      <x:c r="A273" s="45" t="str">
        <x:v>Centro Poniente</x:v>
      </x:c>
      <x:c r="B273" s="45" t="str">
        <x:v>Manuel Alejandro Avila Molina</x:v>
      </x:c>
      <x:c r="C273" s="50" t="str">
        <x:v>38538</x:v>
      </x:c>
      <x:c r="D273" s="45" t="str">
        <x:v>Monte Pelvoux</x:v>
      </x:c>
      <x:c r="E273" s="45" t="str">
        <x:v>Abierta</x:v>
      </x:c>
      <x:c r="F273" s="51" t="d">
        <x:v>2014-08-30T00:00:00.000Z</x:v>
      </x:c>
      <x:c r="G273" s="45" t="str">
        <x:v>Miguel Hidalgo</x:v>
      </x:c>
      <x:c r="H273" s="45" t="str">
        <x:v>Ciudad De México</x:v>
      </x:c>
      <x:c r="I273" s="52" t="n">
        <x:v>19.4253412</x:v>
      </x:c>
      <x:c r="J273" s="52" t="n">
        <x:v>-99.204325</x:v>
      </x:c>
      <x:c r="K273" s="45" t="str">
        <x:v>Cafe</x:v>
      </x:c>
      <x:c r="L273" s="45" t="str">
        <x:v>Office_Complex</x:v>
      </x:c>
      <x:c r="M273" s="45" t="str">
        <x:v>C2</x:v>
      </x:c>
      <x:c r="N273" s="45" t="str">
        <x:v>Sí</x:v>
      </x:c>
      <x:c r="O273" s="45" t="str">
        <x:v>Manuel Alejandro Avila Molina</x:v>
      </x:c>
      <x:c r="P273" s="45" t="str">
        <x:v>Ops y Directorio Alsea · octubre 2026</x:v>
      </x:c>
      <x:c r="Q273" s="45" t="str">
        <x:v>Puntos proporcionados</x:v>
      </x:c>
      <x:c r="R273" s="45" t="str">
        <x:v>Abierta</x:v>
      </x:c>
      <x:c r="S273" s="45" t="str"/>
      <x:c r="T273" s="45" t="n">
        <x:f>IF(AND(E273="Abierta",N273="Sí",ISNUMBER(I273),ISNUMBER(J273),ABS(I273)&lt;=90,ABS(J273)&lt;=180),1,0)</x:f>
        <x:v>1</x:v>
      </x:c>
    </x:row>
    <x:row r="274" ht="23" customHeight="1">
      <x:c r="A274" s="45" t="str">
        <x:v>Centro Poniente</x:v>
      </x:c>
      <x:c r="B274" s="45" t="str">
        <x:v>Manuel Alejandro Avila Molina</x:v>
      </x:c>
      <x:c r="C274" s="50" t="str">
        <x:v>38644</x:v>
      </x:c>
      <x:c r="D274" s="45" t="str">
        <x:v>Torre Virreyes</x:v>
      </x:c>
      <x:c r="E274" s="45" t="str">
        <x:v>Abierta</x:v>
      </x:c>
      <x:c r="F274" s="51" t="d">
        <x:v>2016-04-19T00:00:00.000Z</x:v>
      </x:c>
      <x:c r="G274" s="45" t="str">
        <x:v>Miguel Hidalgo</x:v>
      </x:c>
      <x:c r="H274" s="45" t="str">
        <x:v>Ciudad De México</x:v>
      </x:c>
      <x:c r="I274" s="52" t="n">
        <x:v>19.4253588</x:v>
      </x:c>
      <x:c r="J274" s="52" t="n">
        <x:v>-99.2032328</x:v>
      </x:c>
      <x:c r="K274" s="45" t="str">
        <x:v>Cafe</x:v>
      </x:c>
      <x:c r="L274" s="45" t="str">
        <x:v>Office_Complex</x:v>
      </x:c>
      <x:c r="M274" s="45" t="str">
        <x:v>C2</x:v>
      </x:c>
      <x:c r="N274" s="45" t="str">
        <x:v>Sí</x:v>
      </x:c>
      <x:c r="O274" s="45" t="str">
        <x:v>Manuel Alejandro Avila Molina</x:v>
      </x:c>
      <x:c r="P274" s="45" t="str">
        <x:v>Ops y Directorio Alsea · octubre 2026</x:v>
      </x:c>
      <x:c r="Q274" s="45" t="str">
        <x:v>Puntos proporcionados</x:v>
      </x:c>
      <x:c r="R274" s="45" t="str">
        <x:v>Abierta</x:v>
      </x:c>
      <x:c r="S274" s="45" t="str"/>
      <x:c r="T274" s="45" t="n">
        <x:f>IF(AND(E274="Abierta",N274="Sí",ISNUMBER(I274),ISNUMBER(J274),ABS(I274)&lt;=90,ABS(J274)&lt;=180),1,0)</x:f>
        <x:v>1</x:v>
      </x:c>
    </x:row>
    <x:row r="275" ht="23" customHeight="1">
      <x:c r="A275" s="45" t="str">
        <x:v>Centro Poniente</x:v>
      </x:c>
      <x:c r="B275" s="45" t="str">
        <x:v>Manuel Alejandro Avila Molina</x:v>
      </x:c>
      <x:c r="C275" s="50" t="str">
        <x:v>38709</x:v>
      </x:c>
      <x:c r="D275" s="45" t="str">
        <x:v>Corporativo Barranca</x:v>
      </x:c>
      <x:c r="E275" s="45" t="str">
        <x:v>Abierta</x:v>
      </x:c>
      <x:c r="F275" s="51" t="d">
        <x:v>2017-09-01T00:00:00.000Z</x:v>
      </x:c>
      <x:c r="G275" s="45" t="str">
        <x:v>Álvaro Obregón</x:v>
      </x:c>
      <x:c r="H275" s="45" t="str">
        <x:v>Ciudad De México</x:v>
      </x:c>
      <x:c r="I275" s="52" t="n">
        <x:v>19.3611077</x:v>
      </x:c>
      <x:c r="J275" s="52" t="n">
        <x:v>-99.1898954</x:v>
      </x:c>
      <x:c r="K275" s="45" t="str">
        <x:v>Cafe</x:v>
      </x:c>
      <x:c r="L275" s="45" t="str">
        <x:v>Office_Complex</x:v>
      </x:c>
      <x:c r="M275" s="45" t="str">
        <x:v>C1</x:v>
      </x:c>
      <x:c r="N275" s="45" t="str">
        <x:v>Sí</x:v>
      </x:c>
      <x:c r="O275" s="45" t="str">
        <x:v>Manuel Alejandro Avila Molina</x:v>
      </x:c>
      <x:c r="P275" s="45" t="str">
        <x:v>Ops y Directorio Alsea · octubre 2026</x:v>
      </x:c>
      <x:c r="Q275" s="45" t="str">
        <x:v>Puntos proporcionados</x:v>
      </x:c>
      <x:c r="R275" s="45" t="str">
        <x:v>Abierta</x:v>
      </x:c>
      <x:c r="S275" s="45" t="str"/>
      <x:c r="T275" s="45" t="n">
        <x:f>IF(AND(E275="Abierta",N275="Sí",ISNUMBER(I275),ISNUMBER(J275),ABS(I275)&lt;=90,ABS(J275)&lt;=180),1,0)</x:f>
        <x:v>1</x:v>
      </x:c>
    </x:row>
    <x:row r="276" ht="23" customHeight="1">
      <x:c r="A276" s="45" t="str">
        <x:v>Centro Poniente</x:v>
      </x:c>
      <x:c r="B276" s="45" t="str">
        <x:v>Manuel Alejandro Avila Molina</x:v>
      </x:c>
      <x:c r="C276" s="50" t="str">
        <x:v>38717</x:v>
      </x:c>
      <x:c r="D276" s="45" t="str">
        <x:v>Av Revolucion</x:v>
      </x:c>
      <x:c r="E276" s="45" t="str">
        <x:v>Abierta</x:v>
      </x:c>
      <x:c r="F276" s="51" t="d">
        <x:v>2017-03-03T00:00:00.000Z</x:v>
      </x:c>
      <x:c r="G276" s="45" t="str">
        <x:v>Benito Juárez</x:v>
      </x:c>
      <x:c r="H276" s="45" t="str">
        <x:v>Ciudad De México</x:v>
      </x:c>
      <x:c r="I276" s="52" t="n">
        <x:v>19.3839361</x:v>
      </x:c>
      <x:c r="J276" s="52" t="n">
        <x:v>-99.1864813</x:v>
      </x:c>
      <x:c r="K276" s="45" t="str">
        <x:v>Drive_Thru</x:v>
      </x:c>
      <x:c r="L276" s="45" t="str">
        <x:v>Transfers</x:v>
      </x:c>
      <x:c r="M276" s="45" t="str">
        <x:v>C1</x:v>
      </x:c>
      <x:c r="N276" s="45" t="str">
        <x:v>Sí</x:v>
      </x:c>
      <x:c r="O276" s="45" t="str">
        <x:v>Manuel Alejandro Avila Molina</x:v>
      </x:c>
      <x:c r="P276" s="45" t="str">
        <x:v>Ops y Directorio Alsea · octubre 2026</x:v>
      </x:c>
      <x:c r="Q276" s="45" t="str">
        <x:v>Puntos proporcionados</x:v>
      </x:c>
      <x:c r="R276" s="45" t="str">
        <x:v>Abierta</x:v>
      </x:c>
      <x:c r="S276" s="45" t="str"/>
      <x:c r="T276" s="45" t="n">
        <x:f>IF(AND(E276="Abierta",N276="Sí",ISNUMBER(I276),ISNUMBER(J276),ABS(I276)&lt;=90,ABS(J276)&lt;=180),1,0)</x:f>
        <x:v>1</x:v>
      </x:c>
    </x:row>
    <x:row r="277" ht="23" customHeight="1">
      <x:c r="A277" s="45" t="str">
        <x:v>Centro Poniente</x:v>
      </x:c>
      <x:c r="B277" s="45" t="str">
        <x:v>Manuel Alejandro Avila Molina</x:v>
      </x:c>
      <x:c r="C277" s="50" t="str">
        <x:v>38720</x:v>
      </x:c>
      <x:c r="D277" s="45" t="str">
        <x:v>Patio Barranca PB</x:v>
      </x:c>
      <x:c r="E277" s="45" t="str">
        <x:v>Abierta</x:v>
      </x:c>
      <x:c r="F277" s="51" t="d">
        <x:v>2017-03-30T00:00:00.000Z</x:v>
      </x:c>
      <x:c r="G277" s="45" t="str">
        <x:v>Álvaro Obregón</x:v>
      </x:c>
      <x:c r="H277" s="45" t="str">
        <x:v>Ciudad De México</x:v>
      </x:c>
      <x:c r="I277" s="52" t="n">
        <x:v>19.360933</x:v>
      </x:c>
      <x:c r="J277" s="52" t="n">
        <x:v>-99.190084</x:v>
      </x:c>
      <x:c r="K277" s="45" t="str">
        <x:v>Cafe</x:v>
      </x:c>
      <x:c r="L277" s="45" t="str">
        <x:v>Retail</x:v>
      </x:c>
      <x:c r="M277" s="45" t="str">
        <x:v>C1</x:v>
      </x:c>
      <x:c r="N277" s="45" t="str">
        <x:v>Sí</x:v>
      </x:c>
      <x:c r="O277" s="45" t="str">
        <x:v>Manuel Alejandro Avila Molina</x:v>
      </x:c>
      <x:c r="P277" s="45" t="str">
        <x:v>Ops y Directorio Alsea · octubre 2026</x:v>
      </x:c>
      <x:c r="Q277" s="45" t="str">
        <x:v>Puntos proporcionados</x:v>
      </x:c>
      <x:c r="R277" s="45" t="str">
        <x:v>Abierta</x:v>
      </x:c>
      <x:c r="S277" s="45" t="str"/>
      <x:c r="T277" s="45" t="n">
        <x:f>IF(AND(E277="Abierta",N277="Sí",ISNUMBER(I277),ISNUMBER(J277),ABS(I277)&lt;=90,ABS(J277)&lt;=180),1,0)</x:f>
        <x:v>1</x:v>
      </x:c>
    </x:row>
    <x:row r="278" ht="23" customHeight="1">
      <x:c r="A278" s="45" t="str">
        <x:v>Centro Poniente</x:v>
      </x:c>
      <x:c r="B278" s="45" t="str">
        <x:v>Manuel Alejandro Avila Molina</x:v>
      </x:c>
      <x:c r="C278" s="50" t="str">
        <x:v>38722</x:v>
      </x:c>
      <x:c r="D278" s="45" t="str">
        <x:v>Patio Barranca N2</x:v>
      </x:c>
      <x:c r="E278" s="45" t="str">
        <x:v>Abierta</x:v>
      </x:c>
      <x:c r="F278" s="51" t="d">
        <x:v>2017-05-26T00:00:00.000Z</x:v>
      </x:c>
      <x:c r="G278" s="45" t="str">
        <x:v>Álvaro Obregón</x:v>
      </x:c>
      <x:c r="H278" s="45" t="str">
        <x:v>Ciudad De México</x:v>
      </x:c>
      <x:c r="I278" s="52" t="n">
        <x:v>19.3609334</x:v>
      </x:c>
      <x:c r="J278" s="52" t="n">
        <x:v>-99.1904309</x:v>
      </x:c>
      <x:c r="K278" s="45" t="str">
        <x:v>Cafe</x:v>
      </x:c>
      <x:c r="L278" s="45" t="str">
        <x:v>Retail</x:v>
      </x:c>
      <x:c r="M278" s="45" t="str">
        <x:v>C1</x:v>
      </x:c>
      <x:c r="N278" s="45" t="str">
        <x:v>Sí</x:v>
      </x:c>
      <x:c r="O278" s="45" t="str">
        <x:v>Manuel Alejandro Avila Molina</x:v>
      </x:c>
      <x:c r="P278" s="45" t="str">
        <x:v>Ops y Directorio Alsea · octubre 2026</x:v>
      </x:c>
      <x:c r="Q278" s="45" t="str">
        <x:v>Puntos proporcionados</x:v>
      </x:c>
      <x:c r="R278" s="45" t="str">
        <x:v>Abierta</x:v>
      </x:c>
      <x:c r="S278" s="45" t="str"/>
      <x:c r="T278" s="45" t="n">
        <x:f>IF(AND(E278="Abierta",N278="Sí",ISNUMBER(I278),ISNUMBER(J278),ABS(I278)&lt;=90,ABS(J278)&lt;=180),1,0)</x:f>
        <x:v>1</x:v>
      </x:c>
    </x:row>
    <x:row r="279" ht="23" customHeight="1">
      <x:c r="A279" s="45" t="str">
        <x:v>Centro Poniente</x:v>
      </x:c>
      <x:c r="B279" s="45" t="str">
        <x:v>Manuel Alejandro Avila Molina</x:v>
      </x:c>
      <x:c r="C279" s="50" t="str">
        <x:v>38727</x:v>
      </x:c>
      <x:c r="D279" s="45" t="str">
        <x:v>Centro Tk</x:v>
      </x:c>
      <x:c r="E279" s="45" t="str">
        <x:v>Abierta</x:v>
      </x:c>
      <x:c r="F279" s="51" t="d">
        <x:v>2017-07-07T00:00:00.000Z</x:v>
      </x:c>
      <x:c r="G279" s="45" t="str">
        <x:v>Naucalpan</x:v>
      </x:c>
      <x:c r="H279" s="45" t="str">
        <x:v>Estado De México</x:v>
      </x:c>
      <x:c r="I279" s="52" t="n">
        <x:v>19.4145048</x:v>
      </x:c>
      <x:c r="J279" s="52" t="n">
        <x:v>-99.2443107</x:v>
      </x:c>
      <x:c r="K279" s="45" t="str">
        <x:v>Cafe</x:v>
      </x:c>
      <x:c r="L279" s="45" t="str">
        <x:v>Neighborhood</x:v>
      </x:c>
      <x:c r="M279" s="45" t="str">
        <x:v>C2</x:v>
      </x:c>
      <x:c r="N279" s="45" t="str">
        <x:v>Sí</x:v>
      </x:c>
      <x:c r="O279" s="45" t="str">
        <x:v>Manuel Alejandro Avila Molina</x:v>
      </x:c>
      <x:c r="P279" s="45" t="str">
        <x:v>Ops y Directorio Alsea · octubre 2026</x:v>
      </x:c>
      <x:c r="Q279" s="45" t="str">
        <x:v>Puntos proporcionados</x:v>
      </x:c>
      <x:c r="R279" s="45" t="str">
        <x:v>Abierta</x:v>
      </x:c>
      <x:c r="S279" s="45" t="str"/>
      <x:c r="T279" s="45" t="n">
        <x:f>IF(AND(E279="Abierta",N279="Sí",ISNUMBER(I279),ISNUMBER(J279),ABS(I279)&lt;=90,ABS(J279)&lt;=180),1,0)</x:f>
        <x:v>1</x:v>
      </x:c>
    </x:row>
    <x:row r="280" ht="23" customHeight="1">
      <x:c r="A280" s="45" t="str">
        <x:v>Centro Poniente</x:v>
      </x:c>
      <x:c r="B280" s="45" t="str">
        <x:v>Manuel Alejandro Avila Molina</x:v>
      </x:c>
      <x:c r="C280" s="50" t="str">
        <x:v>38773</x:v>
      </x:c>
      <x:c r="D280" s="45" t="str">
        <x:v>Colegio Americano</x:v>
      </x:c>
      <x:c r="E280" s="45" t="str">
        <x:v>Abierta</x:v>
      </x:c>
      <x:c r="F280" s="51" t="d">
        <x:v>2018-01-22T00:00:00.000Z</x:v>
      </x:c>
      <x:c r="G280" s="45" t="str">
        <x:v>Álvaro Obregón</x:v>
      </x:c>
      <x:c r="H280" s="45" t="str">
        <x:v>Ciudad De México</x:v>
      </x:c>
      <x:c r="I280" s="52" t="n">
        <x:v>19.3997974</x:v>
      </x:c>
      <x:c r="J280" s="52" t="n">
        <x:v>-99.2057367</x:v>
      </x:c>
      <x:c r="K280" s="45" t="str">
        <x:v>Kiosko</x:v>
      </x:c>
      <x:c r="L280" s="45" t="str">
        <x:v>Institution</x:v>
      </x:c>
      <x:c r="M280" s="45" t="str">
        <x:v>C2</x:v>
      </x:c>
      <x:c r="N280" s="45" t="str">
        <x:v>Sí</x:v>
      </x:c>
      <x:c r="O280" s="45" t="str">
        <x:v>Manuel Alejandro Avila Molina</x:v>
      </x:c>
      <x:c r="P280" s="45" t="str">
        <x:v>Ops y Directorio Alsea · octubre 2026</x:v>
      </x:c>
      <x:c r="Q280" s="45" t="str">
        <x:v>Puntos proporcionados</x:v>
      </x:c>
      <x:c r="R280" s="45" t="str">
        <x:v>Abierta</x:v>
      </x:c>
      <x:c r="S280" s="45" t="str"/>
      <x:c r="T280" s="45" t="n">
        <x:f>IF(AND(E280="Abierta",N280="Sí",ISNUMBER(I280),ISNUMBER(J280),ABS(I280)&lt;=90,ABS(J280)&lt;=180),1,0)</x:f>
        <x:v>1</x:v>
      </x:c>
    </x:row>
    <x:row r="281" ht="23" customHeight="1">
      <x:c r="A281" s="45" t="str">
        <x:v>Centro Poniente</x:v>
      </x:c>
      <x:c r="B281" s="45" t="str">
        <x:v>Manuel Alejandro Avila Molina</x:v>
      </x:c>
      <x:c r="C281" s="50" t="str">
        <x:v>43041</x:v>
      </x:c>
      <x:c r="D281" s="45" t="str">
        <x:v>Parque Aztlan</x:v>
      </x:c>
      <x:c r="E281" s="45" t="str">
        <x:v>Abierta</x:v>
      </x:c>
      <x:c r="F281" s="51" t="d">
        <x:v>2024-09-29T00:00:00.000Z</x:v>
      </x:c>
      <x:c r="G281" s="45" t="str">
        <x:v>Miguel Hidalgo</x:v>
      </x:c>
      <x:c r="H281" s="45" t="str">
        <x:v>Ciudad De México</x:v>
      </x:c>
      <x:c r="I281" s="52" t="n">
        <x:v>19.4160831</x:v>
      </x:c>
      <x:c r="J281" s="52" t="n">
        <x:v>-99.1959814</x:v>
      </x:c>
      <x:c r="K281" s="45" t="str">
        <x:v>Cafe</x:v>
      </x:c>
      <x:c r="L281" s="45" t="str">
        <x:v>Tourism_and_Entertainment</x:v>
      </x:c>
      <x:c r="M281" s="45" t="str">
        <x:v>C2</x:v>
      </x:c>
      <x:c r="N281" s="45" t="str">
        <x:v>Sí</x:v>
      </x:c>
      <x:c r="O281" s="45" t="str">
        <x:v>Manuel Alejandro Avila Molina</x:v>
      </x:c>
      <x:c r="P281" s="45" t="str">
        <x:v>Ops y Directorio Alsea · octubre 2026</x:v>
      </x:c>
      <x:c r="Q281" s="45" t="str">
        <x:v>Puntos proporcionados</x:v>
      </x:c>
      <x:c r="R281" s="45" t="str">
        <x:v>Abierta</x:v>
      </x:c>
      <x:c r="S281" s="45" t="str"/>
      <x:c r="T281" s="45" t="n">
        <x:f>IF(AND(E281="Abierta",N281="Sí",ISNUMBER(I281),ISNUMBER(J281),ABS(I281)&lt;=90,ABS(J281)&lt;=180),1,0)</x:f>
        <x:v>1</x:v>
      </x:c>
    </x:row>
    <x:row r="282" ht="23" customHeight="1">
      <x:c r="A282" s="45" t="str">
        <x:v>Centro Poniente</x:v>
      </x:c>
      <x:c r="B282" s="45" t="str">
        <x:v>Sin asignación</x:v>
      </x:c>
      <x:c r="C282" s="50" t="str">
        <x:v>38135</x:v>
      </x:c>
      <x:c r="D282" s="45" t="str">
        <x:v>Monte Everest</x:v>
      </x:c>
      <x:c r="E282" s="45" t="str">
        <x:v>Cierre Definitivo</x:v>
      </x:c>
      <x:c r="F282" s="51" t="d">
        <x:v>2004-11-19T00:00:00.000Z</x:v>
      </x:c>
      <x:c r="G282" s="45" t="str">
        <x:v>Miguel Hidalgo</x:v>
      </x:c>
      <x:c r="H282" s="45" t="str">
        <x:v>Ciudad De México</x:v>
      </x:c>
      <x:c r="I282" s="52" t="n">
        <x:v>19.4194</x:v>
      </x:c>
      <x:c r="J282" s="52" t="n">
        <x:v>-99.2154</x:v>
      </x:c>
      <x:c r="K282" s="45" t="str">
        <x:v>Cafe</x:v>
      </x:c>
      <x:c r="L282" s="45" t="str">
        <x:v>Neighborhood</x:v>
      </x:c>
      <x:c r="M282" s="45" t="str">
        <x:v>C1</x:v>
      </x:c>
      <x:c r="N282" s="45" t="str">
        <x:v>No</x:v>
      </x:c>
      <x:c r="O282" s="45" t="str">
        <x:v>Sin asignación</x:v>
      </x:c>
      <x:c r="P282" s="45" t="str">
        <x:v>Ops y Directorio Alsea · octubre 2026</x:v>
      </x:c>
      <x:c r="Q282" s="45" t="str">
        <x:v>Directorio Alsea octubre 2026</x:v>
      </x:c>
      <x:c r="R282" s="45" t="str">
        <x:v>Cierre Definitivo</x:v>
      </x:c>
      <x:c r="S282" s="45" t="str"/>
      <x:c r="T282" s="45" t="n">
        <x:f>IF(AND(E282="Abierta",N282="Sí",ISNUMBER(I282),ISNUMBER(J282),ABS(I282)&lt;=90,ABS(J282)&lt;=180),1,0)</x:f>
        <x:v>0</x:v>
      </x:c>
    </x:row>
    <x:row r="283" ht="23" customHeight="1">
      <x:c r="A283" s="45" t="str">
        <x:v>Centro Poniente</x:v>
      </x:c>
      <x:c r="B283" s="45" t="str">
        <x:v>Sin asignación</x:v>
      </x:c>
      <x:c r="C283" s="50" t="str">
        <x:v>38455</x:v>
      </x:c>
      <x:c r="D283" s="45" t="str">
        <x:v>Torre Diamante</x:v>
      </x:c>
      <x:c r="E283" s="45" t="str">
        <x:v>Cierre Definitivo</x:v>
      </x:c>
      <x:c r="F283" s="51" t="d">
        <x:v>2012-06-13T00:00:00.000Z</x:v>
      </x:c>
      <x:c r="G283" s="45" t="str">
        <x:v>Cuajimalpa</x:v>
      </x:c>
      <x:c r="H283" s="45" t="str">
        <x:v>Ciudad De México</x:v>
      </x:c>
      <x:c r="I283" s="52" t="n">
        <x:v>19.3608</x:v>
      </x:c>
      <x:c r="J283" s="52" t="n">
        <x:v>-99.2791</x:v>
      </x:c>
      <x:c r="K283" s="45" t="str">
        <x:v>Cafe</x:v>
      </x:c>
      <x:c r="L283" s="45" t="str">
        <x:v>Office_Complex</x:v>
      </x:c>
      <x:c r="M283" s="45" t="str">
        <x:v>C2</x:v>
      </x:c>
      <x:c r="N283" s="45" t="str">
        <x:v>No</x:v>
      </x:c>
      <x:c r="O283" s="45" t="str">
        <x:v>Sin asignación</x:v>
      </x:c>
      <x:c r="P283" s="45" t="str">
        <x:v>Ops y Directorio Alsea · octubre 2026</x:v>
      </x:c>
      <x:c r="Q283" s="45" t="str">
        <x:v>Directorio Alsea octubre 2026</x:v>
      </x:c>
      <x:c r="R283" s="45" t="str">
        <x:v>Cierre Definitivo</x:v>
      </x:c>
      <x:c r="S283" s="45" t="str"/>
      <x:c r="T283" s="45" t="n">
        <x:f>IF(AND(E283="Abierta",N283="Sí",ISNUMBER(I283),ISNUMBER(J283),ABS(I283)&lt;=90,ABS(J283)&lt;=180),1,0)</x:f>
        <x:v>0</x:v>
      </x:c>
    </x:row>
    <x:row r="284" ht="23" customHeight="1">
      <x:c r="A284" s="45" t="str">
        <x:v>Centro Poniente</x:v>
      </x:c>
      <x:c r="B284" s="45" t="str">
        <x:v>Sin asignación</x:v>
      </x:c>
      <x:c r="C284" s="50" t="str">
        <x:v>38493</x:v>
      </x:c>
      <x:c r="D284" s="45" t="str">
        <x:v>Torre Zentrum</x:v>
      </x:c>
      <x:c r="E284" s="45" t="str">
        <x:v>Cierre Definitivo</x:v>
      </x:c>
      <x:c r="F284" s="51"/>
      <x:c r="G284" s="45" t="str">
        <x:v>Ciudad de México</x:v>
      </x:c>
      <x:c r="H284" s="45" t="str">
        <x:v>Ciudad de México</x:v>
      </x:c>
      <x:c r="I284" s="52" t="n">
        <x:v>19.3587</x:v>
      </x:c>
      <x:c r="J284" s="52" t="n">
        <x:v>-99.2733</x:v>
      </x:c>
      <x:c r="K284" s="45" t="str"/>
      <x:c r="L284" s="45" t="str"/>
      <x:c r="M284" s="45" t="str"/>
      <x:c r="N284" s="45" t="str">
        <x:v>No</x:v>
      </x:c>
      <x:c r="O284" s="45" t="str">
        <x:v>Sin asignación</x:v>
      </x:c>
      <x:c r="P284" s="45" t="str">
        <x:v>Directorio Alsea octubre 2026</x:v>
      </x:c>
      <x:c r="Q284" s="45" t="str">
        <x:v>Directorio Alsea octubre 2026</x:v>
      </x:c>
      <x:c r="R284" s="45" t="str">
        <x:v>Cierre Definitivo</x:v>
      </x:c>
      <x:c r="S284" s="45" t="str"/>
      <x:c r="T284" s="45" t="n">
        <x:f>IF(AND(E284="Abierta",N284="Sí",ISNUMBER(I284),ISNUMBER(J284),ABS(I284)&lt;=90,ABS(J284)&lt;=180),1,0)</x:f>
        <x:v>0</x:v>
      </x:c>
    </x:row>
    <x:row r="285" ht="23" customHeight="1">
      <x:c r="A285" s="45" t="str">
        <x:v>Centro Poniente</x:v>
      </x:c>
      <x:c r="B285" s="45" t="str">
        <x:v>Sin asignación</x:v>
      </x:c>
      <x:c r="C285" s="50" t="str">
        <x:v>38528</x:v>
      </x:c>
      <x:c r="D285" s="45" t="str">
        <x:v>Pabelllón Polanco</x:v>
      </x:c>
      <x:c r="E285" s="45" t="str">
        <x:v>Cierre Definitivo</x:v>
      </x:c>
      <x:c r="F285" s="51"/>
      <x:c r="G285" s="45" t="str">
        <x:v>Ciudad de México</x:v>
      </x:c>
      <x:c r="H285" s="45" t="str">
        <x:v>Ciudad de México</x:v>
      </x:c>
      <x:c r="I285" s="52" t="n">
        <x:v>19.4378</x:v>
      </x:c>
      <x:c r="J285" s="52" t="n">
        <x:v>-99.2071</x:v>
      </x:c>
      <x:c r="K285" s="45" t="str"/>
      <x:c r="L285" s="45" t="str"/>
      <x:c r="M285" s="45" t="str"/>
      <x:c r="N285" s="45" t="str">
        <x:v>No</x:v>
      </x:c>
      <x:c r="O285" s="45" t="str">
        <x:v>Sin asignación</x:v>
      </x:c>
      <x:c r="P285" s="45" t="str">
        <x:v>Directorio Alsea octubre 2026</x:v>
      </x:c>
      <x:c r="Q285" s="45" t="str">
        <x:v>Directorio Alsea octubre 2026</x:v>
      </x:c>
      <x:c r="R285" s="45" t="str">
        <x:v>Cierre Definitivo</x:v>
      </x:c>
      <x:c r="S285" s="45" t="str"/>
      <x:c r="T285" s="45" t="n">
        <x:f>IF(AND(E285="Abierta",N285="Sí",ISNUMBER(I285),ISNUMBER(J285),ABS(I285)&lt;=90,ABS(J285)&lt;=180),1,0)</x:f>
        <x:v>0</x:v>
      </x:c>
    </x:row>
    <x:row r="286" ht="23" customHeight="1">
      <x:c r="A286" s="45" t="str">
        <x:v>Centro Poniente</x:v>
      </x:c>
      <x:c r="B286" s="45" t="str">
        <x:v>Sin asignación</x:v>
      </x:c>
      <x:c r="C286" s="50" t="str">
        <x:v>38772</x:v>
      </x:c>
      <x:c r="D286" s="45" t="str">
        <x:v>Hospital Ángeles Interlomas</x:v>
      </x:c>
      <x:c r="E286" s="45" t="str">
        <x:v>Cierre Definitivo</x:v>
      </x:c>
      <x:c r="F286" s="51" t="d">
        <x:v>2018-01-15T00:00:00.000Z</x:v>
      </x:c>
      <x:c r="G286" s="45" t="str">
        <x:v>Huixquilucan</x:v>
      </x:c>
      <x:c r="H286" s="45" t="str">
        <x:v>Estado De México</x:v>
      </x:c>
      <x:c r="I286" s="52" t="n">
        <x:v>19.3947</x:v>
      </x:c>
      <x:c r="J286" s="52" t="n">
        <x:v>-99.2816</x:v>
      </x:c>
      <x:c r="K286" s="45" t="str">
        <x:v>Kiosko</x:v>
      </x:c>
      <x:c r="L286" s="45" t="str">
        <x:v>Institution</x:v>
      </x:c>
      <x:c r="M286" s="45" t="str">
        <x:v>C2</x:v>
      </x:c>
      <x:c r="N286" s="45" t="str">
        <x:v>No</x:v>
      </x:c>
      <x:c r="O286" s="45" t="str">
        <x:v>Sin asignación</x:v>
      </x:c>
      <x:c r="P286" s="45" t="str">
        <x:v>Ops y Directorio Alsea · octubre 2026</x:v>
      </x:c>
      <x:c r="Q286" s="45" t="str">
        <x:v>Directorio Alsea octubre 2026</x:v>
      </x:c>
      <x:c r="R286" s="45" t="str">
        <x:v>Cierre Definitivo</x:v>
      </x:c>
      <x:c r="S286" s="45" t="str"/>
      <x:c r="T286" s="45" t="n">
        <x:f>IF(AND(E286="Abierta",N286="Sí",ISNUMBER(I286),ISNUMBER(J286),ABS(I286)&lt;=90,ABS(J286)&lt;=180),1,0)</x:f>
        <x:v>0</x:v>
      </x:c>
    </x:row>
    <x:row r="287" ht="23" customHeight="1">
      <x:c r="A287" s="45" t="str">
        <x:v>Centro Poniente</x:v>
      </x:c>
      <x:c r="B287" s="45" t="str">
        <x:v>Sin asignación</x:v>
      </x:c>
      <x:c r="C287" s="50" t="str">
        <x:v>38914</x:v>
      </x:c>
      <x:c r="D287" s="45" t="str">
        <x:v>Cinemex Terraza Interlomas</x:v>
      </x:c>
      <x:c r="E287" s="45" t="str">
        <x:v>Cierre Definitivo</x:v>
      </x:c>
      <x:c r="F287" s="51" t="d">
        <x:v>2022-07-14T00:00:00.000Z</x:v>
      </x:c>
      <x:c r="G287" s="45" t="str">
        <x:v>Huixquilucan</x:v>
      </x:c>
      <x:c r="H287" s="45" t="str">
        <x:v>Estado De México</x:v>
      </x:c>
      <x:c r="I287" s="52" t="n">
        <x:v>19.3934</x:v>
      </x:c>
      <x:c r="J287" s="52" t="n">
        <x:v>-99.2813</x:v>
      </x:c>
      <x:c r="K287" s="45" t="str">
        <x:v>Cafe</x:v>
      </x:c>
      <x:c r="L287" s="45" t="str">
        <x:v>Retail</x:v>
      </x:c>
      <x:c r="M287" s="45" t="str"/>
      <x:c r="N287" s="45" t="str">
        <x:v>No</x:v>
      </x:c>
      <x:c r="O287" s="45" t="str">
        <x:v>Sin asignación</x:v>
      </x:c>
      <x:c r="P287" s="45" t="str">
        <x:v>Ops y Directorio Alsea · octubre 2026</x:v>
      </x:c>
      <x:c r="Q287" s="45" t="str">
        <x:v>Directorio Alsea octubre 2026</x:v>
      </x:c>
      <x:c r="R287" s="45" t="str">
        <x:v>Cierre Definitivo</x:v>
      </x:c>
      <x:c r="S287" s="45" t="str"/>
      <x:c r="T287" s="45" t="n">
        <x:f>IF(AND(E287="Abierta",N287="Sí",ISNUMBER(I287),ISNUMBER(J287),ABS(I287)&lt;=90,ABS(J287)&lt;=180),1,0)</x:f>
        <x:v>0</x:v>
      </x:c>
    </x:row>
    <x:row r="288" ht="23" customHeight="1">
      <x:c r="A288" s="45" t="str">
        <x:v>Centro Centro</x:v>
      </x:c>
      <x:c r="B288" s="45" t="str">
        <x:v>Alberto T. Aguilar Cauz</x:v>
      </x:c>
      <x:c r="C288" s="50" t="str">
        <x:v>38108</x:v>
      </x:c>
      <x:c r="D288" s="45" t="str">
        <x:v>Campos Eliseos</x:v>
      </x:c>
      <x:c r="E288" s="45" t="str">
        <x:v>Abierta</x:v>
      </x:c>
      <x:c r="F288" s="51" t="d">
        <x:v>2003-03-25T00:00:00.000Z</x:v>
      </x:c>
      <x:c r="G288" s="45" t="str">
        <x:v>Miguel Hidalgo</x:v>
      </x:c>
      <x:c r="H288" s="45" t="str">
        <x:v>Ciudad De México</x:v>
      </x:c>
      <x:c r="I288" s="52" t="n">
        <x:v>19.4284737</x:v>
      </x:c>
      <x:c r="J288" s="52" t="n">
        <x:v>-99.1933915</x:v>
      </x:c>
      <x:c r="K288" s="45" t="str">
        <x:v>Cafe</x:v>
      </x:c>
      <x:c r="L288" s="45" t="str">
        <x:v>Retail</x:v>
      </x:c>
      <x:c r="M288" s="45" t="str">
        <x:v>C2</x:v>
      </x:c>
      <x:c r="N288" s="45" t="str">
        <x:v>Sí</x:v>
      </x:c>
      <x:c r="O288" s="45" t="str">
        <x:v>Alberto T. Aguilar Cauz</x:v>
      </x:c>
      <x:c r="P288" s="45" t="str">
        <x:v>Ops y Directorio Alsea · octubre 2026</x:v>
      </x:c>
      <x:c r="Q288" s="45" t="str">
        <x:v>Puntos proporcionados</x:v>
      </x:c>
      <x:c r="R288" s="45" t="str">
        <x:v>Abierta</x:v>
      </x:c>
      <x:c r="S288" s="45" t="str"/>
      <x:c r="T288" s="45" t="n">
        <x:f>IF(AND(E288="Abierta",N288="Sí",ISNUMBER(I288),ISNUMBER(J288),ABS(I288)&lt;=90,ABS(J288)&lt;=180),1,0)</x:f>
        <x:v>1</x:v>
      </x:c>
    </x:row>
    <x:row r="289" ht="23" customHeight="1">
      <x:c r="A289" s="45" t="str">
        <x:v>Centro Centro</x:v>
      </x:c>
      <x:c r="B289" s="45" t="str">
        <x:v>Alberto T. Aguilar Cauz</x:v>
      </x:c>
      <x:c r="C289" s="50" t="str">
        <x:v>38110</x:v>
      </x:c>
      <x:c r="D289" s="45" t="str">
        <x:v>Torre Mayor</x:v>
      </x:c>
      <x:c r="E289" s="45" t="str">
        <x:v>Abierta</x:v>
      </x:c>
      <x:c r="F289" s="51" t="d">
        <x:v>2003-07-04T00:00:00.000Z</x:v>
      </x:c>
      <x:c r="G289" s="45" t="str">
        <x:v>Cuauhtémoc</x:v>
      </x:c>
      <x:c r="H289" s="45" t="str">
        <x:v>Ciudad De México</x:v>
      </x:c>
      <x:c r="I289" s="52" t="n">
        <x:v>19.4242976</x:v>
      </x:c>
      <x:c r="J289" s="52" t="n">
        <x:v>-99.1749479</x:v>
      </x:c>
      <x:c r="K289" s="45" t="str">
        <x:v>Cafe</x:v>
      </x:c>
      <x:c r="L289" s="45" t="str">
        <x:v>Office_Complex</x:v>
      </x:c>
      <x:c r="M289" s="45" t="str">
        <x:v>C2</x:v>
      </x:c>
      <x:c r="N289" s="45" t="str">
        <x:v>Sí</x:v>
      </x:c>
      <x:c r="O289" s="45" t="str">
        <x:v>Alberto T. Aguilar Cauz</x:v>
      </x:c>
      <x:c r="P289" s="45" t="str">
        <x:v>Ops y Directorio Alsea · octubre 2026</x:v>
      </x:c>
      <x:c r="Q289" s="45" t="str">
        <x:v>Puntos proporcionados</x:v>
      </x:c>
      <x:c r="R289" s="45" t="str">
        <x:v>Abierta</x:v>
      </x:c>
      <x:c r="S289" s="45" t="str"/>
      <x:c r="T289" s="45" t="n">
        <x:f>IF(AND(E289="Abierta",N289="Sí",ISNUMBER(I289),ISNUMBER(J289),ABS(I289)&lt;=90,ABS(J289)&lt;=180),1,0)</x:f>
        <x:v>1</x:v>
      </x:c>
    </x:row>
    <x:row r="290" ht="23" customHeight="1">
      <x:c r="A290" s="45" t="str">
        <x:v>Centro Centro</x:v>
      </x:c>
      <x:c r="B290" s="45" t="str">
        <x:v>Alberto T. Aguilar Cauz</x:v>
      </x:c>
      <x:c r="C290" s="50" t="str">
        <x:v>38128</x:v>
      </x:c>
      <x:c r="D290" s="45" t="str">
        <x:v>Condesa</x:v>
      </x:c>
      <x:c r="E290" s="45" t="str">
        <x:v>Abierta</x:v>
      </x:c>
      <x:c r="F290" s="51" t="d">
        <x:v>2004-06-25T00:00:00.000Z</x:v>
      </x:c>
      <x:c r="G290" s="45" t="str">
        <x:v>Cuauhtémoc</x:v>
      </x:c>
      <x:c r="H290" s="45" t="str">
        <x:v>Ciudad De México</x:v>
      </x:c>
      <x:c r="I290" s="52" t="n">
        <x:v>19.411489</x:v>
      </x:c>
      <x:c r="J290" s="52" t="n">
        <x:v>-99.177241</x:v>
      </x:c>
      <x:c r="K290" s="45" t="str">
        <x:v>Cafe</x:v>
      </x:c>
      <x:c r="L290" s="45" t="str">
        <x:v>Neighborhood</x:v>
      </x:c>
      <x:c r="M290" s="45" t="str">
        <x:v>C1</x:v>
      </x:c>
      <x:c r="N290" s="45" t="str">
        <x:v>Sí</x:v>
      </x:c>
      <x:c r="O290" s="45" t="str">
        <x:v>Alberto T. Aguilar Cauz</x:v>
      </x:c>
      <x:c r="P290" s="45" t="str">
        <x:v>Ops y Directorio Alsea · octubre 2026</x:v>
      </x:c>
      <x:c r="Q290" s="45" t="str">
        <x:v>Puntos proporcionados</x:v>
      </x:c>
      <x:c r="R290" s="45" t="str">
        <x:v>Abierta</x:v>
      </x:c>
      <x:c r="S290" s="45" t="str"/>
      <x:c r="T290" s="45" t="n">
        <x:f>IF(AND(E290="Abierta",N290="Sí",ISNUMBER(I290),ISNUMBER(J290),ABS(I290)&lt;=90,ABS(J290)&lt;=180),1,0)</x:f>
        <x:v>1</x:v>
      </x:c>
    </x:row>
    <x:row r="291" ht="23" customHeight="1">
      <x:c r="A291" s="45" t="str">
        <x:v>Centro Centro</x:v>
      </x:c>
      <x:c r="B291" s="45" t="str">
        <x:v>Alberto T. Aguilar Cauz</x:v>
      </x:c>
      <x:c r="C291" s="50" t="str">
        <x:v>38187</x:v>
      </x:c>
      <x:c r="D291" s="45" t="str">
        <x:v>Nuevo Leon DT</x:v>
      </x:c>
      <x:c r="E291" s="45" t="str">
        <x:v>Abierta</x:v>
      </x:c>
      <x:c r="F291" s="51" t="d">
        <x:v>2006-05-29T00:00:00.000Z</x:v>
      </x:c>
      <x:c r="G291" s="45" t="str">
        <x:v>Cuauhtémoc</x:v>
      </x:c>
      <x:c r="H291" s="45" t="str">
        <x:v>Ciudad De México</x:v>
      </x:c>
      <x:c r="I291" s="52" t="n">
        <x:v>19.4065228</x:v>
      </x:c>
      <x:c r="J291" s="52" t="n">
        <x:v>-99.1717038</x:v>
      </x:c>
      <x:c r="K291" s="45" t="str">
        <x:v>Drive_Thru</x:v>
      </x:c>
      <x:c r="L291" s="45" t="str">
        <x:v>Transfers</x:v>
      </x:c>
      <x:c r="M291" s="45" t="str">
        <x:v>C2</x:v>
      </x:c>
      <x:c r="N291" s="45" t="str">
        <x:v>Sí</x:v>
      </x:c>
      <x:c r="O291" s="45" t="str">
        <x:v>Alberto T. Aguilar Cauz</x:v>
      </x:c>
      <x:c r="P291" s="45" t="str">
        <x:v>Ops y Directorio Alsea · octubre 2026</x:v>
      </x:c>
      <x:c r="Q291" s="45" t="str">
        <x:v>Puntos proporcionados</x:v>
      </x:c>
      <x:c r="R291" s="45" t="str">
        <x:v>Abierta</x:v>
      </x:c>
      <x:c r="S291" s="45" t="str"/>
      <x:c r="T291" s="45" t="n">
        <x:f>IF(AND(E291="Abierta",N291="Sí",ISNUMBER(I291),ISNUMBER(J291),ABS(I291)&lt;=90,ABS(J291)&lt;=180),1,0)</x:f>
        <x:v>1</x:v>
      </x:c>
    </x:row>
    <x:row r="292" ht="23" customHeight="1">
      <x:c r="A292" s="45" t="str">
        <x:v>Centro Centro</x:v>
      </x:c>
      <x:c r="B292" s="45" t="str">
        <x:v>Alberto T. Aguilar Cauz</x:v>
      </x:c>
      <x:c r="C292" s="50" t="str">
        <x:v>38191</x:v>
      </x:c>
      <x:c r="D292" s="45" t="str">
        <x:v>Masarik Spencer</x:v>
      </x:c>
      <x:c r="E292" s="45" t="str">
        <x:v>Abierta</x:v>
      </x:c>
      <x:c r="F292" s="51" t="d">
        <x:v>2006-06-25T00:00:00.000Z</x:v>
      </x:c>
      <x:c r="G292" s="45" t="str">
        <x:v>Miguel Hidalgo</x:v>
      </x:c>
      <x:c r="H292" s="45" t="str">
        <x:v>Ciudad De México</x:v>
      </x:c>
      <x:c r="I292" s="52" t="n">
        <x:v>19.4317052</x:v>
      </x:c>
      <x:c r="J292" s="52" t="n">
        <x:v>-99.1828472</x:v>
      </x:c>
      <x:c r="K292" s="45" t="str">
        <x:v>Cafe</x:v>
      </x:c>
      <x:c r="L292" s="45" t="str">
        <x:v>Retail</x:v>
      </x:c>
      <x:c r="M292" s="45" t="str">
        <x:v>C2</x:v>
      </x:c>
      <x:c r="N292" s="45" t="str">
        <x:v>Sí</x:v>
      </x:c>
      <x:c r="O292" s="45" t="str">
        <x:v>Alberto T. Aguilar Cauz</x:v>
      </x:c>
      <x:c r="P292" s="45" t="str">
        <x:v>Ops y Directorio Alsea · octubre 2026</x:v>
      </x:c>
      <x:c r="Q292" s="45" t="str">
        <x:v>Puntos proporcionados</x:v>
      </x:c>
      <x:c r="R292" s="45" t="str">
        <x:v>Abierta</x:v>
      </x:c>
      <x:c r="S292" s="45" t="str"/>
      <x:c r="T292" s="45" t="n">
        <x:f>IF(AND(E292="Abierta",N292="Sí",ISNUMBER(I292),ISNUMBER(J292),ABS(I292)&lt;=90,ABS(J292)&lt;=180),1,0)</x:f>
        <x:v>1</x:v>
      </x:c>
    </x:row>
    <x:row r="293" ht="23" customHeight="1">
      <x:c r="A293" s="45" t="str">
        <x:v>Centro Centro</x:v>
      </x:c>
      <x:c r="B293" s="45" t="str">
        <x:v>Alberto T. Aguilar Cauz</x:v>
      </x:c>
      <x:c r="C293" s="50" t="str">
        <x:v>38220</x:v>
      </x:c>
      <x:c r="D293" s="45" t="str">
        <x:v>Obelisco</x:v>
      </x:c>
      <x:c r="E293" s="45" t="str">
        <x:v>Abierta</x:v>
      </x:c>
      <x:c r="F293" s="51" t="d">
        <x:v>2007-02-21T00:00:00.000Z</x:v>
      </x:c>
      <x:c r="G293" s="45" t="str">
        <x:v>Miguel Hidalgo</x:v>
      </x:c>
      <x:c r="H293" s="45" t="str">
        <x:v>Ciudad De México</x:v>
      </x:c>
      <x:c r="I293" s="52" t="n">
        <x:v>19.427711</x:v>
      </x:c>
      <x:c r="J293" s="52" t="n">
        <x:v>-99.194833</x:v>
      </x:c>
      <x:c r="K293" s="45" t="str">
        <x:v>Cafe</x:v>
      </x:c>
      <x:c r="L293" s="45" t="str">
        <x:v>Retail</x:v>
      </x:c>
      <x:c r="M293" s="45" t="str">
        <x:v>C2</x:v>
      </x:c>
      <x:c r="N293" s="45" t="str">
        <x:v>Sí</x:v>
      </x:c>
      <x:c r="O293" s="45" t="str">
        <x:v>Alberto T. Aguilar Cauz</x:v>
      </x:c>
      <x:c r="P293" s="45" t="str">
        <x:v>Ops y Directorio Alsea · octubre 2026</x:v>
      </x:c>
      <x:c r="Q293" s="45" t="str">
        <x:v>Puntos proporcionados</x:v>
      </x:c>
      <x:c r="R293" s="45" t="str">
        <x:v>Abierta</x:v>
      </x:c>
      <x:c r="S293" s="45" t="str"/>
      <x:c r="T293" s="45" t="n">
        <x:f>IF(AND(E293="Abierta",N293="Sí",ISNUMBER(I293),ISNUMBER(J293),ABS(I293)&lt;=90,ABS(J293)&lt;=180),1,0)</x:f>
        <x:v>1</x:v>
      </x:c>
    </x:row>
    <x:row r="294" ht="23" customHeight="1">
      <x:c r="A294" s="45" t="str">
        <x:v>Centro Centro</x:v>
      </x:c>
      <x:c r="B294" s="45" t="str">
        <x:v>Alberto T. Aguilar Cauz</x:v>
      </x:c>
      <x:c r="C294" s="50" t="str">
        <x:v>38382</x:v>
      </x:c>
      <x:c r="D294" s="45" t="str">
        <x:v>Homero</x:v>
      </x:c>
      <x:c r="E294" s="45" t="str">
        <x:v>Abierta</x:v>
      </x:c>
      <x:c r="F294" s="51" t="d">
        <x:v>2010-07-02T00:00:00.000Z</x:v>
      </x:c>
      <x:c r="G294" s="45" t="str">
        <x:v>Miguel Hidalgo</x:v>
      </x:c>
      <x:c r="H294" s="45" t="str">
        <x:v>Ciudad De México</x:v>
      </x:c>
      <x:c r="I294" s="52" t="n">
        <x:v>19.4362331</x:v>
      </x:c>
      <x:c r="J294" s="52" t="n">
        <x:v>-99.1998439</x:v>
      </x:c>
      <x:c r="K294" s="45" t="str">
        <x:v>Cafe</x:v>
      </x:c>
      <x:c r="L294" s="45" t="str">
        <x:v>Retail</x:v>
      </x:c>
      <x:c r="M294" s="45" t="str">
        <x:v>C2</x:v>
      </x:c>
      <x:c r="N294" s="45" t="str">
        <x:v>Sí</x:v>
      </x:c>
      <x:c r="O294" s="45" t="str">
        <x:v>Alberto T. Aguilar Cauz</x:v>
      </x:c>
      <x:c r="P294" s="45" t="str">
        <x:v>Ops y Directorio Alsea · octubre 2026</x:v>
      </x:c>
      <x:c r="Q294" s="45" t="str">
        <x:v>Puntos proporcionados</x:v>
      </x:c>
      <x:c r="R294" s="45" t="str">
        <x:v>Abierta</x:v>
      </x:c>
      <x:c r="S294" s="45" t="str"/>
      <x:c r="T294" s="45" t="n">
        <x:f>IF(AND(E294="Abierta",N294="Sí",ISNUMBER(I294),ISNUMBER(J294),ABS(I294)&lt;=90,ABS(J294)&lt;=180),1,0)</x:f>
        <x:v>1</x:v>
      </x:c>
    </x:row>
    <x:row r="295" ht="23" customHeight="1">
      <x:c r="A295" s="45" t="str">
        <x:v>Centro Centro</x:v>
      </x:c>
      <x:c r="B295" s="45" t="str">
        <x:v>Alberto T. Aguilar Cauz</x:v>
      </x:c>
      <x:c r="C295" s="50" t="str">
        <x:v>38415</x:v>
      </x:c>
      <x:c r="D295" s="45" t="str">
        <x:v>Amsterdam</x:v>
      </x:c>
      <x:c r="E295" s="45" t="str">
        <x:v>Abierta</x:v>
      </x:c>
      <x:c r="F295" s="51" t="d">
        <x:v>2011-05-06T00:00:00.000Z</x:v>
      </x:c>
      <x:c r="G295" s="45" t="str">
        <x:v>Cuauhtémoc</x:v>
      </x:c>
      <x:c r="H295" s="45" t="str">
        <x:v>Ciudad De México</x:v>
      </x:c>
      <x:c r="I295" s="52" t="n">
        <x:v>19.4132787</x:v>
      </x:c>
      <x:c r="J295" s="52" t="n">
        <x:v>-99.1672517</x:v>
      </x:c>
      <x:c r="K295" s="45" t="str">
        <x:v>Cafe</x:v>
      </x:c>
      <x:c r="L295" s="45" t="str">
        <x:v>Neighborhood</x:v>
      </x:c>
      <x:c r="M295" s="45" t="str">
        <x:v>C1</x:v>
      </x:c>
      <x:c r="N295" s="45" t="str">
        <x:v>Sí</x:v>
      </x:c>
      <x:c r="O295" s="45" t="str">
        <x:v>Alberto T. Aguilar Cauz</x:v>
      </x:c>
      <x:c r="P295" s="45" t="str">
        <x:v>Ops y Directorio Alsea · octubre 2026</x:v>
      </x:c>
      <x:c r="Q295" s="45" t="str">
        <x:v>Puntos proporcionados</x:v>
      </x:c>
      <x:c r="R295" s="45" t="str">
        <x:v>Abierta</x:v>
      </x:c>
      <x:c r="S295" s="45" t="str"/>
      <x:c r="T295" s="45" t="n">
        <x:f>IF(AND(E295="Abierta",N295="Sí",ISNUMBER(I295),ISNUMBER(J295),ABS(I295)&lt;=90,ABS(J295)&lt;=180),1,0)</x:f>
        <x:v>1</x:v>
      </x:c>
    </x:row>
    <x:row r="296" ht="23" customHeight="1">
      <x:c r="A296" s="45" t="str">
        <x:v>Centro Centro</x:v>
      </x:c>
      <x:c r="B296" s="45" t="str">
        <x:v>Alberto T. Aguilar Cauz</x:v>
      </x:c>
      <x:c r="C296" s="50" t="str">
        <x:v>38481</x:v>
      </x:c>
      <x:c r="D296" s="45" t="str">
        <x:v>Alfonso Reyes</x:v>
      </x:c>
      <x:c r="E296" s="45" t="str">
        <x:v>Abierta</x:v>
      </x:c>
      <x:c r="F296" s="51" t="d">
        <x:v>2013-02-14T00:00:00.000Z</x:v>
      </x:c>
      <x:c r="G296" s="45" t="str">
        <x:v>Cuauhtémoc</x:v>
      </x:c>
      <x:c r="H296" s="45" t="str">
        <x:v>Ciudad De México</x:v>
      </x:c>
      <x:c r="I296" s="52" t="n">
        <x:v>19.4074461</x:v>
      </x:c>
      <x:c r="J296" s="52" t="n">
        <x:v>-99.1738179</x:v>
      </x:c>
      <x:c r="K296" s="45" t="str">
        <x:v>Cafe</x:v>
      </x:c>
      <x:c r="L296" s="45" t="str">
        <x:v>Neighborhood</x:v>
      </x:c>
      <x:c r="M296" s="45" t="str">
        <x:v>C2</x:v>
      </x:c>
      <x:c r="N296" s="45" t="str">
        <x:v>Sí</x:v>
      </x:c>
      <x:c r="O296" s="45" t="str">
        <x:v>Alberto T. Aguilar Cauz</x:v>
      </x:c>
      <x:c r="P296" s="45" t="str">
        <x:v>Ops y Directorio Alsea · octubre 2026</x:v>
      </x:c>
      <x:c r="Q296" s="45" t="str">
        <x:v>Puntos proporcionados</x:v>
      </x:c>
      <x:c r="R296" s="45" t="str">
        <x:v>Abierta</x:v>
      </x:c>
      <x:c r="S296" s="45" t="str"/>
      <x:c r="T296" s="45" t="n">
        <x:f>IF(AND(E296="Abierta",N296="Sí",ISNUMBER(I296),ISNUMBER(J296),ABS(I296)&lt;=90,ABS(J296)&lt;=180),1,0)</x:f>
        <x:v>1</x:v>
      </x:c>
    </x:row>
    <x:row r="297" ht="23" customHeight="1">
      <x:c r="A297" s="45" t="str">
        <x:v>Centro Centro</x:v>
      </x:c>
      <x:c r="B297" s="45" t="str">
        <x:v>Alberto T. Aguilar Cauz</x:v>
      </x:c>
      <x:c r="C297" s="50" t="str">
        <x:v>38522</x:v>
      </x:c>
      <x:c r="D297" s="45" t="str">
        <x:v>Rio Hudson</x:v>
      </x:c>
      <x:c r="E297" s="45" t="str">
        <x:v>Abierta</x:v>
      </x:c>
      <x:c r="F297" s="51" t="d">
        <x:v>2013-12-27T00:00:00.000Z</x:v>
      </x:c>
      <x:c r="G297" s="45" t="str">
        <x:v>Cuauhtémoc</x:v>
      </x:c>
      <x:c r="H297" s="45" t="str">
        <x:v>Ciudad De México</x:v>
      </x:c>
      <x:c r="I297" s="52" t="n">
        <x:v>19.425914</x:v>
      </x:c>
      <x:c r="J297" s="52" t="n">
        <x:v>-99.174514</x:v>
      </x:c>
      <x:c r="K297" s="45" t="str">
        <x:v>Cafe</x:v>
      </x:c>
      <x:c r="L297" s="45" t="str">
        <x:v>Office_Complex</x:v>
      </x:c>
      <x:c r="M297" s="45" t="str">
        <x:v>C1</x:v>
      </x:c>
      <x:c r="N297" s="45" t="str">
        <x:v>Sí</x:v>
      </x:c>
      <x:c r="O297" s="45" t="str">
        <x:v>Alberto T. Aguilar Cauz</x:v>
      </x:c>
      <x:c r="P297" s="45" t="str">
        <x:v>Ops y Directorio Alsea · octubre 2026</x:v>
      </x:c>
      <x:c r="Q297" s="45" t="str">
        <x:v>Puntos proporcionados</x:v>
      </x:c>
      <x:c r="R297" s="45" t="str">
        <x:v>Abierta</x:v>
      </x:c>
      <x:c r="S297" s="45" t="str"/>
      <x:c r="T297" s="45" t="n">
        <x:f>IF(AND(E297="Abierta",N297="Sí",ISNUMBER(I297),ISNUMBER(J297),ABS(I297)&lt;=90,ABS(J297)&lt;=180),1,0)</x:f>
        <x:v>1</x:v>
      </x:c>
    </x:row>
    <x:row r="298" ht="23" customHeight="1">
      <x:c r="A298" s="45" t="str">
        <x:v>Centro Centro</x:v>
      </x:c>
      <x:c r="B298" s="45" t="str">
        <x:v>Alberto T. Aguilar Cauz</x:v>
      </x:c>
      <x:c r="C298" s="50" t="str">
        <x:v>38541</x:v>
      </x:c>
      <x:c r="D298" s="45" t="str">
        <x:v>Torre Polanco</x:v>
      </x:c>
      <x:c r="E298" s="45" t="str">
        <x:v>Abierta</x:v>
      </x:c>
      <x:c r="F298" s="51" t="d">
        <x:v>2014-08-25T00:00:00.000Z</x:v>
      </x:c>
      <x:c r="G298" s="45" t="str">
        <x:v>Miguel Hidalgo</x:v>
      </x:c>
      <x:c r="H298" s="45" t="str">
        <x:v>Ciudad De México</x:v>
      </x:c>
      <x:c r="I298" s="52" t="n">
        <x:v>19.433089</x:v>
      </x:c>
      <x:c r="J298" s="52" t="n">
        <x:v>-99.1813884</x:v>
      </x:c>
      <x:c r="K298" s="45" t="str">
        <x:v>Cafe</x:v>
      </x:c>
      <x:c r="L298" s="45" t="str">
        <x:v>Office_Complex</x:v>
      </x:c>
      <x:c r="M298" s="45" t="str">
        <x:v>C2</x:v>
      </x:c>
      <x:c r="N298" s="45" t="str">
        <x:v>Sí</x:v>
      </x:c>
      <x:c r="O298" s="45" t="str">
        <x:v>Alberto T. Aguilar Cauz</x:v>
      </x:c>
      <x:c r="P298" s="45" t="str">
        <x:v>Ops y Directorio Alsea · octubre 2026</x:v>
      </x:c>
      <x:c r="Q298" s="45" t="str">
        <x:v>Puntos proporcionados</x:v>
      </x:c>
      <x:c r="R298" s="45" t="str">
        <x:v>Abierta</x:v>
      </x:c>
      <x:c r="S298" s="45" t="str"/>
      <x:c r="T298" s="45" t="n">
        <x:f>IF(AND(E298="Abierta",N298="Sí",ISNUMBER(I298),ISNUMBER(J298),ABS(I298)&lt;=90,ABS(J298)&lt;=180),1,0)</x:f>
        <x:v>1</x:v>
      </x:c>
    </x:row>
    <x:row r="299" ht="23" customHeight="1">
      <x:c r="A299" s="45" t="str">
        <x:v>Centro Centro</x:v>
      </x:c>
      <x:c r="B299" s="45" t="str">
        <x:v>Alberto T. Aguilar Cauz</x:v>
      </x:c>
      <x:c r="C299" s="50" t="str">
        <x:v>38597</x:v>
      </x:c>
      <x:c r="D299" s="45" t="str">
        <x:v>Emerson</x:v>
      </x:c>
      <x:c r="E299" s="45" t="str">
        <x:v>Abierta</x:v>
      </x:c>
      <x:c r="F299" s="51" t="d">
        <x:v>2015-07-21T00:00:00.000Z</x:v>
      </x:c>
      <x:c r="G299" s="45" t="str">
        <x:v>Miguel Hidalgo</x:v>
      </x:c>
      <x:c r="H299" s="45" t="str">
        <x:v>Ciudad De México</x:v>
      </x:c>
      <x:c r="I299" s="52" t="n">
        <x:v>19.4356792</x:v>
      </x:c>
      <x:c r="J299" s="52" t="n">
        <x:v>-99.1888676</x:v>
      </x:c>
      <x:c r="K299" s="45" t="str">
        <x:v>Cafe</x:v>
      </x:c>
      <x:c r="L299" s="45" t="str">
        <x:v>Neighborhood</x:v>
      </x:c>
      <x:c r="M299" s="45" t="str">
        <x:v>C2</x:v>
      </x:c>
      <x:c r="N299" s="45" t="str">
        <x:v>Sí</x:v>
      </x:c>
      <x:c r="O299" s="45" t="str">
        <x:v>Alberto T. Aguilar Cauz</x:v>
      </x:c>
      <x:c r="P299" s="45" t="str">
        <x:v>Ops y Directorio Alsea · octubre 2026</x:v>
      </x:c>
      <x:c r="Q299" s="45" t="str">
        <x:v>Puntos proporcionados</x:v>
      </x:c>
      <x:c r="R299" s="45" t="str">
        <x:v>Abierta</x:v>
      </x:c>
      <x:c r="S299" s="45" t="str"/>
      <x:c r="T299" s="45" t="n">
        <x:f>IF(AND(E299="Abierta",N299="Sí",ISNUMBER(I299),ISNUMBER(J299),ABS(I299)&lt;=90,ABS(J299)&lt;=180),1,0)</x:f>
        <x:v>1</x:v>
      </x:c>
    </x:row>
    <x:row r="300" ht="23" customHeight="1">
      <x:c r="A300" s="45" t="str">
        <x:v>Centro Centro</x:v>
      </x:c>
      <x:c r="B300" s="45" t="str">
        <x:v>Alberto T. Aguilar Cauz</x:v>
      </x:c>
      <x:c r="C300" s="50" t="str">
        <x:v>38627</x:v>
      </x:c>
      <x:c r="D300" s="45" t="str">
        <x:v>Moliere 222</x:v>
      </x:c>
      <x:c r="E300" s="45" t="str">
        <x:v>Abierta</x:v>
      </x:c>
      <x:c r="F300" s="51" t="d">
        <x:v>2015-11-05T00:00:00.000Z</x:v>
      </x:c>
      <x:c r="G300" s="45" t="str">
        <x:v>Miguel Hidalgo</x:v>
      </x:c>
      <x:c r="H300" s="45" t="str">
        <x:v>Ciudad De México</x:v>
      </x:c>
      <x:c r="I300" s="52" t="n">
        <x:v>19.4356478</x:v>
      </x:c>
      <x:c r="J300" s="52" t="n">
        <x:v>-99.2017721</x:v>
      </x:c>
      <x:c r="K300" s="45" t="str">
        <x:v>Kiosko</x:v>
      </x:c>
      <x:c r="L300" s="45" t="str">
        <x:v>Retail</x:v>
      </x:c>
      <x:c r="M300" s="45" t="str">
        <x:v>C2</x:v>
      </x:c>
      <x:c r="N300" s="45" t="str">
        <x:v>Sí</x:v>
      </x:c>
      <x:c r="O300" s="45" t="str">
        <x:v>Alberto T. Aguilar Cauz</x:v>
      </x:c>
      <x:c r="P300" s="45" t="str">
        <x:v>Ops y Directorio Alsea · octubre 2026</x:v>
      </x:c>
      <x:c r="Q300" s="45" t="str">
        <x:v>Puntos proporcionados</x:v>
      </x:c>
      <x:c r="R300" s="45" t="str">
        <x:v>Abierta</x:v>
      </x:c>
      <x:c r="S300" s="45" t="str"/>
      <x:c r="T300" s="45" t="n">
        <x:f>IF(AND(E300="Abierta",N300="Sí",ISNUMBER(I300),ISNUMBER(J300),ABS(I300)&lt;=90,ABS(J300)&lt;=180),1,0)</x:f>
        <x:v>1</x:v>
      </x:c>
    </x:row>
    <x:row r="301" ht="23" customHeight="1">
      <x:c r="A301" s="45" t="str">
        <x:v>Centro Centro</x:v>
      </x:c>
      <x:c r="B301" s="45" t="str">
        <x:v>Carlos Saldaña Avila</x:v>
      </x:c>
      <x:c r="C301" s="50" t="str">
        <x:v>38109</x:v>
      </x:c>
      <x:c r="D301" s="45" t="str">
        <x:v>Wtc</x:v>
      </x:c>
      <x:c r="E301" s="45" t="str">
        <x:v>Abierta</x:v>
      </x:c>
      <x:c r="F301" s="51" t="d">
        <x:v>2003-05-30T00:00:00.000Z</x:v>
      </x:c>
      <x:c r="G301" s="45" t="str">
        <x:v>Benito Juárez</x:v>
      </x:c>
      <x:c r="H301" s="45" t="str">
        <x:v>Ciudad De México</x:v>
      </x:c>
      <x:c r="I301" s="52" t="n">
        <x:v>19.3926982</x:v>
      </x:c>
      <x:c r="J301" s="52" t="n">
        <x:v>-99.1731619</x:v>
      </x:c>
      <x:c r="K301" s="45" t="str">
        <x:v>Cafe</x:v>
      </x:c>
      <x:c r="L301" s="45" t="str">
        <x:v>Retail</x:v>
      </x:c>
      <x:c r="M301" s="45" t="str">
        <x:v>C2</x:v>
      </x:c>
      <x:c r="N301" s="45" t="str">
        <x:v>Sí</x:v>
      </x:c>
      <x:c r="O301" s="45" t="str">
        <x:v>Carlos Saldaña Avila</x:v>
      </x:c>
      <x:c r="P301" s="45" t="str">
        <x:v>Ops y Directorio Alsea · octubre 2026</x:v>
      </x:c>
      <x:c r="Q301" s="45" t="str">
        <x:v>Puntos proporcionados</x:v>
      </x:c>
      <x:c r="R301" s="45" t="str">
        <x:v>Abierta</x:v>
      </x:c>
      <x:c r="S301" s="45" t="str"/>
      <x:c r="T301" s="45" t="n">
        <x:f>IF(AND(E301="Abierta",N301="Sí",ISNUMBER(I301),ISNUMBER(J301),ABS(I301)&lt;=90,ABS(J301)&lt;=180),1,0)</x:f>
        <x:v>1</x:v>
      </x:c>
    </x:row>
    <x:row r="302" ht="23" customHeight="1">
      <x:c r="A302" s="45" t="str">
        <x:v>Centro Centro</x:v>
      </x:c>
      <x:c r="B302" s="45" t="str">
        <x:v>Carlos Saldaña Avila</x:v>
      </x:c>
      <x:c r="C302" s="50" t="str">
        <x:v>38344</x:v>
      </x:c>
      <x:c r="D302" s="45" t="str">
        <x:v>Parques Polanco</x:v>
      </x:c>
      <x:c r="E302" s="45" t="str">
        <x:v>Abierta</x:v>
      </x:c>
      <x:c r="F302" s="51" t="d">
        <x:v>2008-10-10T00:00:00.000Z</x:v>
      </x:c>
      <x:c r="G302" s="45" t="str">
        <x:v>Miguel Hidalgo</x:v>
      </x:c>
      <x:c r="H302" s="45" t="str">
        <x:v>Ciudad De México</x:v>
      </x:c>
      <x:c r="I302" s="52" t="n">
        <x:v>19.4402221</x:v>
      </x:c>
      <x:c r="J302" s="52" t="n">
        <x:v>-99.1851229</x:v>
      </x:c>
      <x:c r="K302" s="45" t="str">
        <x:v>Cafe</x:v>
      </x:c>
      <x:c r="L302" s="45" t="str">
        <x:v>Retail</x:v>
      </x:c>
      <x:c r="M302" s="45" t="str">
        <x:v>C2</x:v>
      </x:c>
      <x:c r="N302" s="45" t="str">
        <x:v>Sí</x:v>
      </x:c>
      <x:c r="O302" s="45" t="str">
        <x:v>Carlos Saldaña Avila</x:v>
      </x:c>
      <x:c r="P302" s="45" t="str">
        <x:v>Ops y Directorio Alsea · octubre 2026</x:v>
      </x:c>
      <x:c r="Q302" s="45" t="str">
        <x:v>Puntos proporcionados</x:v>
      </x:c>
      <x:c r="R302" s="45" t="str">
        <x:v>Abierta</x:v>
      </x:c>
      <x:c r="S302" s="45" t="str"/>
      <x:c r="T302" s="45" t="n">
        <x:f>IF(AND(E302="Abierta",N302="Sí",ISNUMBER(I302),ISNUMBER(J302),ABS(I302)&lt;=90,ABS(J302)&lt;=180),1,0)</x:f>
        <x:v>1</x:v>
      </x:c>
    </x:row>
    <x:row r="303" ht="23" customHeight="1">
      <x:c r="A303" s="45" t="str">
        <x:v>Centro Centro</x:v>
      </x:c>
      <x:c r="B303" s="45" t="str">
        <x:v>Carlos Saldaña Avila</x:v>
      </x:c>
      <x:c r="C303" s="50" t="str">
        <x:v>38378</x:v>
      </x:c>
      <x:c r="D303" s="45" t="str">
        <x:v>Torre Mexicana</x:v>
      </x:c>
      <x:c r="E303" s="45" t="str">
        <x:v>Abierta</x:v>
      </x:c>
      <x:c r="F303" s="51" t="d">
        <x:v>2010-04-23T00:00:00.000Z</x:v>
      </x:c>
      <x:c r="G303" s="45" t="str">
        <x:v>Benito Juárez</x:v>
      </x:c>
      <x:c r="H303" s="45" t="str">
        <x:v>Ciudad De México</x:v>
      </x:c>
      <x:c r="I303" s="52" t="n">
        <x:v>19.396959</x:v>
      </x:c>
      <x:c r="J303" s="52" t="n">
        <x:v>-99.165128</x:v>
      </x:c>
      <x:c r="K303" s="45" t="str">
        <x:v>Cafe</x:v>
      </x:c>
      <x:c r="L303" s="45" t="str">
        <x:v>Office_Complex</x:v>
      </x:c>
      <x:c r="M303" s="45" t="str">
        <x:v>C1</x:v>
      </x:c>
      <x:c r="N303" s="45" t="str">
        <x:v>Sí</x:v>
      </x:c>
      <x:c r="O303" s="45" t="str">
        <x:v>Carlos Saldaña Avila</x:v>
      </x:c>
      <x:c r="P303" s="45" t="str">
        <x:v>Ops y Directorio Alsea · octubre 2026</x:v>
      </x:c>
      <x:c r="Q303" s="45" t="str">
        <x:v>Puntos proporcionados</x:v>
      </x:c>
      <x:c r="R303" s="45" t="str">
        <x:v>Abierta</x:v>
      </x:c>
      <x:c r="S303" s="45" t="str"/>
      <x:c r="T303" s="45" t="n">
        <x:f>IF(AND(E303="Abierta",N303="Sí",ISNUMBER(I303),ISNUMBER(J303),ABS(I303)&lt;=90,ABS(J303)&lt;=180),1,0)</x:f>
        <x:v>1</x:v>
      </x:c>
    </x:row>
    <x:row r="304" ht="23" customHeight="1">
      <x:c r="A304" s="45" t="str">
        <x:v>Centro Centro</x:v>
      </x:c>
      <x:c r="B304" s="45" t="str">
        <x:v>Carlos Saldaña Avila</x:v>
      </x:c>
      <x:c r="C304" s="50" t="str">
        <x:v>38423</x:v>
      </x:c>
      <x:c r="D304" s="45" t="str">
        <x:v>Torre Wtc</x:v>
      </x:c>
      <x:c r="E304" s="45" t="str">
        <x:v>Abierta</x:v>
      </x:c>
      <x:c r="F304" s="51" t="d">
        <x:v>2011-08-08T00:00:00.000Z</x:v>
      </x:c>
      <x:c r="G304" s="45" t="str">
        <x:v>Benito Juárez</x:v>
      </x:c>
      <x:c r="H304" s="45" t="str">
        <x:v>Ciudad De México</x:v>
      </x:c>
      <x:c r="I304" s="52" t="n">
        <x:v>19.394542</x:v>
      </x:c>
      <x:c r="J304" s="52" t="n">
        <x:v>-99.174154</x:v>
      </x:c>
      <x:c r="K304" s="45" t="str">
        <x:v>Cafe</x:v>
      </x:c>
      <x:c r="L304" s="45" t="str">
        <x:v>Office_Complex</x:v>
      </x:c>
      <x:c r="M304" s="45" t="str">
        <x:v>C2</x:v>
      </x:c>
      <x:c r="N304" s="45" t="str">
        <x:v>Sí</x:v>
      </x:c>
      <x:c r="O304" s="45" t="str">
        <x:v>Carlos Saldaña Avila</x:v>
      </x:c>
      <x:c r="P304" s="45" t="str">
        <x:v>Ops y Directorio Alsea · octubre 2026</x:v>
      </x:c>
      <x:c r="Q304" s="45" t="str">
        <x:v>Puntos proporcionados</x:v>
      </x:c>
      <x:c r="R304" s="45" t="str">
        <x:v>Abierta</x:v>
      </x:c>
      <x:c r="S304" s="45" t="str"/>
      <x:c r="T304" s="45" t="n">
        <x:f>IF(AND(E304="Abierta",N304="Sí",ISNUMBER(I304),ISNUMBER(J304),ABS(I304)&lt;=90,ABS(J304)&lt;=180),1,0)</x:f>
        <x:v>1</x:v>
      </x:c>
    </x:row>
    <x:row r="305" ht="23" customHeight="1">
      <x:c r="A305" s="45" t="str">
        <x:v>Centro Centro</x:v>
      </x:c>
      <x:c r="B305" s="45" t="str">
        <x:v>Carlos Saldaña Avila</x:v>
      </x:c>
      <x:c r="C305" s="50" t="str">
        <x:v>38498</x:v>
      </x:c>
      <x:c r="D305" s="45" t="str">
        <x:v>Montecitos Wtc</x:v>
      </x:c>
      <x:c r="E305" s="45" t="str">
        <x:v>Abierta</x:v>
      </x:c>
      <x:c r="F305" s="51" t="d">
        <x:v>2013-07-12T00:00:00.000Z</x:v>
      </x:c>
      <x:c r="G305" s="45" t="str">
        <x:v>Benito Juárez</x:v>
      </x:c>
      <x:c r="H305" s="45" t="str">
        <x:v>Ciudad De México</x:v>
      </x:c>
      <x:c r="I305" s="52" t="n">
        <x:v>19.3947959</x:v>
      </x:c>
      <x:c r="J305" s="52" t="n">
        <x:v>-99.174149</x:v>
      </x:c>
      <x:c r="K305" s="45" t="str">
        <x:v>Cafe</x:v>
      </x:c>
      <x:c r="L305" s="45" t="str">
        <x:v>Retail</x:v>
      </x:c>
      <x:c r="M305" s="45" t="str">
        <x:v>C2</x:v>
      </x:c>
      <x:c r="N305" s="45" t="str">
        <x:v>Sí</x:v>
      </x:c>
      <x:c r="O305" s="45" t="str">
        <x:v>Carlos Saldaña Avila</x:v>
      </x:c>
      <x:c r="P305" s="45" t="str">
        <x:v>Ops y Directorio Alsea · octubre 2026</x:v>
      </x:c>
      <x:c r="Q305" s="45" t="str">
        <x:v>Puntos proporcionados</x:v>
      </x:c>
      <x:c r="R305" s="45" t="str">
        <x:v>Abierta</x:v>
      </x:c>
      <x:c r="S305" s="45" t="str"/>
      <x:c r="T305" s="45" t="n">
        <x:f>IF(AND(E305="Abierta",N305="Sí",ISNUMBER(I305),ISNUMBER(J305),ABS(I305)&lt;=90,ABS(J305)&lt;=180),1,0)</x:f>
        <x:v>1</x:v>
      </x:c>
    </x:row>
    <x:row r="306" ht="23" customHeight="1">
      <x:c r="A306" s="45" t="str">
        <x:v>Centro Centro</x:v>
      </x:c>
      <x:c r="B306" s="45" t="str">
        <x:v>Carlos Saldaña Avila</x:v>
      </x:c>
      <x:c r="C306" s="50" t="str">
        <x:v>38504</x:v>
      </x:c>
      <x:c r="D306" s="45" t="str">
        <x:v>Insurgentes Wtc</x:v>
      </x:c>
      <x:c r="E306" s="45" t="str">
        <x:v>Abierta</x:v>
      </x:c>
      <x:c r="F306" s="51" t="d">
        <x:v>2013-09-12T00:00:00.000Z</x:v>
      </x:c>
      <x:c r="G306" s="45" t="str">
        <x:v>Benito Juárez</x:v>
      </x:c>
      <x:c r="H306" s="45" t="str">
        <x:v>Ciudad De México</x:v>
      </x:c>
      <x:c r="I306" s="52" t="n">
        <x:v>19.3941855</x:v>
      </x:c>
      <x:c r="J306" s="52" t="n">
        <x:v>-99.1725</x:v>
      </x:c>
      <x:c r="K306" s="45" t="str">
        <x:v>Cafe</x:v>
      </x:c>
      <x:c r="L306" s="45" t="str">
        <x:v>Retail</x:v>
      </x:c>
      <x:c r="M306" s="45" t="str">
        <x:v>C2</x:v>
      </x:c>
      <x:c r="N306" s="45" t="str">
        <x:v>Sí</x:v>
      </x:c>
      <x:c r="O306" s="45" t="str">
        <x:v>Carlos Saldaña Avila</x:v>
      </x:c>
      <x:c r="P306" s="45" t="str">
        <x:v>Ops y Directorio Alsea · octubre 2026</x:v>
      </x:c>
      <x:c r="Q306" s="45" t="str">
        <x:v>Puntos proporcionados</x:v>
      </x:c>
      <x:c r="R306" s="45" t="str">
        <x:v>Abierta</x:v>
      </x:c>
      <x:c r="S306" s="45" t="str"/>
      <x:c r="T306" s="45" t="n">
        <x:f>IF(AND(E306="Abierta",N306="Sí",ISNUMBER(I306),ISNUMBER(J306),ABS(I306)&lt;=90,ABS(J306)&lt;=180),1,0)</x:f>
        <x:v>1</x:v>
      </x:c>
    </x:row>
    <x:row r="307" ht="23" customHeight="1">
      <x:c r="A307" s="45" t="str">
        <x:v>Centro Centro</x:v>
      </x:c>
      <x:c r="B307" s="45" t="str">
        <x:v>Carlos Saldaña Avila</x:v>
      </x:c>
      <x:c r="C307" s="50" t="str">
        <x:v>38635</x:v>
      </x:c>
      <x:c r="D307" s="45" t="str">
        <x:v>Punto Polanco</x:v>
      </x:c>
      <x:c r="E307" s="45" t="str">
        <x:v>Abierta</x:v>
      </x:c>
      <x:c r="F307" s="51" t="d">
        <x:v>2016-04-04T00:00:00.000Z</x:v>
      </x:c>
      <x:c r="G307" s="45" t="str">
        <x:v>Miguel Hidalgo</x:v>
      </x:c>
      <x:c r="H307" s="45" t="str">
        <x:v>Ciudad De México</x:v>
      </x:c>
      <x:c r="I307" s="52" t="n">
        <x:v>19.439671</x:v>
      </x:c>
      <x:c r="J307" s="52" t="n">
        <x:v>-99.1849209</x:v>
      </x:c>
      <x:c r="K307" s="45" t="str">
        <x:v>Cafe</x:v>
      </x:c>
      <x:c r="L307" s="45" t="str">
        <x:v>Office_Complex</x:v>
      </x:c>
      <x:c r="M307" s="45" t="str">
        <x:v>C1</x:v>
      </x:c>
      <x:c r="N307" s="45" t="str">
        <x:v>Sí</x:v>
      </x:c>
      <x:c r="O307" s="45" t="str">
        <x:v>Carlos Saldaña Avila</x:v>
      </x:c>
      <x:c r="P307" s="45" t="str">
        <x:v>Ops y Directorio Alsea · octubre 2026</x:v>
      </x:c>
      <x:c r="Q307" s="45" t="str">
        <x:v>Puntos proporcionados</x:v>
      </x:c>
      <x:c r="R307" s="45" t="str">
        <x:v>Abierta</x:v>
      </x:c>
      <x:c r="S307" s="45" t="str"/>
      <x:c r="T307" s="45" t="n">
        <x:f>IF(AND(E307="Abierta",N307="Sí",ISNUMBER(I307),ISNUMBER(J307),ABS(I307)&lt;=90,ABS(J307)&lt;=180),1,0)</x:f>
        <x:v>1</x:v>
      </x:c>
    </x:row>
    <x:row r="308" ht="23" customHeight="1">
      <x:c r="A308" s="45" t="str">
        <x:v>Centro Centro</x:v>
      </x:c>
      <x:c r="B308" s="45" t="str">
        <x:v>Carlos Saldaña Avila</x:v>
      </x:c>
      <x:c r="C308" s="50" t="str">
        <x:v>38858</x:v>
      </x:c>
      <x:c r="D308" s="45" t="str">
        <x:v>Torre de Pemex</x:v>
      </x:c>
      <x:c r="E308" s="45" t="str">
        <x:v>Abierta</x:v>
      </x:c>
      <x:c r="F308" s="51" t="d">
        <x:v>2019-02-18T00:00:00.000Z</x:v>
      </x:c>
      <x:c r="G308" s="45" t="str">
        <x:v>Miguel Hidalgo</x:v>
      </x:c>
      <x:c r="H308" s="45" t="str">
        <x:v>Ciudad De México</x:v>
      </x:c>
      <x:c r="I308" s="52" t="n">
        <x:v>19.4394156</x:v>
      </x:c>
      <x:c r="J308" s="52" t="n">
        <x:v>-99.1762684</x:v>
      </x:c>
      <x:c r="K308" s="45" t="str">
        <x:v>Kiosko</x:v>
      </x:c>
      <x:c r="L308" s="45" t="str">
        <x:v>Office_Complex</x:v>
      </x:c>
      <x:c r="M308" s="45" t="str">
        <x:v>C1</x:v>
      </x:c>
      <x:c r="N308" s="45" t="str">
        <x:v>Sí</x:v>
      </x:c>
      <x:c r="O308" s="45" t="str">
        <x:v>Carlos Saldaña Avila</x:v>
      </x:c>
      <x:c r="P308" s="45" t="str">
        <x:v>Ops y Directorio Alsea · octubre 2026</x:v>
      </x:c>
      <x:c r="Q308" s="45" t="str">
        <x:v>Puntos proporcionados</x:v>
      </x:c>
      <x:c r="R308" s="45" t="str">
        <x:v>Abierta</x:v>
      </x:c>
      <x:c r="S308" s="45" t="str"/>
      <x:c r="T308" s="45" t="n">
        <x:f>IF(AND(E308="Abierta",N308="Sí",ISNUMBER(I308),ISNUMBER(J308),ABS(I308)&lt;=90,ABS(J308)&lt;=180),1,0)</x:f>
        <x:v>1</x:v>
      </x:c>
    </x:row>
    <x:row r="309" ht="23" customHeight="1">
      <x:c r="A309" s="45" t="str">
        <x:v>Centro Centro</x:v>
      </x:c>
      <x:c r="B309" s="45" t="str">
        <x:v>Guadalupe Ibarra Martinez</x:v>
      </x:c>
      <x:c r="C309" s="50" t="str">
        <x:v>38101</x:v>
      </x:c>
      <x:c r="D309" s="45" t="str">
        <x:v>Angel</x:v>
      </x:c>
      <x:c r="E309" s="45" t="str">
        <x:v>Abierta</x:v>
      </x:c>
      <x:c r="F309" s="51" t="d">
        <x:v>2002-09-06T00:00:00.000Z</x:v>
      </x:c>
      <x:c r="G309" s="45" t="str">
        <x:v>Cuauhtémoc</x:v>
      </x:c>
      <x:c r="H309" s="45" t="str">
        <x:v>Ciudad De México</x:v>
      </x:c>
      <x:c r="I309" s="52" t="n">
        <x:v>19.427766</x:v>
      </x:c>
      <x:c r="J309" s="52" t="n">
        <x:v>-99.166689</x:v>
      </x:c>
      <x:c r="K309" s="45" t="str">
        <x:v>Cafe</x:v>
      </x:c>
      <x:c r="L309" s="45" t="str">
        <x:v>Retail</x:v>
      </x:c>
      <x:c r="M309" s="45" t="str">
        <x:v>C2</x:v>
      </x:c>
      <x:c r="N309" s="45" t="str">
        <x:v>Sí</x:v>
      </x:c>
      <x:c r="O309" s="45" t="str">
        <x:v>Guadalupe Ibarra Martinez</x:v>
      </x:c>
      <x:c r="P309" s="45" t="str">
        <x:v>Ops y Directorio Alsea · octubre 2026</x:v>
      </x:c>
      <x:c r="Q309" s="45" t="str">
        <x:v>Puntos proporcionados</x:v>
      </x:c>
      <x:c r="R309" s="45" t="str">
        <x:v>Abierta</x:v>
      </x:c>
      <x:c r="S309" s="45" t="str"/>
      <x:c r="T309" s="45" t="n">
        <x:f>IF(AND(E309="Abierta",N309="Sí",ISNUMBER(I309),ISNUMBER(J309),ABS(I309)&lt;=90,ABS(J309)&lt;=180),1,0)</x:f>
        <x:v>1</x:v>
      </x:c>
    </x:row>
    <x:row r="310" ht="23" customHeight="1">
      <x:c r="A310" s="45" t="str">
        <x:v>Centro Centro</x:v>
      </x:c>
      <x:c r="B310" s="45" t="str">
        <x:v>Guadalupe Ibarra Martinez</x:v>
      </x:c>
      <x:c r="C310" s="50" t="str">
        <x:v>38240</x:v>
      </x:c>
      <x:c r="D310" s="45" t="str">
        <x:v>Amberes</x:v>
      </x:c>
      <x:c r="E310" s="45" t="str">
        <x:v>Cierre Temporal</x:v>
      </x:c>
      <x:c r="F310" s="51" t="d">
        <x:v>2007-07-17T00:00:00.000Z</x:v>
      </x:c>
      <x:c r="G310" s="45" t="str">
        <x:v>Cuauhtémoc</x:v>
      </x:c>
      <x:c r="H310" s="45" t="str">
        <x:v>Ciudad De México</x:v>
      </x:c>
      <x:c r="I310" s="52" t="n">
        <x:v>19.4271694</x:v>
      </x:c>
      <x:c r="J310" s="52" t="n">
        <x:v>-99.1662973</x:v>
      </x:c>
      <x:c r="K310" s="45" t="str">
        <x:v>Cafe</x:v>
      </x:c>
      <x:c r="L310" s="45" t="str">
        <x:v>Retail</x:v>
      </x:c>
      <x:c r="M310" s="45" t="str">
        <x:v>C1</x:v>
      </x:c>
      <x:c r="N310" s="45" t="str">
        <x:v>No</x:v>
      </x:c>
      <x:c r="O310" s="45" t="str">
        <x:v>Guadalupe Ibarra Martinez</x:v>
      </x:c>
      <x:c r="P310" s="45" t="str">
        <x:v>Ops y Directorio Alsea · octubre 2026</x:v>
      </x:c>
      <x:c r="Q310" s="45" t="str">
        <x:v>Puntos proporcionados</x:v>
      </x:c>
      <x:c r="R310" s="45" t="str">
        <x:v>Abierta</x:v>
      </x:c>
      <x:c r="S310" s="45" t="str">
        <x:v>Ops: Cierre Temporal. Alsea: Abierta. Se conserva el estatus operativo más específico.</x:v>
      </x:c>
      <x:c r="T310" s="45" t="n">
        <x:f>IF(AND(E310="Abierta",N310="Sí",ISNUMBER(I310),ISNUMBER(J310),ABS(I310)&lt;=90,ABS(J310)&lt;=180),1,0)</x:f>
        <x:v>0</x:v>
      </x:c>
    </x:row>
    <x:row r="311" ht="23" customHeight="1">
      <x:c r="A311" s="45" t="str">
        <x:v>Centro Centro</x:v>
      </x:c>
      <x:c r="B311" s="45" t="str">
        <x:v>Guadalupe Ibarra Martinez</x:v>
      </x:c>
      <x:c r="C311" s="50" t="str">
        <x:v>38272</x:v>
      </x:c>
      <x:c r="D311" s="45" t="str">
        <x:v>Londres</x:v>
      </x:c>
      <x:c r="E311" s="45" t="str">
        <x:v>Abierta</x:v>
      </x:c>
      <x:c r="F311" s="51" t="d">
        <x:v>2007-11-16T00:00:00.000Z</x:v>
      </x:c>
      <x:c r="G311" s="45" t="str">
        <x:v>Cuauhtémoc</x:v>
      </x:c>
      <x:c r="H311" s="45" t="str">
        <x:v>Ciudad De México</x:v>
      </x:c>
      <x:c r="I311" s="52" t="n">
        <x:v>19.4257673</x:v>
      </x:c>
      <x:c r="J311" s="52" t="n">
        <x:v>-99.1636867</x:v>
      </x:c>
      <x:c r="K311" s="45" t="str">
        <x:v>Cafe</x:v>
      </x:c>
      <x:c r="L311" s="45" t="str">
        <x:v>Retail</x:v>
      </x:c>
      <x:c r="M311" s="45" t="str">
        <x:v>C2</x:v>
      </x:c>
      <x:c r="N311" s="45" t="str">
        <x:v>Sí</x:v>
      </x:c>
      <x:c r="O311" s="45" t="str">
        <x:v>Guadalupe Ibarra Martinez</x:v>
      </x:c>
      <x:c r="P311" s="45" t="str">
        <x:v>Ops y Directorio Alsea · octubre 2026</x:v>
      </x:c>
      <x:c r="Q311" s="45" t="str">
        <x:v>Puntos proporcionados</x:v>
      </x:c>
      <x:c r="R311" s="45" t="str">
        <x:v>Abierta</x:v>
      </x:c>
      <x:c r="S311" s="45" t="str"/>
      <x:c r="T311" s="45" t="n">
        <x:f>IF(AND(E311="Abierta",N311="Sí",ISNUMBER(I311),ISNUMBER(J311),ABS(I311)&lt;=90,ABS(J311)&lt;=180),1,0)</x:f>
        <x:v>1</x:v>
      </x:c>
    </x:row>
    <x:row r="312" ht="23" customHeight="1">
      <x:c r="A312" s="45" t="str">
        <x:v>Centro Centro</x:v>
      </x:c>
      <x:c r="B312" s="45" t="str">
        <x:v>Guadalupe Ibarra Martinez</x:v>
      </x:c>
      <x:c r="C312" s="50" t="str">
        <x:v>38285</x:v>
      </x:c>
      <x:c r="D312" s="45" t="str">
        <x:v>Reforma 222</x:v>
      </x:c>
      <x:c r="E312" s="45" t="str">
        <x:v>Abierta</x:v>
      </x:c>
      <x:c r="F312" s="51" t="d">
        <x:v>2007-12-14T00:00:00.000Z</x:v>
      </x:c>
      <x:c r="G312" s="45" t="str">
        <x:v>Cuauhtémoc</x:v>
      </x:c>
      <x:c r="H312" s="45" t="str">
        <x:v>Ciudad De México</x:v>
      </x:c>
      <x:c r="I312" s="52" t="n">
        <x:v>19.4286351</x:v>
      </x:c>
      <x:c r="J312" s="52" t="n">
        <x:v>-99.1612261</x:v>
      </x:c>
      <x:c r="K312" s="45" t="str">
        <x:v>Cafe</x:v>
      </x:c>
      <x:c r="L312" s="45" t="str">
        <x:v>Retail</x:v>
      </x:c>
      <x:c r="M312" s="45" t="str">
        <x:v>C2</x:v>
      </x:c>
      <x:c r="N312" s="45" t="str">
        <x:v>Sí</x:v>
      </x:c>
      <x:c r="O312" s="45" t="str">
        <x:v>Guadalupe Ibarra Martinez</x:v>
      </x:c>
      <x:c r="P312" s="45" t="str">
        <x:v>Ops y Directorio Alsea · octubre 2026</x:v>
      </x:c>
      <x:c r="Q312" s="45" t="str">
        <x:v>Puntos proporcionados</x:v>
      </x:c>
      <x:c r="R312" s="45" t="str">
        <x:v>Abierta</x:v>
      </x:c>
      <x:c r="S312" s="45" t="str"/>
      <x:c r="T312" s="45" t="n">
        <x:f>IF(AND(E312="Abierta",N312="Sí",ISNUMBER(I312),ISNUMBER(J312),ABS(I312)&lt;=90,ABS(J312)&lt;=180),1,0)</x:f>
        <x:v>1</x:v>
      </x:c>
    </x:row>
    <x:row r="313" ht="23" customHeight="1">
      <x:c r="A313" s="45" t="str">
        <x:v>Centro Centro</x:v>
      </x:c>
      <x:c r="B313" s="45" t="str">
        <x:v>Guadalupe Ibarra Martinez</x:v>
      </x:c>
      <x:c r="C313" s="50" t="str">
        <x:v>38291</x:v>
      </x:c>
      <x:c r="D313" s="45" t="str">
        <x:v>Reforma 222 II</x:v>
      </x:c>
      <x:c r="E313" s="45" t="str">
        <x:v>Abierta</x:v>
      </x:c>
      <x:c r="F313" s="51" t="d">
        <x:v>2007-12-21T00:00:00.000Z</x:v>
      </x:c>
      <x:c r="G313" s="45" t="str">
        <x:v>Cuauhtémoc</x:v>
      </x:c>
      <x:c r="H313" s="45" t="str">
        <x:v>Ciudad De México</x:v>
      </x:c>
      <x:c r="I313" s="52" t="n">
        <x:v>19.4289082</x:v>
      </x:c>
      <x:c r="J313" s="52" t="n">
        <x:v>-99.1619098</x:v>
      </x:c>
      <x:c r="K313" s="45" t="str">
        <x:v>Cafe</x:v>
      </x:c>
      <x:c r="L313" s="45" t="str">
        <x:v>Retail</x:v>
      </x:c>
      <x:c r="M313" s="45" t="str">
        <x:v>C2</x:v>
      </x:c>
      <x:c r="N313" s="45" t="str">
        <x:v>Sí</x:v>
      </x:c>
      <x:c r="O313" s="45" t="str">
        <x:v>Guadalupe Ibarra Martinez</x:v>
      </x:c>
      <x:c r="P313" s="45" t="str">
        <x:v>Ops y Directorio Alsea · octubre 2026</x:v>
      </x:c>
      <x:c r="Q313" s="45" t="str">
        <x:v>Puntos proporcionados</x:v>
      </x:c>
      <x:c r="R313" s="45" t="str">
        <x:v>Abierta</x:v>
      </x:c>
      <x:c r="S313" s="45" t="str"/>
      <x:c r="T313" s="45" t="n">
        <x:f>IF(AND(E313="Abierta",N313="Sí",ISNUMBER(I313),ISNUMBER(J313),ABS(I313)&lt;=90,ABS(J313)&lt;=180),1,0)</x:f>
        <x:v>1</x:v>
      </x:c>
    </x:row>
    <x:row r="314" ht="23" customHeight="1">
      <x:c r="A314" s="45" t="str">
        <x:v>Centro Centro</x:v>
      </x:c>
      <x:c r="B314" s="45" t="str">
        <x:v>Guadalupe Ibarra Martinez</x:v>
      </x:c>
      <x:c r="C314" s="50" t="str">
        <x:v>38389</x:v>
      </x:c>
      <x:c r="D314" s="45" t="str">
        <x:v>Rio Marne</x:v>
      </x:c>
      <x:c r="E314" s="45" t="str">
        <x:v>Abierta</x:v>
      </x:c>
      <x:c r="F314" s="51" t="d">
        <x:v>2010-10-01T00:00:00.000Z</x:v>
      </x:c>
      <x:c r="G314" s="45" t="str">
        <x:v>Cuauhtémoc</x:v>
      </x:c>
      <x:c r="H314" s="45" t="str">
        <x:v>Ciudad De México</x:v>
      </x:c>
      <x:c r="I314" s="52" t="n">
        <x:v>19.4305827</x:v>
      </x:c>
      <x:c r="J314" s="52" t="n">
        <x:v>-99.1611966</x:v>
      </x:c>
      <x:c r="K314" s="45" t="str">
        <x:v>Cafe</x:v>
      </x:c>
      <x:c r="L314" s="45" t="str">
        <x:v>Office_Complex</x:v>
      </x:c>
      <x:c r="M314" s="45" t="str">
        <x:v>C1</x:v>
      </x:c>
      <x:c r="N314" s="45" t="str">
        <x:v>Sí</x:v>
      </x:c>
      <x:c r="O314" s="45" t="str">
        <x:v>Guadalupe Ibarra Martinez</x:v>
      </x:c>
      <x:c r="P314" s="45" t="str">
        <x:v>Ops y Directorio Alsea · octubre 2026</x:v>
      </x:c>
      <x:c r="Q314" s="45" t="str">
        <x:v>Puntos proporcionados</x:v>
      </x:c>
      <x:c r="R314" s="45" t="str">
        <x:v>Abierta</x:v>
      </x:c>
      <x:c r="S314" s="45" t="str"/>
      <x:c r="T314" s="45" t="n">
        <x:f>IF(AND(E314="Abierta",N314="Sí",ISNUMBER(I314),ISNUMBER(J314),ABS(I314)&lt;=90,ABS(J314)&lt;=180),1,0)</x:f>
        <x:v>1</x:v>
      </x:c>
    </x:row>
    <x:row r="315" ht="23" customHeight="1">
      <x:c r="A315" s="45" t="str">
        <x:v>Centro Centro</x:v>
      </x:c>
      <x:c r="B315" s="45" t="str">
        <x:v>Guadalupe Ibarra Martinez</x:v>
      </x:c>
      <x:c r="C315" s="50" t="str">
        <x:v>38404</x:v>
      </x:c>
      <x:c r="D315" s="45" t="str">
        <x:v>Varsovia</x:v>
      </x:c>
      <x:c r="E315" s="45" t="str">
        <x:v>Abierta</x:v>
      </x:c>
      <x:c r="F315" s="51" t="d">
        <x:v>2011-01-03T00:00:00.000Z</x:v>
      </x:c>
      <x:c r="G315" s="45" t="str">
        <x:v>Cuauhtémoc</x:v>
      </x:c>
      <x:c r="H315" s="45" t="str">
        <x:v>Ciudad De México</x:v>
      </x:c>
      <x:c r="I315" s="52" t="n">
        <x:v>19.426203</x:v>
      </x:c>
      <x:c r="J315" s="52" t="n">
        <x:v>-99.169284</x:v>
      </x:c>
      <x:c r="K315" s="45" t="str">
        <x:v>Cafe</x:v>
      </x:c>
      <x:c r="L315" s="45" t="str">
        <x:v>Retail</x:v>
      </x:c>
      <x:c r="M315" s="45" t="str">
        <x:v>C1</x:v>
      </x:c>
      <x:c r="N315" s="45" t="str">
        <x:v>Sí</x:v>
      </x:c>
      <x:c r="O315" s="45" t="str">
        <x:v>Guadalupe Ibarra Martinez</x:v>
      </x:c>
      <x:c r="P315" s="45" t="str">
        <x:v>Ops y Directorio Alsea · octubre 2026</x:v>
      </x:c>
      <x:c r="Q315" s="45" t="str">
        <x:v>Puntos proporcionados</x:v>
      </x:c>
      <x:c r="R315" s="45" t="str">
        <x:v>Abierta</x:v>
      </x:c>
      <x:c r="S315" s="45" t="str"/>
      <x:c r="T315" s="45" t="n">
        <x:f>IF(AND(E315="Abierta",N315="Sí",ISNUMBER(I315),ISNUMBER(J315),ABS(I315)&lt;=90,ABS(J315)&lt;=180),1,0)</x:f>
        <x:v>1</x:v>
      </x:c>
    </x:row>
    <x:row r="316" ht="23" customHeight="1">
      <x:c r="A316" s="45" t="str">
        <x:v>Centro Centro</x:v>
      </x:c>
      <x:c r="B316" s="45" t="str">
        <x:v>Guadalupe Ibarra Martinez</x:v>
      </x:c>
      <x:c r="C316" s="50" t="str">
        <x:v>38422</x:v>
      </x:c>
      <x:c r="D316" s="45" t="str">
        <x:v>Corporativo HSBC</x:v>
      </x:c>
      <x:c r="E316" s="45" t="str">
        <x:v>Abierta</x:v>
      </x:c>
      <x:c r="F316" s="51" t="d">
        <x:v>2011-07-08T00:00:00.000Z</x:v>
      </x:c>
      <x:c r="G316" s="45" t="str">
        <x:v>Cuauhtémoc</x:v>
      </x:c>
      <x:c r="H316" s="45" t="str">
        <x:v>Ciudad De México</x:v>
      </x:c>
      <x:c r="I316" s="52" t="n">
        <x:v>19.4277552</x:v>
      </x:c>
      <x:c r="J316" s="52" t="n">
        <x:v>-99.1685152</x:v>
      </x:c>
      <x:c r="K316" s="45" t="str">
        <x:v>Cafe</x:v>
      </x:c>
      <x:c r="L316" s="45" t="str">
        <x:v>Office_Complex</x:v>
      </x:c>
      <x:c r="M316" s="45" t="str">
        <x:v>C2</x:v>
      </x:c>
      <x:c r="N316" s="45" t="str">
        <x:v>Sí</x:v>
      </x:c>
      <x:c r="O316" s="45" t="str">
        <x:v>Guadalupe Ibarra Martinez</x:v>
      </x:c>
      <x:c r="P316" s="45" t="str">
        <x:v>Ops y Directorio Alsea · octubre 2026</x:v>
      </x:c>
      <x:c r="Q316" s="45" t="str">
        <x:v>Puntos proporcionados</x:v>
      </x:c>
      <x:c r="R316" s="45" t="str">
        <x:v>Abierta</x:v>
      </x:c>
      <x:c r="S316" s="45" t="str"/>
      <x:c r="T316" s="45" t="n">
        <x:f>IF(AND(E316="Abierta",N316="Sí",ISNUMBER(I316),ISNUMBER(J316),ABS(I316)&lt;=90,ABS(J316)&lt;=180),1,0)</x:f>
        <x:v>1</x:v>
      </x:c>
    </x:row>
    <x:row r="317" ht="23" customHeight="1">
      <x:c r="A317" s="45" t="str">
        <x:v>Centro Centro</x:v>
      </x:c>
      <x:c r="B317" s="45" t="str">
        <x:v>Guadalupe Ibarra Martinez</x:v>
      </x:c>
      <x:c r="C317" s="50" t="str">
        <x:v>38433</x:v>
      </x:c>
      <x:c r="D317" s="45" t="str">
        <x:v>Bolsa Mexicana de Valores</x:v>
      </x:c>
      <x:c r="E317" s="45" t="str">
        <x:v>Abierta</x:v>
      </x:c>
      <x:c r="F317" s="51" t="d">
        <x:v>2011-12-08T00:00:00.000Z</x:v>
      </x:c>
      <x:c r="G317" s="45" t="str">
        <x:v>Cuauhtémoc</x:v>
      </x:c>
      <x:c r="H317" s="45" t="str">
        <x:v>Ciudad De México</x:v>
      </x:c>
      <x:c r="I317" s="52" t="n">
        <x:v>19.4294663</x:v>
      </x:c>
      <x:c r="J317" s="52" t="n">
        <x:v>-99.1642239</x:v>
      </x:c>
      <x:c r="K317" s="45" t="str">
        <x:v>Cafe</x:v>
      </x:c>
      <x:c r="L317" s="45" t="str">
        <x:v>Office_Complex</x:v>
      </x:c>
      <x:c r="M317" s="45" t="str">
        <x:v>C2</x:v>
      </x:c>
      <x:c r="N317" s="45" t="str">
        <x:v>Sí</x:v>
      </x:c>
      <x:c r="O317" s="45" t="str">
        <x:v>Guadalupe Ibarra Martinez</x:v>
      </x:c>
      <x:c r="P317" s="45" t="str">
        <x:v>Ops y Directorio Alsea · octubre 2026</x:v>
      </x:c>
      <x:c r="Q317" s="45" t="str">
        <x:v>Puntos proporcionados</x:v>
      </x:c>
      <x:c r="R317" s="45" t="str">
        <x:v>Abierta</x:v>
      </x:c>
      <x:c r="S317" s="45" t="str"/>
      <x:c r="T317" s="45" t="n">
        <x:f>IF(AND(E317="Abierta",N317="Sí",ISNUMBER(I317),ISNUMBER(J317),ABS(I317)&lt;=90,ABS(J317)&lt;=180),1,0)</x:f>
        <x:v>1</x:v>
      </x:c>
    </x:row>
    <x:row r="318" ht="23" customHeight="1">
      <x:c r="A318" s="45" t="str">
        <x:v>Centro Centro</x:v>
      </x:c>
      <x:c r="B318" s="45" t="str">
        <x:v>Guadalupe Ibarra Martinez</x:v>
      </x:c>
      <x:c r="C318" s="50" t="str">
        <x:v>38555</x:v>
      </x:c>
      <x:c r="D318" s="45" t="str">
        <x:v>Capital Reforma</x:v>
      </x:c>
      <x:c r="E318" s="45" t="str">
        <x:v>Abierta</x:v>
      </x:c>
      <x:c r="F318" s="51" t="d">
        <x:v>2014-09-26T00:00:00.000Z</x:v>
      </x:c>
      <x:c r="G318" s="45" t="str">
        <x:v>Cuauhtémoc</x:v>
      </x:c>
      <x:c r="H318" s="45" t="str">
        <x:v>Ciudad De México</x:v>
      </x:c>
      <x:c r="I318" s="52" t="n">
        <x:v>19.428615</x:v>
      </x:c>
      <x:c r="J318" s="52" t="n">
        <x:v>-99.163096</x:v>
      </x:c>
      <x:c r="K318" s="45" t="str">
        <x:v>Cafe</x:v>
      </x:c>
      <x:c r="L318" s="45" t="str">
        <x:v>Office_Complex</x:v>
      </x:c>
      <x:c r="M318" s="45" t="str">
        <x:v>C2</x:v>
      </x:c>
      <x:c r="N318" s="45" t="str">
        <x:v>Sí</x:v>
      </x:c>
      <x:c r="O318" s="45" t="str">
        <x:v>Guadalupe Ibarra Martinez</x:v>
      </x:c>
      <x:c r="P318" s="45" t="str">
        <x:v>Ops y Directorio Alsea · octubre 2026</x:v>
      </x:c>
      <x:c r="Q318" s="45" t="str">
        <x:v>Puntos proporcionados</x:v>
      </x:c>
      <x:c r="R318" s="45" t="str">
        <x:v>Abierta</x:v>
      </x:c>
      <x:c r="S318" s="45" t="str"/>
      <x:c r="T318" s="45" t="n">
        <x:f>IF(AND(E318="Abierta",N318="Sí",ISNUMBER(I318),ISNUMBER(J318),ABS(I318)&lt;=90,ABS(J318)&lt;=180),1,0)</x:f>
        <x:v>1</x:v>
      </x:c>
    </x:row>
    <x:row r="319" ht="23" customHeight="1">
      <x:c r="A319" s="45" t="str">
        <x:v>Centro Centro</x:v>
      </x:c>
      <x:c r="B319" s="45" t="str">
        <x:v>Guadalupe Ibarra Martinez</x:v>
      </x:c>
      <x:c r="C319" s="50" t="str">
        <x:v>38613</x:v>
      </x:c>
      <x:c r="D319" s="45" t="str">
        <x:v>Xola</x:v>
      </x:c>
      <x:c r="E319" s="45" t="str">
        <x:v>Cierre Temporal</x:v>
      </x:c>
      <x:c r="F319" s="51" t="d">
        <x:v>2015-09-27T00:00:00.000Z</x:v>
      </x:c>
      <x:c r="G319" s="45" t="str">
        <x:v>Benito Juárez</x:v>
      </x:c>
      <x:c r="H319" s="45" t="str">
        <x:v>Ciudad De México</x:v>
      </x:c>
      <x:c r="I319" s="52" t="n">
        <x:v>19.3957998</x:v>
      </x:c>
      <x:c r="J319" s="52" t="n">
        <x:v>-99.1569466</x:v>
      </x:c>
      <x:c r="K319" s="45" t="str">
        <x:v>Drive_Thru</x:v>
      </x:c>
      <x:c r="L319" s="45" t="str">
        <x:v>Transfers</x:v>
      </x:c>
      <x:c r="M319" s="45" t="str">
        <x:v>C2</x:v>
      </x:c>
      <x:c r="N319" s="45" t="str">
        <x:v>No</x:v>
      </x:c>
      <x:c r="O319" s="45" t="str">
        <x:v>Guadalupe Ibarra Martinez</x:v>
      </x:c>
      <x:c r="P319" s="45" t="str">
        <x:v>Ops y Directorio Alsea · octubre 2026</x:v>
      </x:c>
      <x:c r="Q319" s="45" t="str">
        <x:v>Puntos proporcionados</x:v>
      </x:c>
      <x:c r="R319" s="45" t="str">
        <x:v>Abierta</x:v>
      </x:c>
      <x:c r="S319" s="45" t="str">
        <x:v>Ops: Cierre Temporal. Alsea: Abierta. Se conserva el estatus operativo más específico.</x:v>
      </x:c>
      <x:c r="T319" s="45" t="n">
        <x:f>IF(AND(E319="Abierta",N319="Sí",ISNUMBER(I319),ISNUMBER(J319),ABS(I319)&lt;=90,ABS(J319)&lt;=180),1,0)</x:f>
        <x:v>0</x:v>
      </x:c>
    </x:row>
    <x:row r="320" ht="23" customHeight="1">
      <x:c r="A320" s="45" t="str">
        <x:v>Centro Centro</x:v>
      </x:c>
      <x:c r="B320" s="45" t="str">
        <x:v>Guadalupe Ibarra Martinez</x:v>
      </x:c>
      <x:c r="C320" s="50" t="str">
        <x:v>38654</x:v>
      </x:c>
      <x:c r="D320" s="45" t="str">
        <x:v>Reforma 180</x:v>
      </x:c>
      <x:c r="E320" s="45" t="str">
        <x:v>Abierta</x:v>
      </x:c>
      <x:c r="F320" s="51" t="d">
        <x:v>2016-06-26T00:00:00.000Z</x:v>
      </x:c>
      <x:c r="G320" s="45" t="str">
        <x:v>Cuauhtémoc</x:v>
      </x:c>
      <x:c r="H320" s="45" t="str">
        <x:v>Ciudad De México</x:v>
      </x:c>
      <x:c r="I320" s="52" t="n">
        <x:v>19.429921</x:v>
      </x:c>
      <x:c r="J320" s="52" t="n">
        <x:v>-99.160813</x:v>
      </x:c>
      <x:c r="K320" s="45" t="str">
        <x:v>Cafe</x:v>
      </x:c>
      <x:c r="L320" s="45" t="str">
        <x:v>Office_Complex</x:v>
      </x:c>
      <x:c r="M320" s="45" t="str">
        <x:v>C2</x:v>
      </x:c>
      <x:c r="N320" s="45" t="str">
        <x:v>Sí</x:v>
      </x:c>
      <x:c r="O320" s="45" t="str">
        <x:v>Guadalupe Ibarra Martinez</x:v>
      </x:c>
      <x:c r="P320" s="45" t="str">
        <x:v>Ops y Directorio Alsea · octubre 2026</x:v>
      </x:c>
      <x:c r="Q320" s="45" t="str">
        <x:v>Puntos proporcionados</x:v>
      </x:c>
      <x:c r="R320" s="45" t="str">
        <x:v>Abierta</x:v>
      </x:c>
      <x:c r="S320" s="45" t="str"/>
      <x:c r="T320" s="45" t="n">
        <x:f>IF(AND(E320="Abierta",N320="Sí",ISNUMBER(I320),ISNUMBER(J320),ABS(I320)&lt;=90,ABS(J320)&lt;=180),1,0)</x:f>
        <x:v>1</x:v>
      </x:c>
    </x:row>
    <x:row r="321" ht="23" customHeight="1">
      <x:c r="A321" s="45" t="str">
        <x:v>Centro Centro</x:v>
      </x:c>
      <x:c r="B321" s="45" t="str">
        <x:v>Guadalupe Ibarra Martinez</x:v>
      </x:c>
      <x:c r="C321" s="50" t="str">
        <x:v>38681</x:v>
      </x:c>
      <x:c r="D321" s="45" t="str">
        <x:v>Torre Diana</x:v>
      </x:c>
      <x:c r="E321" s="45" t="str">
        <x:v>Abierta</x:v>
      </x:c>
      <x:c r="F321" s="51" t="d">
        <x:v>2016-10-01T00:00:00.000Z</x:v>
      </x:c>
      <x:c r="G321" s="45" t="str">
        <x:v>Cuauhtémoc</x:v>
      </x:c>
      <x:c r="H321" s="45" t="str">
        <x:v>Ciudad De México</x:v>
      </x:c>
      <x:c r="I321" s="52" t="n">
        <x:v>19.426004</x:v>
      </x:c>
      <x:c r="J321" s="52" t="n">
        <x:v>-99.172188</x:v>
      </x:c>
      <x:c r="K321" s="45" t="str">
        <x:v>Cafe</x:v>
      </x:c>
      <x:c r="L321" s="45" t="str">
        <x:v>Office_Complex</x:v>
      </x:c>
      <x:c r="M321" s="45" t="str">
        <x:v>C2</x:v>
      </x:c>
      <x:c r="N321" s="45" t="str">
        <x:v>Sí</x:v>
      </x:c>
      <x:c r="O321" s="45" t="str">
        <x:v>Guadalupe Ibarra Martinez</x:v>
      </x:c>
      <x:c r="P321" s="45" t="str">
        <x:v>Ops y Directorio Alsea · octubre 2026</x:v>
      </x:c>
      <x:c r="Q321" s="45" t="str">
        <x:v>Puntos proporcionados</x:v>
      </x:c>
      <x:c r="R321" s="45" t="str">
        <x:v>Abierta</x:v>
      </x:c>
      <x:c r="S321" s="45" t="str"/>
      <x:c r="T321" s="45" t="n">
        <x:f>IF(AND(E321="Abierta",N321="Sí",ISNUMBER(I321),ISNUMBER(J321),ABS(I321)&lt;=90,ABS(J321)&lt;=180),1,0)</x:f>
        <x:v>1</x:v>
      </x:c>
    </x:row>
    <x:row r="322" ht="23" customHeight="1">
      <x:c r="A322" s="45" t="str">
        <x:v>Centro Centro</x:v>
      </x:c>
      <x:c r="B322" s="45" t="str">
        <x:v>Guadalupe Ibarra Martinez</x:v>
      </x:c>
      <x:c r="C322" s="50" t="str">
        <x:v>43188</x:v>
      </x:c>
      <x:c r="D322" s="45" t="str">
        <x:v>Insurgentes Tehuantepec</x:v>
      </x:c>
      <x:c r="E322" s="45" t="str">
        <x:v>Abierta</x:v>
      </x:c>
      <x:c r="F322" s="51" t="d">
        <x:v>2026-01-29T00:00:00.000Z</x:v>
      </x:c>
      <x:c r="G322" s="45" t="str">
        <x:v>Cuauhtémoc</x:v>
      </x:c>
      <x:c r="H322" s="45" t="str">
        <x:v>Ciudad De México</x:v>
      </x:c>
      <x:c r="I322" s="52" t="n">
        <x:v>19.40227</x:v>
      </x:c>
      <x:c r="J322" s="52" t="n">
        <x:v>-99.169743</x:v>
      </x:c>
      <x:c r="K322" s="45" t="str">
        <x:v>Drive_Thru</x:v>
      </x:c>
      <x:c r="L322" s="45" t="str">
        <x:v>Transfers</x:v>
      </x:c>
      <x:c r="M322" s="45" t="str">
        <x:v>C2</x:v>
      </x:c>
      <x:c r="N322" s="45" t="str">
        <x:v>Sí</x:v>
      </x:c>
      <x:c r="O322" s="45" t="str">
        <x:v>Guadalupe Ibarra Martinez</x:v>
      </x:c>
      <x:c r="P322" s="45" t="str">
        <x:v>Ops y Directorio Alsea · octubre 2026</x:v>
      </x:c>
      <x:c r="Q322" s="45" t="str">
        <x:v>Puntos proporcionados</x:v>
      </x:c>
      <x:c r="R322" s="45" t="str">
        <x:v>Abierta</x:v>
      </x:c>
      <x:c r="S322" s="45" t="str"/>
      <x:c r="T322" s="45" t="n">
        <x:f>IF(AND(E322="Abierta",N322="Sí",ISNUMBER(I322),ISNUMBER(J322),ABS(I322)&lt;=90,ABS(J322)&lt;=180),1,0)</x:f>
        <x:v>1</x:v>
      </x:c>
    </x:row>
    <x:row r="323" ht="23" customHeight="1">
      <x:c r="A323" s="45" t="str">
        <x:v>Centro Centro</x:v>
      </x:c>
      <x:c r="B323" s="45" t="str">
        <x:v>Guadalupe Ibarra Martinez</x:v>
      </x:c>
      <x:c r="C323" s="50" t="str">
        <x:v>43248</x:v>
      </x:c>
      <x:c r="D323" s="45" t="str">
        <x:v>Buenavista</x:v>
      </x:c>
      <x:c r="E323" s="45" t="str">
        <x:v>Abierta</x:v>
      </x:c>
      <x:c r="F323" s="51" t="d">
        <x:v>2026-09-26T00:00:00.000Z</x:v>
      </x:c>
      <x:c r="G323" s="45" t="str">
        <x:v>Cuauhtémoc</x:v>
      </x:c>
      <x:c r="H323" s="45" t="str">
        <x:v>Ciudad De México</x:v>
      </x:c>
      <x:c r="I323" s="52" t="n">
        <x:v>19.441468</x:v>
      </x:c>
      <x:c r="J323" s="52" t="n">
        <x:v>-99.155199</x:v>
      </x:c>
      <x:c r="K323" s="45" t="str">
        <x:v>Cafe</x:v>
      </x:c>
      <x:c r="L323" s="45" t="str">
        <x:v>Office_Complex</x:v>
      </x:c>
      <x:c r="M323" s="45" t="str">
        <x:v>C1</x:v>
      </x:c>
      <x:c r="N323" s="45" t="str">
        <x:v>Sí</x:v>
      </x:c>
      <x:c r="O323" s="45" t="str">
        <x:v>Guadalupe Ibarra Martinez</x:v>
      </x:c>
      <x:c r="P323" s="45" t="str">
        <x:v>Ops y Directorio Alsea · octubre 2026</x:v>
      </x:c>
      <x:c r="Q323" s="45" t="str">
        <x:v>Directorio Alsea octubre 2026</x:v>
      </x:c>
      <x:c r="R323" s="45" t="str">
        <x:v>Abierta</x:v>
      </x:c>
      <x:c r="S323" s="45" t="str"/>
      <x:c r="T323" s="45" t="n">
        <x:f>IF(AND(E323="Abierta",N323="Sí",ISNUMBER(I323),ISNUMBER(J323),ABS(I323)&lt;=90,ABS(J323)&lt;=180),1,0)</x:f>
        <x:v>1</x:v>
      </x:c>
    </x:row>
    <x:row r="324" ht="23" customHeight="1">
      <x:c r="A324" s="45" t="str">
        <x:v>Centro Centro</x:v>
      </x:c>
      <x:c r="B324" s="45" t="str">
        <x:v>Luis Manuel Neri Saldana</x:v>
      </x:c>
      <x:c r="C324" s="50" t="str">
        <x:v>38111</x:v>
      </x:c>
      <x:c r="D324" s="45" t="str">
        <x:v>Masarik</x:v>
      </x:c>
      <x:c r="E324" s="45" t="str">
        <x:v>Abierta</x:v>
      </x:c>
      <x:c r="F324" s="51" t="d">
        <x:v>2003-07-11T00:00:00.000Z</x:v>
      </x:c>
      <x:c r="G324" s="45" t="str">
        <x:v>Miguel Hidalgo</x:v>
      </x:c>
      <x:c r="H324" s="45" t="str">
        <x:v>Ciudad De México</x:v>
      </x:c>
      <x:c r="I324" s="52" t="n">
        <x:v>19.4315369</x:v>
      </x:c>
      <x:c r="J324" s="52" t="n">
        <x:v>-99.1968447</x:v>
      </x:c>
      <x:c r="K324" s="45" t="str">
        <x:v>Cafe</x:v>
      </x:c>
      <x:c r="L324" s="45" t="str">
        <x:v>Retail</x:v>
      </x:c>
      <x:c r="M324" s="45" t="str">
        <x:v>C2</x:v>
      </x:c>
      <x:c r="N324" s="45" t="str">
        <x:v>Sí</x:v>
      </x:c>
      <x:c r="O324" s="45" t="str">
        <x:v>Luis Manuel Neri Saldana</x:v>
      </x:c>
      <x:c r="P324" s="45" t="str">
        <x:v>Ops y Directorio Alsea · octubre 2026</x:v>
      </x:c>
      <x:c r="Q324" s="45" t="str">
        <x:v>Puntos proporcionados</x:v>
      </x:c>
      <x:c r="R324" s="45" t="str">
        <x:v>Abierta</x:v>
      </x:c>
      <x:c r="S324" s="45" t="str"/>
      <x:c r="T324" s="45" t="n">
        <x:f>IF(AND(E324="Abierta",N324="Sí",ISNUMBER(I324),ISNUMBER(J324),ABS(I324)&lt;=90,ABS(J324)&lt;=180),1,0)</x:f>
        <x:v>1</x:v>
      </x:c>
    </x:row>
    <x:row r="325" ht="23" customHeight="1">
      <x:c r="A325" s="45" t="str">
        <x:v>Centro Centro</x:v>
      </x:c>
      <x:c r="B325" s="45" t="str">
        <x:v>Luis Manuel Neri Saldana</x:v>
      </x:c>
      <x:c r="C325" s="50" t="str">
        <x:v>38118</x:v>
      </x:c>
      <x:c r="D325" s="45" t="str">
        <x:v>Corporativo Polanco</x:v>
      </x:c>
      <x:c r="E325" s="45" t="str">
        <x:v>Abierta</x:v>
      </x:c>
      <x:c r="F325" s="51" t="d">
        <x:v>2003-10-30T00:00:00.000Z</x:v>
      </x:c>
      <x:c r="G325" s="45" t="str">
        <x:v>Miguel Hidalgo</x:v>
      </x:c>
      <x:c r="H325" s="45" t="str">
        <x:v>Ciudad De México</x:v>
      </x:c>
      <x:c r="I325" s="52" t="n">
        <x:v>19.437362</x:v>
      </x:c>
      <x:c r="J325" s="52" t="n">
        <x:v>-99.210005</x:v>
      </x:c>
      <x:c r="K325" s="45" t="str">
        <x:v>Cafe</x:v>
      </x:c>
      <x:c r="L325" s="45" t="str">
        <x:v>Office_Complex</x:v>
      </x:c>
      <x:c r="M325" s="45" t="str">
        <x:v>C2</x:v>
      </x:c>
      <x:c r="N325" s="45" t="str">
        <x:v>Sí</x:v>
      </x:c>
      <x:c r="O325" s="45" t="str">
        <x:v>Luis Manuel Neri Saldana</x:v>
      </x:c>
      <x:c r="P325" s="45" t="str">
        <x:v>Ops y Directorio Alsea · octubre 2026</x:v>
      </x:c>
      <x:c r="Q325" s="45" t="str">
        <x:v>Puntos proporcionados</x:v>
      </x:c>
      <x:c r="R325" s="45" t="str">
        <x:v>Abierta</x:v>
      </x:c>
      <x:c r="S325" s="45" t="str"/>
      <x:c r="T325" s="45" t="n">
        <x:f>IF(AND(E325="Abierta",N325="Sí",ISNUMBER(I325),ISNUMBER(J325),ABS(I325)&lt;=90,ABS(J325)&lt;=180),1,0)</x:f>
        <x:v>1</x:v>
      </x:c>
    </x:row>
    <x:row r="326" ht="23" customHeight="1">
      <x:c r="A326" s="45" t="str">
        <x:v>Centro Centro</x:v>
      </x:c>
      <x:c r="B326" s="45" t="str">
        <x:v>Luis Manuel Neri Saldana</x:v>
      </x:c>
      <x:c r="C326" s="50" t="str">
        <x:v>38194</x:v>
      </x:c>
      <x:c r="D326" s="45" t="str">
        <x:v>Antara</x:v>
      </x:c>
      <x:c r="E326" s="45" t="str">
        <x:v>Abierta</x:v>
      </x:c>
      <x:c r="F326" s="51" t="d">
        <x:v>2006-07-02T00:00:00.000Z</x:v>
      </x:c>
      <x:c r="G326" s="45" t="str">
        <x:v>Miguel Hidalgo</x:v>
      </x:c>
      <x:c r="H326" s="45" t="str">
        <x:v>Ciudad De México</x:v>
      </x:c>
      <x:c r="I326" s="52" t="n">
        <x:v>19.4391985</x:v>
      </x:c>
      <x:c r="J326" s="52" t="n">
        <x:v>-99.2032271</x:v>
      </x:c>
      <x:c r="K326" s="45" t="str">
        <x:v>Cafe</x:v>
      </x:c>
      <x:c r="L326" s="45" t="str">
        <x:v>Retail</x:v>
      </x:c>
      <x:c r="M326" s="45" t="str">
        <x:v>C2</x:v>
      </x:c>
      <x:c r="N326" s="45" t="str">
        <x:v>Sí</x:v>
      </x:c>
      <x:c r="O326" s="45" t="str">
        <x:v>Luis Manuel Neri Saldana</x:v>
      </x:c>
      <x:c r="P326" s="45" t="str">
        <x:v>Ops y Directorio Alsea · octubre 2026</x:v>
      </x:c>
      <x:c r="Q326" s="45" t="str">
        <x:v>Puntos proporcionados</x:v>
      </x:c>
      <x:c r="R326" s="45" t="str">
        <x:v>Abierta</x:v>
      </x:c>
      <x:c r="S326" s="45" t="str"/>
      <x:c r="T326" s="45" t="n">
        <x:f>IF(AND(E326="Abierta",N326="Sí",ISNUMBER(I326),ISNUMBER(J326),ABS(I326)&lt;=90,ABS(J326)&lt;=180),1,0)</x:f>
        <x:v>1</x:v>
      </x:c>
    </x:row>
    <x:row r="327" ht="23" customHeight="1">
      <x:c r="A327" s="45" t="str">
        <x:v>Centro Centro</x:v>
      </x:c>
      <x:c r="B327" s="45" t="str">
        <x:v>Luis Manuel Neri Saldana</x:v>
      </x:c>
      <x:c r="C327" s="50" t="str">
        <x:v>38219</x:v>
      </x:c>
      <x:c r="D327" s="45" t="str">
        <x:v>Irrigacion</x:v>
      </x:c>
      <x:c r="E327" s="45" t="str">
        <x:v>Abierta</x:v>
      </x:c>
      <x:c r="F327" s="51" t="d">
        <x:v>2007-02-14T00:00:00.000Z</x:v>
      </x:c>
      <x:c r="G327" s="45" t="str">
        <x:v>Miguel Hidalgo</x:v>
      </x:c>
      <x:c r="H327" s="45" t="str">
        <x:v>Ciudad De México</x:v>
      </x:c>
      <x:c r="I327" s="52" t="n">
        <x:v>19.4410213</x:v>
      </x:c>
      <x:c r="J327" s="52" t="n">
        <x:v>-99.2066053</x:v>
      </x:c>
      <x:c r="K327" s="45" t="str">
        <x:v>Cafe</x:v>
      </x:c>
      <x:c r="L327" s="45" t="str">
        <x:v>Retail</x:v>
      </x:c>
      <x:c r="M327" s="45" t="str">
        <x:v>C2</x:v>
      </x:c>
      <x:c r="N327" s="45" t="str">
        <x:v>Sí</x:v>
      </x:c>
      <x:c r="O327" s="45" t="str">
        <x:v>Luis Manuel Neri Saldana</x:v>
      </x:c>
      <x:c r="P327" s="45" t="str">
        <x:v>Ops y Directorio Alsea · octubre 2026</x:v>
      </x:c>
      <x:c r="Q327" s="45" t="str">
        <x:v>Puntos proporcionados</x:v>
      </x:c>
      <x:c r="R327" s="45" t="str">
        <x:v>Abierta</x:v>
      </x:c>
      <x:c r="S327" s="45" t="str"/>
      <x:c r="T327" s="45" t="n">
        <x:f>IF(AND(E327="Abierta",N327="Sí",ISNUMBER(I327),ISNUMBER(J327),ABS(I327)&lt;=90,ABS(J327)&lt;=180),1,0)</x:f>
        <x:v>1</x:v>
      </x:c>
    </x:row>
    <x:row r="328" ht="23" customHeight="1">
      <x:c r="A328" s="45" t="str">
        <x:v>Centro Centro</x:v>
      </x:c>
      <x:c r="B328" s="45" t="str">
        <x:v>Luis Manuel Neri Saldana</x:v>
      </x:c>
      <x:c r="C328" s="50" t="str">
        <x:v>38349</x:v>
      </x:c>
      <x:c r="D328" s="45" t="str">
        <x:v>Torre Inverlat</x:v>
      </x:c>
      <x:c r="E328" s="45" t="str">
        <x:v>Abierta</x:v>
      </x:c>
      <x:c r="F328" s="51" t="d">
        <x:v>2008-11-24T00:00:00.000Z</x:v>
      </x:c>
      <x:c r="G328" s="45" t="str">
        <x:v>Miguel Hidalgo</x:v>
      </x:c>
      <x:c r="H328" s="45" t="str">
        <x:v>Ciudad De México</x:v>
      </x:c>
      <x:c r="I328" s="52" t="n">
        <x:v>19.429191</x:v>
      </x:c>
      <x:c r="J328" s="52" t="n">
        <x:v>-99.2033477</x:v>
      </x:c>
      <x:c r="K328" s="45" t="str">
        <x:v>Cafe</x:v>
      </x:c>
      <x:c r="L328" s="45" t="str">
        <x:v>Office_Complex</x:v>
      </x:c>
      <x:c r="M328" s="45" t="str">
        <x:v>C2</x:v>
      </x:c>
      <x:c r="N328" s="45" t="str">
        <x:v>Sí</x:v>
      </x:c>
      <x:c r="O328" s="45" t="str">
        <x:v>Luis Manuel Neri Saldana</x:v>
      </x:c>
      <x:c r="P328" s="45" t="str">
        <x:v>Ops y Directorio Alsea · octubre 2026</x:v>
      </x:c>
      <x:c r="Q328" s="45" t="str">
        <x:v>Puntos proporcionados</x:v>
      </x:c>
      <x:c r="R328" s="45" t="str">
        <x:v>Abierta</x:v>
      </x:c>
      <x:c r="S328" s="45" t="str"/>
      <x:c r="T328" s="45" t="n">
        <x:f>IF(AND(E328="Abierta",N328="Sí",ISNUMBER(I328),ISNUMBER(J328),ABS(I328)&lt;=90,ABS(J328)&lt;=180),1,0)</x:f>
        <x:v>1</x:v>
      </x:c>
    </x:row>
    <x:row r="329" ht="23" customHeight="1">
      <x:c r="A329" s="45" t="str">
        <x:v>Centro Centro</x:v>
      </x:c>
      <x:c r="B329" s="45" t="str">
        <x:v>Luis Manuel Neri Saldana</x:v>
      </x:c>
      <x:c r="C329" s="50" t="str">
        <x:v>38399</x:v>
      </x:c>
      <x:c r="D329" s="45" t="str">
        <x:v>Carso Polanco I</x:v>
      </x:c>
      <x:c r="E329" s="45" t="str">
        <x:v>Abierta</x:v>
      </x:c>
      <x:c r="F329" s="51" t="d">
        <x:v>2010-12-16T00:00:00.000Z</x:v>
      </x:c>
      <x:c r="G329" s="45" t="str">
        <x:v>Miguel Hidalgo</x:v>
      </x:c>
      <x:c r="H329" s="45" t="str">
        <x:v>Ciudad De México</x:v>
      </x:c>
      <x:c r="I329" s="52" t="n">
        <x:v>19.440882</x:v>
      </x:c>
      <x:c r="J329" s="52" t="n">
        <x:v>-99.204103</x:v>
      </x:c>
      <x:c r="K329" s="45" t="str">
        <x:v>Cafe</x:v>
      </x:c>
      <x:c r="L329" s="45" t="str">
        <x:v>Office_Complex</x:v>
      </x:c>
      <x:c r="M329" s="45" t="str">
        <x:v>C2</x:v>
      </x:c>
      <x:c r="N329" s="45" t="str">
        <x:v>Sí</x:v>
      </x:c>
      <x:c r="O329" s="45" t="str">
        <x:v>Luis Manuel Neri Saldana</x:v>
      </x:c>
      <x:c r="P329" s="45" t="str">
        <x:v>Ops y Directorio Alsea · octubre 2026</x:v>
      </x:c>
      <x:c r="Q329" s="45" t="str">
        <x:v>Puntos proporcionados</x:v>
      </x:c>
      <x:c r="R329" s="45" t="str">
        <x:v>Abierta</x:v>
      </x:c>
      <x:c r="S329" s="45" t="str"/>
      <x:c r="T329" s="45" t="n">
        <x:f>IF(AND(E329="Abierta",N329="Sí",ISNUMBER(I329),ISNUMBER(J329),ABS(I329)&lt;=90,ABS(J329)&lt;=180),1,0)</x:f>
        <x:v>1</x:v>
      </x:c>
    </x:row>
    <x:row r="330" ht="23" customHeight="1">
      <x:c r="A330" s="45" t="str">
        <x:v>Centro Centro</x:v>
      </x:c>
      <x:c r="B330" s="45" t="str">
        <x:v>Luis Manuel Neri Saldana</x:v>
      </x:c>
      <x:c r="C330" s="50" t="str">
        <x:v>38405</x:v>
      </x:c>
      <x:c r="D330" s="45" t="str">
        <x:v>Ejercito Nacional</x:v>
      </x:c>
      <x:c r="E330" s="45" t="str">
        <x:v>Abierta</x:v>
      </x:c>
      <x:c r="F330" s="51" t="d">
        <x:v>2011-03-03T00:00:00.000Z</x:v>
      </x:c>
      <x:c r="G330" s="45" t="str">
        <x:v>Miguel Hidalgo</x:v>
      </x:c>
      <x:c r="H330" s="45" t="str">
        <x:v>Ciudad De México</x:v>
      </x:c>
      <x:c r="I330" s="52" t="n">
        <x:v>19.4383447</x:v>
      </x:c>
      <x:c r="J330" s="52" t="n">
        <x:v>-99.1936724</x:v>
      </x:c>
      <x:c r="K330" s="45" t="str">
        <x:v>Cafe</x:v>
      </x:c>
      <x:c r="L330" s="45" t="str">
        <x:v>Retail</x:v>
      </x:c>
      <x:c r="M330" s="45" t="str">
        <x:v>C1</x:v>
      </x:c>
      <x:c r="N330" s="45" t="str">
        <x:v>Sí</x:v>
      </x:c>
      <x:c r="O330" s="45" t="str">
        <x:v>Luis Manuel Neri Saldana</x:v>
      </x:c>
      <x:c r="P330" s="45" t="str">
        <x:v>Ops y Directorio Alsea · octubre 2026</x:v>
      </x:c>
      <x:c r="Q330" s="45" t="str">
        <x:v>Puntos proporcionados</x:v>
      </x:c>
      <x:c r="R330" s="45" t="str">
        <x:v>Abierta</x:v>
      </x:c>
      <x:c r="S330" s="45" t="str"/>
      <x:c r="T330" s="45" t="n">
        <x:f>IF(AND(E330="Abierta",N330="Sí",ISNUMBER(I330),ISNUMBER(J330),ABS(I330)&lt;=90,ABS(J330)&lt;=180),1,0)</x:f>
        <x:v>1</x:v>
      </x:c>
    </x:row>
    <x:row r="331" ht="23" customHeight="1">
      <x:c r="A331" s="45" t="str">
        <x:v>Centro Centro</x:v>
      </x:c>
      <x:c r="B331" s="45" t="str">
        <x:v>Luis Manuel Neri Saldana</x:v>
      </x:c>
      <x:c r="C331" s="50" t="str">
        <x:v>38470</x:v>
      </x:c>
      <x:c r="D331" s="45" t="str">
        <x:v>Chapultepec Reforma</x:v>
      </x:c>
      <x:c r="E331" s="45" t="str">
        <x:v>Abierta</x:v>
      </x:c>
      <x:c r="F331" s="51" t="d">
        <x:v>2012-10-16T00:00:00.000Z</x:v>
      </x:c>
      <x:c r="G331" s="45" t="str">
        <x:v>Miguel Hidalgo</x:v>
      </x:c>
      <x:c r="H331" s="45" t="str">
        <x:v>Ciudad De México</x:v>
      </x:c>
      <x:c r="I331" s="52" t="n">
        <x:v>19.4242817</x:v>
      </x:c>
      <x:c r="J331" s="52" t="n">
        <x:v>-99.1845591</x:v>
      </x:c>
      <x:c r="K331" s="45" t="str">
        <x:v>Cafe</x:v>
      </x:c>
      <x:c r="L331" s="45" t="str">
        <x:v>Tourism_and_Entertainment</x:v>
      </x:c>
      <x:c r="M331" s="45" t="str">
        <x:v>C2</x:v>
      </x:c>
      <x:c r="N331" s="45" t="str">
        <x:v>Sí</x:v>
      </x:c>
      <x:c r="O331" s="45" t="str">
        <x:v>Luis Manuel Neri Saldana</x:v>
      </x:c>
      <x:c r="P331" s="45" t="str">
        <x:v>Ops y Directorio Alsea · octubre 2026</x:v>
      </x:c>
      <x:c r="Q331" s="45" t="str">
        <x:v>Puntos proporcionados</x:v>
      </x:c>
      <x:c r="R331" s="45" t="str">
        <x:v>Abierta</x:v>
      </x:c>
      <x:c r="S331" s="45" t="str"/>
      <x:c r="T331" s="45" t="n">
        <x:f>IF(AND(E331="Abierta",N331="Sí",ISNUMBER(I331),ISNUMBER(J331),ABS(I331)&lt;=90,ABS(J331)&lt;=180),1,0)</x:f>
        <x:v>1</x:v>
      </x:c>
    </x:row>
    <x:row r="332" ht="23" customHeight="1">
      <x:c r="A332" s="45" t="str">
        <x:v>Centro Centro</x:v>
      </x:c>
      <x:c r="B332" s="45" t="str">
        <x:v>Luis Manuel Neri Saldana</x:v>
      </x:c>
      <x:c r="C332" s="50" t="str">
        <x:v>38557</x:v>
      </x:c>
      <x:c r="D332" s="45" t="str">
        <x:v>Rio San Joaquin</x:v>
      </x:c>
      <x:c r="E332" s="45" t="str">
        <x:v>Abierta</x:v>
      </x:c>
      <x:c r="F332" s="51" t="d">
        <x:v>2014-09-26T00:00:00.000Z</x:v>
      </x:c>
      <x:c r="G332" s="45" t="str">
        <x:v>Miguel Hidalgo</x:v>
      </x:c>
      <x:c r="H332" s="45" t="str">
        <x:v>Ciudad De México</x:v>
      </x:c>
      <x:c r="I332" s="52" t="n">
        <x:v>19.4478942</x:v>
      </x:c>
      <x:c r="J332" s="52" t="n">
        <x:v>-99.2066316</x:v>
      </x:c>
      <x:c r="K332" s="45" t="str">
        <x:v>Cafe</x:v>
      </x:c>
      <x:c r="L332" s="45" t="str">
        <x:v>Office_Complex</x:v>
      </x:c>
      <x:c r="M332" s="45" t="str">
        <x:v>C2</x:v>
      </x:c>
      <x:c r="N332" s="45" t="str">
        <x:v>Sí</x:v>
      </x:c>
      <x:c r="O332" s="45" t="str">
        <x:v>Luis Manuel Neri Saldana</x:v>
      </x:c>
      <x:c r="P332" s="45" t="str">
        <x:v>Ops y Directorio Alsea · octubre 2026</x:v>
      </x:c>
      <x:c r="Q332" s="45" t="str">
        <x:v>Puntos proporcionados</x:v>
      </x:c>
      <x:c r="R332" s="45" t="str">
        <x:v>Abierta</x:v>
      </x:c>
      <x:c r="S332" s="45" t="str"/>
      <x:c r="T332" s="45" t="n">
        <x:f>IF(AND(E332="Abierta",N332="Sí",ISNUMBER(I332),ISNUMBER(J332),ABS(I332)&lt;=90,ABS(J332)&lt;=180),1,0)</x:f>
        <x:v>1</x:v>
      </x:c>
    </x:row>
    <x:row r="333" ht="23" customHeight="1">
      <x:c r="A333" s="45" t="str">
        <x:v>Centro Centro</x:v>
      </x:c>
      <x:c r="B333" s="45" t="str">
        <x:v>Luis Manuel Neri Saldana</x:v>
      </x:c>
      <x:c r="C333" s="50" t="str">
        <x:v>38581</x:v>
      </x:c>
      <x:c r="D333" s="45" t="str">
        <x:v>Parques BBVA</x:v>
      </x:c>
      <x:c r="E333" s="45" t="str">
        <x:v>Abierta</x:v>
      </x:c>
      <x:c r="F333" s="51" t="d">
        <x:v>2015-06-26T00:00:00.000Z</x:v>
      </x:c>
      <x:c r="G333" s="45" t="str">
        <x:v>Miguel Hidalgo</x:v>
      </x:c>
      <x:c r="H333" s="45" t="str">
        <x:v>Ciudad De México</x:v>
      </x:c>
      <x:c r="I333" s="52" t="n">
        <x:v>19.4414571</x:v>
      </x:c>
      <x:c r="J333" s="52" t="n">
        <x:v>-99.1837546</x:v>
      </x:c>
      <x:c r="K333" s="45" t="str">
        <x:v>Cafe</x:v>
      </x:c>
      <x:c r="L333" s="45" t="str">
        <x:v>Office_Complex</x:v>
      </x:c>
      <x:c r="M333" s="45" t="str">
        <x:v>C2</x:v>
      </x:c>
      <x:c r="N333" s="45" t="str">
        <x:v>Sí</x:v>
      </x:c>
      <x:c r="O333" s="45" t="str">
        <x:v>Luis Manuel Neri Saldana</x:v>
      </x:c>
      <x:c r="P333" s="45" t="str">
        <x:v>Ops y Directorio Alsea · octubre 2026</x:v>
      </x:c>
      <x:c r="Q333" s="45" t="str">
        <x:v>Puntos proporcionados</x:v>
      </x:c>
      <x:c r="R333" s="45" t="str">
        <x:v>Abierta</x:v>
      </x:c>
      <x:c r="S333" s="45" t="str"/>
      <x:c r="T333" s="45" t="n">
        <x:f>IF(AND(E333="Abierta",N333="Sí",ISNUMBER(I333),ISNUMBER(J333),ABS(I333)&lt;=90,ABS(J333)&lt;=180),1,0)</x:f>
        <x:v>1</x:v>
      </x:c>
    </x:row>
    <x:row r="334" ht="23" customHeight="1">
      <x:c r="A334" s="45" t="str">
        <x:v>Centro Centro</x:v>
      </x:c>
      <x:c r="B334" s="45" t="str">
        <x:v>Luis Manuel Neri Saldana</x:v>
      </x:c>
      <x:c r="C334" s="50" t="str">
        <x:v>38600</x:v>
      </x:c>
      <x:c r="D334" s="45" t="str">
        <x:v>Torre BBVA</x:v>
      </x:c>
      <x:c r="E334" s="45" t="str">
        <x:v>Abierta</x:v>
      </x:c>
      <x:c r="F334" s="51" t="d">
        <x:v>2015-11-24T00:00:00.000Z</x:v>
      </x:c>
      <x:c r="G334" s="45" t="str">
        <x:v>Cuauhtémoc</x:v>
      </x:c>
      <x:c r="H334" s="45" t="str">
        <x:v>Ciudad De México</x:v>
      </x:c>
      <x:c r="I334" s="52" t="n">
        <x:v>19.420011</x:v>
      </x:c>
      <x:c r="J334" s="52" t="n">
        <x:v>-99.178458</x:v>
      </x:c>
      <x:c r="K334" s="45" t="str">
        <x:v>Cafe</x:v>
      </x:c>
      <x:c r="L334" s="45" t="str">
        <x:v>Office_Complex</x:v>
      </x:c>
      <x:c r="M334" s="45" t="str">
        <x:v>C2</x:v>
      </x:c>
      <x:c r="N334" s="45" t="str">
        <x:v>Sí</x:v>
      </x:c>
      <x:c r="O334" s="45" t="str">
        <x:v>Luis Manuel Neri Saldana</x:v>
      </x:c>
      <x:c r="P334" s="45" t="str">
        <x:v>Ops y Directorio Alsea · octubre 2026</x:v>
      </x:c>
      <x:c r="Q334" s="45" t="str">
        <x:v>Puntos proporcionados</x:v>
      </x:c>
      <x:c r="R334" s="45" t="str">
        <x:v>Abierta</x:v>
      </x:c>
      <x:c r="S334" s="45" t="str"/>
      <x:c r="T334" s="45" t="n">
        <x:f>IF(AND(E334="Abierta",N334="Sí",ISNUMBER(I334),ISNUMBER(J334),ABS(I334)&lt;=90,ABS(J334)&lt;=180),1,0)</x:f>
        <x:v>1</x:v>
      </x:c>
    </x:row>
    <x:row r="335" ht="23" customHeight="1">
      <x:c r="A335" s="45" t="str">
        <x:v>Centro Centro</x:v>
      </x:c>
      <x:c r="B335" s="45" t="str">
        <x:v>Luis Manuel Neri Saldana</x:v>
      </x:c>
      <x:c r="C335" s="50" t="str">
        <x:v>38612</x:v>
      </x:c>
      <x:c r="D335" s="45" t="str">
        <x:v>Antara II</x:v>
      </x:c>
      <x:c r="E335" s="45" t="str">
        <x:v>Abierta</x:v>
      </x:c>
      <x:c r="F335" s="51" t="d">
        <x:v>2015-09-26T00:00:00.000Z</x:v>
      </x:c>
      <x:c r="G335" s="45" t="str">
        <x:v>Miguel Hidalgo</x:v>
      </x:c>
      <x:c r="H335" s="45" t="str">
        <x:v>Ciudad De México</x:v>
      </x:c>
      <x:c r="I335" s="52" t="n">
        <x:v>19.439794</x:v>
      </x:c>
      <x:c r="J335" s="52" t="n">
        <x:v>-99.2029649</x:v>
      </x:c>
      <x:c r="K335" s="45" t="str">
        <x:v>Cafe</x:v>
      </x:c>
      <x:c r="L335" s="45" t="str">
        <x:v>Retail</x:v>
      </x:c>
      <x:c r="M335" s="45" t="str">
        <x:v>C2</x:v>
      </x:c>
      <x:c r="N335" s="45" t="str">
        <x:v>Sí</x:v>
      </x:c>
      <x:c r="O335" s="45" t="str">
        <x:v>Luis Manuel Neri Saldana</x:v>
      </x:c>
      <x:c r="P335" s="45" t="str">
        <x:v>Ops y Directorio Alsea · octubre 2026</x:v>
      </x:c>
      <x:c r="Q335" s="45" t="str">
        <x:v>Puntos proporcionados</x:v>
      </x:c>
      <x:c r="R335" s="45" t="str">
        <x:v>Abierta</x:v>
      </x:c>
      <x:c r="S335" s="45" t="str"/>
      <x:c r="T335" s="45" t="n">
        <x:f>IF(AND(E335="Abierta",N335="Sí",ISNUMBER(I335),ISNUMBER(J335),ABS(I335)&lt;=90,ABS(J335)&lt;=180),1,0)</x:f>
        <x:v>1</x:v>
      </x:c>
    </x:row>
    <x:row r="336" ht="23" customHeight="1">
      <x:c r="A336" s="45" t="str">
        <x:v>Centro Centro</x:v>
      </x:c>
      <x:c r="B336" s="45" t="str">
        <x:v>Luis Manuel Neri Saldana</x:v>
      </x:c>
      <x:c r="C336" s="50" t="str">
        <x:v>38676</x:v>
      </x:c>
      <x:c r="D336" s="45" t="str">
        <x:v>Miyana</x:v>
      </x:c>
      <x:c r="E336" s="45" t="str">
        <x:v>Abierta</x:v>
      </x:c>
      <x:c r="F336" s="51" t="d">
        <x:v>2016-09-23T00:00:00.000Z</x:v>
      </x:c>
      <x:c r="G336" s="45" t="str">
        <x:v>Miguel Hidalgo</x:v>
      </x:c>
      <x:c r="H336" s="45" t="str">
        <x:v>Ciudad De México</x:v>
      </x:c>
      <x:c r="I336" s="52" t="n">
        <x:v>19.440462</x:v>
      </x:c>
      <x:c r="J336" s="52" t="n">
        <x:v>-99.200524</x:v>
      </x:c>
      <x:c r="K336" s="45" t="str">
        <x:v>Cafe</x:v>
      </x:c>
      <x:c r="L336" s="45" t="str">
        <x:v>Office_Complex</x:v>
      </x:c>
      <x:c r="M336" s="45" t="str">
        <x:v>C1</x:v>
      </x:c>
      <x:c r="N336" s="45" t="str">
        <x:v>Sí</x:v>
      </x:c>
      <x:c r="O336" s="45" t="str">
        <x:v>Luis Manuel Neri Saldana</x:v>
      </x:c>
      <x:c r="P336" s="45" t="str">
        <x:v>Ops y Directorio Alsea · octubre 2026</x:v>
      </x:c>
      <x:c r="Q336" s="45" t="str">
        <x:v>Puntos proporcionados</x:v>
      </x:c>
      <x:c r="R336" s="45" t="str">
        <x:v>Abierta</x:v>
      </x:c>
      <x:c r="S336" s="45" t="str"/>
      <x:c r="T336" s="45" t="n">
        <x:f>IF(AND(E336="Abierta",N336="Sí",ISNUMBER(I336),ISNUMBER(J336),ABS(I336)&lt;=90,ABS(J336)&lt;=180),1,0)</x:f>
        <x:v>1</x:v>
      </x:c>
    </x:row>
    <x:row r="337" ht="23" customHeight="1">
      <x:c r="A337" s="45" t="str">
        <x:v>Centro Centro</x:v>
      </x:c>
      <x:c r="B337" s="45" t="str">
        <x:v>Luis Manuel Neri Saldana</x:v>
      </x:c>
      <x:c r="C337" s="50" t="str">
        <x:v>38982</x:v>
      </x:c>
      <x:c r="D337" s="45" t="str">
        <x:v>Miyana II</x:v>
      </x:c>
      <x:c r="E337" s="45" t="str">
        <x:v>Abierta</x:v>
      </x:c>
      <x:c r="F337" s="51" t="d">
        <x:v>2023-12-30T00:00:00.000Z</x:v>
      </x:c>
      <x:c r="G337" s="45" t="str">
        <x:v>Miguel Hidalgo</x:v>
      </x:c>
      <x:c r="H337" s="45" t="str">
        <x:v>Ciudad De México</x:v>
      </x:c>
      <x:c r="I337" s="52" t="n">
        <x:v>19.438598</x:v>
      </x:c>
      <x:c r="J337" s="52" t="n">
        <x:v>-99.199706</x:v>
      </x:c>
      <x:c r="K337" s="45" t="str">
        <x:v>Cafe</x:v>
      </x:c>
      <x:c r="L337" s="45" t="str">
        <x:v>Office_Complex</x:v>
      </x:c>
      <x:c r="M337" s="45" t="str">
        <x:v>C1</x:v>
      </x:c>
      <x:c r="N337" s="45" t="str">
        <x:v>Sí</x:v>
      </x:c>
      <x:c r="O337" s="45" t="str">
        <x:v>Luis Manuel Neri Saldana</x:v>
      </x:c>
      <x:c r="P337" s="45" t="str">
        <x:v>Ops y Directorio Alsea · octubre 2026</x:v>
      </x:c>
      <x:c r="Q337" s="45" t="str">
        <x:v>Puntos proporcionados</x:v>
      </x:c>
      <x:c r="R337" s="45" t="str">
        <x:v>Abierta</x:v>
      </x:c>
      <x:c r="S337" s="45" t="str"/>
      <x:c r="T337" s="45" t="n">
        <x:f>IF(AND(E337="Abierta",N337="Sí",ISNUMBER(I337),ISNUMBER(J337),ABS(I337)&lt;=90,ABS(J337)&lt;=180),1,0)</x:f>
        <x:v>1</x:v>
      </x:c>
    </x:row>
    <x:row r="338" ht="23" customHeight="1">
      <x:c r="A338" s="45" t="str">
        <x:v>Centro Centro</x:v>
      </x:c>
      <x:c r="B338" s="45" t="str">
        <x:v>Luis Manuel Neri Saldana</x:v>
      </x:c>
      <x:c r="C338" s="50" t="str">
        <x:v>43045</x:v>
      </x:c>
      <x:c r="D338" s="45" t="str">
        <x:v>Periferico Polanco DT</x:v>
      </x:c>
      <x:c r="E338" s="45" t="str">
        <x:v>Abierta</x:v>
      </x:c>
      <x:c r="F338" s="51" t="d">
        <x:v>2026-03-30T00:00:00.000Z</x:v>
      </x:c>
      <x:c r="G338" s="45" t="str">
        <x:v>Miguel Hidalgo</x:v>
      </x:c>
      <x:c r="H338" s="45" t="str">
        <x:v>Ciudad De México</x:v>
      </x:c>
      <x:c r="I338" s="52" t="n">
        <x:v>19.430296</x:v>
      </x:c>
      <x:c r="J338" s="52" t="n">
        <x:v>-99.2058022</x:v>
      </x:c>
      <x:c r="K338" s="45" t="str">
        <x:v>Drive_Thru</x:v>
      </x:c>
      <x:c r="L338" s="45" t="str">
        <x:v>Transfers</x:v>
      </x:c>
      <x:c r="M338" s="45" t="str">
        <x:v>C2</x:v>
      </x:c>
      <x:c r="N338" s="45" t="str">
        <x:v>Sí</x:v>
      </x:c>
      <x:c r="O338" s="45" t="str">
        <x:v>Luis Manuel Neri Saldana</x:v>
      </x:c>
      <x:c r="P338" s="45" t="str">
        <x:v>Ops y Directorio Alsea · octubre 2026</x:v>
      </x:c>
      <x:c r="Q338" s="45" t="str">
        <x:v>Puntos proporcionados</x:v>
      </x:c>
      <x:c r="R338" s="45" t="str">
        <x:v>Abierta</x:v>
      </x:c>
      <x:c r="S338" s="45" t="str"/>
      <x:c r="T338" s="45" t="n">
        <x:f>IF(AND(E338="Abierta",N338="Sí",ISNUMBER(I338),ISNUMBER(J338),ABS(I338)&lt;=90,ABS(J338)&lt;=180),1,0)</x:f>
        <x:v>1</x:v>
      </x:c>
    </x:row>
    <x:row r="339" ht="23" customHeight="1">
      <x:c r="A339" s="45" t="str">
        <x:v>Centro Centro</x:v>
      </x:c>
      <x:c r="B339" s="45" t="str">
        <x:v>Maria Anallely Sanchez Garcia</x:v>
      </x:c>
      <x:c r="C339" s="50" t="str">
        <x:v>38151</x:v>
      </x:c>
      <x:c r="D339" s="45" t="str">
        <x:v>Aeropuerto II Sala Bravo</x:v>
      </x:c>
      <x:c r="E339" s="45" t="str">
        <x:v>Abierta</x:v>
      </x:c>
      <x:c r="F339" s="51" t="d">
        <x:v>2005-04-20T00:00:00.000Z</x:v>
      </x:c>
      <x:c r="G339" s="45" t="str">
        <x:v>Venustiano Carranza</x:v>
      </x:c>
      <x:c r="H339" s="45" t="str">
        <x:v>Ciudad De México</x:v>
      </x:c>
      <x:c r="I339" s="52" t="n">
        <x:v>19.4332215</x:v>
      </x:c>
      <x:c r="J339" s="52" t="n">
        <x:v>-99.0860884</x:v>
      </x:c>
      <x:c r="K339" s="45" t="str">
        <x:v>Kiosko</x:v>
      </x:c>
      <x:c r="L339" s="45" t="str">
        <x:v>Travel_and_Channel</x:v>
      </x:c>
      <x:c r="M339" s="45" t="str">
        <x:v>C5</x:v>
      </x:c>
      <x:c r="N339" s="45" t="str">
        <x:v>Sí</x:v>
      </x:c>
      <x:c r="O339" s="45" t="str">
        <x:v>Maria Anallely Sanchez Garcia</x:v>
      </x:c>
      <x:c r="P339" s="45" t="str">
        <x:v>Ops y Directorio Alsea · octubre 2026</x:v>
      </x:c>
      <x:c r="Q339" s="45" t="str">
        <x:v>Puntos proporcionados</x:v>
      </x:c>
      <x:c r="R339" s="45" t="str">
        <x:v>Abierta</x:v>
      </x:c>
      <x:c r="S339" s="45" t="str"/>
      <x:c r="T339" s="45" t="n">
        <x:f>IF(AND(E339="Abierta",N339="Sí",ISNUMBER(I339),ISNUMBER(J339),ABS(I339)&lt;=90,ABS(J339)&lt;=180),1,0)</x:f>
        <x:v>1</x:v>
      </x:c>
    </x:row>
    <x:row r="340" ht="23" customHeight="1">
      <x:c r="A340" s="45" t="str">
        <x:v>Centro Centro</x:v>
      </x:c>
      <x:c r="B340" s="45" t="str">
        <x:v>Maria Anallely Sanchez Garcia</x:v>
      </x:c>
      <x:c r="C340" s="50" t="str">
        <x:v>38167</x:v>
      </x:c>
      <x:c r="D340" s="45" t="str">
        <x:v>Aeropuerto Dufry</x:v>
      </x:c>
      <x:c r="E340" s="45" t="str">
        <x:v>Abierta</x:v>
      </x:c>
      <x:c r="F340" s="51" t="d">
        <x:v>2005-11-08T00:00:00.000Z</x:v>
      </x:c>
      <x:c r="G340" s="45" t="str">
        <x:v>Venustiano Carranza</x:v>
      </x:c>
      <x:c r="H340" s="45" t="str">
        <x:v>Ciudad De México</x:v>
      </x:c>
      <x:c r="I340" s="52" t="n">
        <x:v>19.4368384</x:v>
      </x:c>
      <x:c r="J340" s="52" t="n">
        <x:v>-99.0798935</x:v>
      </x:c>
      <x:c r="K340" s="45" t="str">
        <x:v>Cafe</x:v>
      </x:c>
      <x:c r="L340" s="45" t="str">
        <x:v>Travel_and_Channel</x:v>
      </x:c>
      <x:c r="M340" s="45" t="str">
        <x:v>C5</x:v>
      </x:c>
      <x:c r="N340" s="45" t="str">
        <x:v>Sí</x:v>
      </x:c>
      <x:c r="O340" s="45" t="str">
        <x:v>Maria Anallely Sanchez Garcia</x:v>
      </x:c>
      <x:c r="P340" s="45" t="str">
        <x:v>Ops y Directorio Alsea · octubre 2026</x:v>
      </x:c>
      <x:c r="Q340" s="45" t="str">
        <x:v>Puntos proporcionados</x:v>
      </x:c>
      <x:c r="R340" s="45" t="str">
        <x:v>Abierta</x:v>
      </x:c>
      <x:c r="S340" s="45" t="str"/>
      <x:c r="T340" s="45" t="n">
        <x:f>IF(AND(E340="Abierta",N340="Sí",ISNUMBER(I340),ISNUMBER(J340),ABS(I340)&lt;=90,ABS(J340)&lt;=180),1,0)</x:f>
        <x:v>1</x:v>
      </x:c>
    </x:row>
    <x:row r="341" ht="23" customHeight="1">
      <x:c r="A341" s="45" t="str">
        <x:v>Centro Centro</x:v>
      </x:c>
      <x:c r="B341" s="45" t="str">
        <x:v>Maria Anallely Sanchez Garcia</x:v>
      </x:c>
      <x:c r="C341" s="50" t="str">
        <x:v>38168</x:v>
      </x:c>
      <x:c r="D341" s="45" t="str">
        <x:v>T2 Planta Alta</x:v>
      </x:c>
      <x:c r="E341" s="45" t="str">
        <x:v>Cierre Temporal</x:v>
      </x:c>
      <x:c r="F341" s="51" t="d">
        <x:v>2005-11-18T00:00:00.000Z</x:v>
      </x:c>
      <x:c r="G341" s="45" t="str">
        <x:v>Venustiano Carranza</x:v>
      </x:c>
      <x:c r="H341" s="45" t="str">
        <x:v>Ciudad De México</x:v>
      </x:c>
      <x:c r="I341" s="52" t="n">
        <x:v>19.4223</x:v>
      </x:c>
      <x:c r="J341" s="52" t="n">
        <x:v>-99.0781</x:v>
      </x:c>
      <x:c r="K341" s="45" t="str">
        <x:v>Kiosko</x:v>
      </x:c>
      <x:c r="L341" s="45" t="str">
        <x:v>Travel_and_Channel</x:v>
      </x:c>
      <x:c r="M341" s="45" t="str">
        <x:v>C4</x:v>
      </x:c>
      <x:c r="N341" s="45" t="str">
        <x:v>No</x:v>
      </x:c>
      <x:c r="O341" s="45" t="str">
        <x:v>Maria Anallely Sanchez Garcia</x:v>
      </x:c>
      <x:c r="P341" s="45" t="str">
        <x:v>Ops y Directorio Alsea · octubre 2026</x:v>
      </x:c>
      <x:c r="Q341" s="45" t="str">
        <x:v>Directorio Alsea octubre 2026</x:v>
      </x:c>
      <x:c r="R341" s="45" t="str">
        <x:v>Abierta</x:v>
      </x:c>
      <x:c r="S341" s="45" t="str">
        <x:v>Ops: Cierre Temporal. Alsea: Abierta. Se conserva el estatus operativo más específico.</x:v>
      </x:c>
      <x:c r="T341" s="45" t="n">
        <x:f>IF(AND(E341="Abierta",N341="Sí",ISNUMBER(I341),ISNUMBER(J341),ABS(I341)&lt;=90,ABS(J341)&lt;=180),1,0)</x:f>
        <x:v>0</x:v>
      </x:c>
    </x:row>
    <x:row r="342" ht="23" customHeight="1">
      <x:c r="A342" s="45" t="str">
        <x:v>Centro Centro</x:v>
      </x:c>
      <x:c r="B342" s="45" t="str">
        <x:v>Maria Anallely Sanchez Garcia</x:v>
      </x:c>
      <x:c r="C342" s="50" t="str">
        <x:v>38171</x:v>
      </x:c>
      <x:c r="D342" s="45" t="str">
        <x:v>Aeropuerto Internacional II</x:v>
      </x:c>
      <x:c r="E342" s="45" t="str">
        <x:v>Abierta</x:v>
      </x:c>
      <x:c r="F342" s="51" t="d">
        <x:v>2005-12-15T00:00:00.000Z</x:v>
      </x:c>
      <x:c r="G342" s="45" t="str">
        <x:v>Venustiano Carranza</x:v>
      </x:c>
      <x:c r="H342" s="45" t="str">
        <x:v>Ciudad De México</x:v>
      </x:c>
      <x:c r="I342" s="52" t="n">
        <x:v>19.435862</x:v>
      </x:c>
      <x:c r="J342" s="52" t="n">
        <x:v>-99.0818228</x:v>
      </x:c>
      <x:c r="K342" s="45" t="str">
        <x:v>Kiosko</x:v>
      </x:c>
      <x:c r="L342" s="45" t="str">
        <x:v>Travel_and_Channel</x:v>
      </x:c>
      <x:c r="M342" s="45" t="str">
        <x:v>C4</x:v>
      </x:c>
      <x:c r="N342" s="45" t="str">
        <x:v>Sí</x:v>
      </x:c>
      <x:c r="O342" s="45" t="str">
        <x:v>Maria Anallely Sanchez Garcia</x:v>
      </x:c>
      <x:c r="P342" s="45" t="str">
        <x:v>Ops y Directorio Alsea · octubre 2026</x:v>
      </x:c>
      <x:c r="Q342" s="45" t="str">
        <x:v>Puntos proporcionados</x:v>
      </x:c>
      <x:c r="R342" s="45" t="str">
        <x:v>Abierta</x:v>
      </x:c>
      <x:c r="S342" s="45" t="str"/>
      <x:c r="T342" s="45" t="n">
        <x:f>IF(AND(E342="Abierta",N342="Sí",ISNUMBER(I342),ISNUMBER(J342),ABS(I342)&lt;=90,ABS(J342)&lt;=180),1,0)</x:f>
        <x:v>1</x:v>
      </x:c>
    </x:row>
    <x:row r="343" ht="23" customHeight="1">
      <x:c r="A343" s="45" t="str">
        <x:v>Centro Centro</x:v>
      </x:c>
      <x:c r="B343" s="45" t="str">
        <x:v>Maria Anallely Sanchez Garcia</x:v>
      </x:c>
      <x:c r="C343" s="50" t="str">
        <x:v>38182</x:v>
      </x:c>
      <x:c r="D343" s="45" t="str">
        <x:v>Aeropuerto D8</x:v>
      </x:c>
      <x:c r="E343" s="45" t="str">
        <x:v>Abierta</x:v>
      </x:c>
      <x:c r="F343" s="51" t="d">
        <x:v>2006-04-13T00:00:00.000Z</x:v>
      </x:c>
      <x:c r="G343" s="45" t="str">
        <x:v>Venustiano Carranza</x:v>
      </x:c>
      <x:c r="H343" s="45" t="str">
        <x:v>Ciudad De México</x:v>
      </x:c>
      <x:c r="I343" s="52" t="n">
        <x:v>19.4344054</x:v>
      </x:c>
      <x:c r="J343" s="52" t="n">
        <x:v>-99.0849755</x:v>
      </x:c>
      <x:c r="K343" s="45" t="str">
        <x:v>Kiosko</x:v>
      </x:c>
      <x:c r="L343" s="45" t="str">
        <x:v>Travel_and_Channel</x:v>
      </x:c>
      <x:c r="M343" s="45" t="str">
        <x:v>C4</x:v>
      </x:c>
      <x:c r="N343" s="45" t="str">
        <x:v>Sí</x:v>
      </x:c>
      <x:c r="O343" s="45" t="str">
        <x:v>Maria Anallely Sanchez Garcia</x:v>
      </x:c>
      <x:c r="P343" s="45" t="str">
        <x:v>Ops y Directorio Alsea · octubre 2026</x:v>
      </x:c>
      <x:c r="Q343" s="45" t="str">
        <x:v>Puntos proporcionados</x:v>
      </x:c>
      <x:c r="R343" s="45" t="str">
        <x:v>Abierta</x:v>
      </x:c>
      <x:c r="S343" s="45" t="str"/>
      <x:c r="T343" s="45" t="n">
        <x:f>IF(AND(E343="Abierta",N343="Sí",ISNUMBER(I343),ISNUMBER(J343),ABS(I343)&lt;=90,ABS(J343)&lt;=180),1,0)</x:f>
        <x:v>1</x:v>
      </x:c>
    </x:row>
    <x:row r="344" ht="23" customHeight="1">
      <x:c r="A344" s="45" t="str">
        <x:v>Centro Centro</x:v>
      </x:c>
      <x:c r="B344" s="45" t="str">
        <x:v>Maria Anallely Sanchez Garcia</x:v>
      </x:c>
      <x:c r="C344" s="50" t="str">
        <x:v>38297</x:v>
      </x:c>
      <x:c r="D344" s="45" t="str">
        <x:v>T2 Salida Internacional</x:v>
      </x:c>
      <x:c r="E344" s="45" t="str">
        <x:v>Abierta</x:v>
      </x:c>
      <x:c r="F344" s="51" t="d">
        <x:v>2008-01-21T00:00:00.000Z</x:v>
      </x:c>
      <x:c r="G344" s="45" t="str">
        <x:v>Venustiano Carranza</x:v>
      </x:c>
      <x:c r="H344" s="45" t="str">
        <x:v>Ciudad De México</x:v>
      </x:c>
      <x:c r="I344" s="52" t="n">
        <x:v>19.4225397</x:v>
      </x:c>
      <x:c r="J344" s="52" t="n">
        <x:v>-99.078148</x:v>
      </x:c>
      <x:c r="K344" s="45" t="str">
        <x:v>Kiosko</x:v>
      </x:c>
      <x:c r="L344" s="45" t="str">
        <x:v>Travel_and_Channel</x:v>
      </x:c>
      <x:c r="M344" s="45" t="str">
        <x:v>C5</x:v>
      </x:c>
      <x:c r="N344" s="45" t="str">
        <x:v>Sí</x:v>
      </x:c>
      <x:c r="O344" s="45" t="str">
        <x:v>Maria Anallely Sanchez Garcia</x:v>
      </x:c>
      <x:c r="P344" s="45" t="str">
        <x:v>Ops y Directorio Alsea · octubre 2026</x:v>
      </x:c>
      <x:c r="Q344" s="45" t="str">
        <x:v>Puntos proporcionados</x:v>
      </x:c>
      <x:c r="R344" s="45" t="str">
        <x:v>Abierta</x:v>
      </x:c>
      <x:c r="S344" s="45" t="str"/>
      <x:c r="T344" s="45" t="n">
        <x:f>IF(AND(E344="Abierta",N344="Sí",ISNUMBER(I344),ISNUMBER(J344),ABS(I344)&lt;=90,ABS(J344)&lt;=180),1,0)</x:f>
        <x:v>1</x:v>
      </x:c>
    </x:row>
    <x:row r="345" ht="23" customHeight="1">
      <x:c r="A345" s="45" t="str">
        <x:v>Centro Centro</x:v>
      </x:c>
      <x:c r="B345" s="45" t="str">
        <x:v>Maria Anallely Sanchez Garcia</x:v>
      </x:c>
      <x:c r="C345" s="50" t="str">
        <x:v>38298</x:v>
      </x:c>
      <x:c r="D345" s="45" t="str">
        <x:v>T2 Salida Nacional</x:v>
      </x:c>
      <x:c r="E345" s="45" t="str">
        <x:v>Abierta</x:v>
      </x:c>
      <x:c r="F345" s="51" t="d">
        <x:v>2008-01-21T00:00:00.000Z</x:v>
      </x:c>
      <x:c r="G345" s="45" t="str">
        <x:v>Venustiano Carranza</x:v>
      </x:c>
      <x:c r="H345" s="45" t="str">
        <x:v>Ciudad De México</x:v>
      </x:c>
      <x:c r="I345" s="52" t="n">
        <x:v>19.4219322</x:v>
      </x:c>
      <x:c r="J345" s="52" t="n">
        <x:v>-99.0785038</x:v>
      </x:c>
      <x:c r="K345" s="45" t="str">
        <x:v>Kiosko</x:v>
      </x:c>
      <x:c r="L345" s="45" t="str">
        <x:v>Travel_and_Channel</x:v>
      </x:c>
      <x:c r="M345" s="45" t="str">
        <x:v>C5</x:v>
      </x:c>
      <x:c r="N345" s="45" t="str">
        <x:v>Sí</x:v>
      </x:c>
      <x:c r="O345" s="45" t="str">
        <x:v>Maria Anallely Sanchez Garcia</x:v>
      </x:c>
      <x:c r="P345" s="45" t="str">
        <x:v>Ops y Directorio Alsea · octubre 2026</x:v>
      </x:c>
      <x:c r="Q345" s="45" t="str">
        <x:v>Puntos proporcionados</x:v>
      </x:c>
      <x:c r="R345" s="45" t="str">
        <x:v>Abierta</x:v>
      </x:c>
      <x:c r="S345" s="45" t="str"/>
      <x:c r="T345" s="45" t="n">
        <x:f>IF(AND(E345="Abierta",N345="Sí",ISNUMBER(I345),ISNUMBER(J345),ABS(I345)&lt;=90,ABS(J345)&lt;=180),1,0)</x:f>
        <x:v>1</x:v>
      </x:c>
    </x:row>
    <x:row r="346" ht="23" customHeight="1">
      <x:c r="A346" s="45" t="str">
        <x:v>Centro Centro</x:v>
      </x:c>
      <x:c r="B346" s="45" t="str">
        <x:v>Maria Anallely Sanchez Garcia</x:v>
      </x:c>
      <x:c r="C346" s="50" t="str">
        <x:v>38299</x:v>
      </x:c>
      <x:c r="D346" s="45" t="str">
        <x:v>T2 Llegadas</x:v>
      </x:c>
      <x:c r="E346" s="45" t="str">
        <x:v>Abierta</x:v>
      </x:c>
      <x:c r="F346" s="51" t="d">
        <x:v>2008-01-21T00:00:00.000Z</x:v>
      </x:c>
      <x:c r="G346" s="45" t="str">
        <x:v>Venustiano Carranza</x:v>
      </x:c>
      <x:c r="H346" s="45" t="str">
        <x:v>Ciudad De México</x:v>
      </x:c>
      <x:c r="I346" s="52" t="n">
        <x:v>19.422112</x:v>
      </x:c>
      <x:c r="J346" s="52" t="n">
        <x:v>-99.0777739</x:v>
      </x:c>
      <x:c r="K346" s="45" t="str">
        <x:v>Kiosko</x:v>
      </x:c>
      <x:c r="L346" s="45" t="str">
        <x:v>Travel_and_Channel</x:v>
      </x:c>
      <x:c r="M346" s="45" t="str">
        <x:v>C4</x:v>
      </x:c>
      <x:c r="N346" s="45" t="str">
        <x:v>Sí</x:v>
      </x:c>
      <x:c r="O346" s="45" t="str">
        <x:v>Maria Anallely Sanchez Garcia</x:v>
      </x:c>
      <x:c r="P346" s="45" t="str">
        <x:v>Ops y Directorio Alsea · octubre 2026</x:v>
      </x:c>
      <x:c r="Q346" s="45" t="str">
        <x:v>Puntos proporcionados</x:v>
      </x:c>
      <x:c r="R346" s="45" t="str">
        <x:v>Abierta</x:v>
      </x:c>
      <x:c r="S346" s="45" t="str"/>
      <x:c r="T346" s="45" t="n">
        <x:f>IF(AND(E346="Abierta",N346="Sí",ISNUMBER(I346),ISNUMBER(J346),ABS(I346)&lt;=90,ABS(J346)&lt;=180),1,0)</x:f>
        <x:v>1</x:v>
      </x:c>
    </x:row>
    <x:row r="347" ht="23" customHeight="1">
      <x:c r="A347" s="45" t="str">
        <x:v>Centro Centro</x:v>
      </x:c>
      <x:c r="B347" s="45" t="str">
        <x:v>Maria Anallely Sanchez Garcia</x:v>
      </x:c>
      <x:c r="C347" s="50" t="str">
        <x:v>38652</x:v>
      </x:c>
      <x:c r="D347" s="45" t="str">
        <x:v>T1 S21</x:v>
      </x:c>
      <x:c r="E347" s="45" t="str">
        <x:v>Cierre Temporal</x:v>
      </x:c>
      <x:c r="F347" s="51" t="d">
        <x:v>2016-07-17T00:00:00.000Z</x:v>
      </x:c>
      <x:c r="G347" s="45" t="str">
        <x:v>Venustiano Carranza</x:v>
      </x:c>
      <x:c r="H347" s="45" t="str">
        <x:v>Ciudad De México</x:v>
      </x:c>
      <x:c r="I347" s="52" t="n">
        <x:v>19.4345</x:v>
      </x:c>
      <x:c r="J347" s="52" t="n">
        <x:v>-99.0845</x:v>
      </x:c>
      <x:c r="K347" s="45" t="str">
        <x:v>Kiosko</x:v>
      </x:c>
      <x:c r="L347" s="45" t="str">
        <x:v>Travel_and_Channel</x:v>
      </x:c>
      <x:c r="M347" s="45" t="str">
        <x:v>C5</x:v>
      </x:c>
      <x:c r="N347" s="45" t="str">
        <x:v>No</x:v>
      </x:c>
      <x:c r="O347" s="45" t="str">
        <x:v>Maria Anallely Sanchez Garcia</x:v>
      </x:c>
      <x:c r="P347" s="45" t="str">
        <x:v>Ops y Directorio Alsea · octubre 2026</x:v>
      </x:c>
      <x:c r="Q347" s="45" t="str">
        <x:v>Directorio Alsea octubre 2026</x:v>
      </x:c>
      <x:c r="R347" s="45" t="str">
        <x:v>Abierta</x:v>
      </x:c>
      <x:c r="S347" s="45" t="str">
        <x:v>Ops: Cierre Temporal. Alsea: Abierta. Se conserva el estatus operativo más específico.</x:v>
      </x:c>
      <x:c r="T347" s="45" t="n">
        <x:f>IF(AND(E347="Abierta",N347="Sí",ISNUMBER(I347),ISNUMBER(J347),ABS(I347)&lt;=90,ABS(J347)&lt;=180),1,0)</x:f>
        <x:v>0</x:v>
      </x:c>
    </x:row>
    <x:row r="348" ht="23" customHeight="1">
      <x:c r="A348" s="45" t="str">
        <x:v>Centro Centro</x:v>
      </x:c>
      <x:c r="B348" s="45" t="str">
        <x:v>Maria Anallely Sanchez Garcia</x:v>
      </x:c>
      <x:c r="C348" s="50" t="str">
        <x:v>38653</x:v>
      </x:c>
      <x:c r="D348" s="45" t="str">
        <x:v>Salon Ejecutivo T1 AICM</x:v>
      </x:c>
      <x:c r="E348" s="45" t="str">
        <x:v>Abierta</x:v>
      </x:c>
      <x:c r="F348" s="51" t="d">
        <x:v>2016-06-24T00:00:00.000Z</x:v>
      </x:c>
      <x:c r="G348" s="45" t="str">
        <x:v>Venustiano Carranza</x:v>
      </x:c>
      <x:c r="H348" s="45" t="str">
        <x:v>Ciudad De México</x:v>
      </x:c>
      <x:c r="I348" s="52" t="n">
        <x:v>19.433625</x:v>
      </x:c>
      <x:c r="J348" s="52" t="n">
        <x:v>-99.085444</x:v>
      </x:c>
      <x:c r="K348" s="45" t="str">
        <x:v>Kiosko</x:v>
      </x:c>
      <x:c r="L348" s="45" t="str">
        <x:v>Travel_and_Channel</x:v>
      </x:c>
      <x:c r="M348" s="45" t="str">
        <x:v>C5</x:v>
      </x:c>
      <x:c r="N348" s="45" t="str">
        <x:v>Sí</x:v>
      </x:c>
      <x:c r="O348" s="45" t="str">
        <x:v>Maria Anallely Sanchez Garcia</x:v>
      </x:c>
      <x:c r="P348" s="45" t="str">
        <x:v>Ops y Directorio Alsea · octubre 2026</x:v>
      </x:c>
      <x:c r="Q348" s="45" t="str">
        <x:v>Puntos proporcionados</x:v>
      </x:c>
      <x:c r="R348" s="45" t="str">
        <x:v>Abierta</x:v>
      </x:c>
      <x:c r="S348" s="45" t="str"/>
      <x:c r="T348" s="45" t="n">
        <x:f>IF(AND(E348="Abierta",N348="Sí",ISNUMBER(I348),ISNUMBER(J348),ABS(I348)&lt;=90,ABS(J348)&lt;=180),1,0)</x:f>
        <x:v>1</x:v>
      </x:c>
    </x:row>
    <x:row r="349" ht="23" customHeight="1">
      <x:c r="A349" s="45" t="str">
        <x:v>Centro Centro</x:v>
      </x:c>
      <x:c r="B349" s="45" t="str">
        <x:v>Maria Anallely Sanchez Garcia</x:v>
      </x:c>
      <x:c r="C349" s="50" t="str">
        <x:v>38795</x:v>
      </x:c>
      <x:c r="D349" s="45" t="str">
        <x:v>Apto T1 Pb N Pta 7</x:v>
      </x:c>
      <x:c r="E349" s="45" t="str">
        <x:v>Abierta</x:v>
      </x:c>
      <x:c r="F349" s="51" t="d">
        <x:v>2018-06-18T00:00:00.000Z</x:v>
      </x:c>
      <x:c r="G349" s="45" t="str">
        <x:v>Venustiano Carranza</x:v>
      </x:c>
      <x:c r="H349" s="45" t="str">
        <x:v>Ciudad De México</x:v>
      </x:c>
      <x:c r="I349" s="52" t="n">
        <x:v>19.435829</x:v>
      </x:c>
      <x:c r="J349" s="52" t="n">
        <x:v>-99.08248</x:v>
      </x:c>
      <x:c r="K349" s="45" t="str">
        <x:v>Kiosko</x:v>
      </x:c>
      <x:c r="L349" s="45" t="str">
        <x:v>Travel_and_Channel</x:v>
      </x:c>
      <x:c r="M349" s="45" t="str">
        <x:v>C4</x:v>
      </x:c>
      <x:c r="N349" s="45" t="str">
        <x:v>Sí</x:v>
      </x:c>
      <x:c r="O349" s="45" t="str">
        <x:v>Maria Anallely Sanchez Garcia</x:v>
      </x:c>
      <x:c r="P349" s="45" t="str">
        <x:v>Ops y Directorio Alsea · octubre 2026</x:v>
      </x:c>
      <x:c r="Q349" s="45" t="str">
        <x:v>Puntos proporcionados</x:v>
      </x:c>
      <x:c r="R349" s="45" t="str">
        <x:v>Abierta</x:v>
      </x:c>
      <x:c r="S349" s="45" t="str"/>
      <x:c r="T349" s="45" t="n">
        <x:f>IF(AND(E349="Abierta",N349="Sí",ISNUMBER(I349),ISNUMBER(J349),ABS(I349)&lt;=90,ABS(J349)&lt;=180),1,0)</x:f>
        <x:v>1</x:v>
      </x:c>
    </x:row>
    <x:row r="350" ht="23" customHeight="1">
      <x:c r="A350" s="45" t="str">
        <x:v>Centro Centro</x:v>
      </x:c>
      <x:c r="B350" s="45" t="str">
        <x:v>Maria Anallely Sanchez Garcia</x:v>
      </x:c>
      <x:c r="C350" s="50" t="str">
        <x:v>38796</x:v>
      </x:c>
      <x:c r="D350" s="45" t="str">
        <x:v>Apto T1 AMB Sala J</x:v>
      </x:c>
      <x:c r="E350" s="45" t="str">
        <x:v>Abierta</x:v>
      </x:c>
      <x:c r="F350" s="51" t="d">
        <x:v>2021-12-23T00:00:00.000Z</x:v>
      </x:c>
      <x:c r="G350" s="45" t="str">
        <x:v>Venustiano Carranza</x:v>
      </x:c>
      <x:c r="H350" s="45" t="str">
        <x:v>Ciudad De México</x:v>
      </x:c>
      <x:c r="I350" s="52" t="n">
        <x:v>19.43691</x:v>
      </x:c>
      <x:c r="J350" s="52" t="n">
        <x:v>-99.080271</x:v>
      </x:c>
      <x:c r="K350" s="45" t="str">
        <x:v>Kiosko</x:v>
      </x:c>
      <x:c r="L350" s="45" t="str">
        <x:v>Travel_and_Channel</x:v>
      </x:c>
      <x:c r="M350" s="45" t="str">
        <x:v>C4</x:v>
      </x:c>
      <x:c r="N350" s="45" t="str">
        <x:v>Sí</x:v>
      </x:c>
      <x:c r="O350" s="45" t="str">
        <x:v>Maria Anallely Sanchez Garcia</x:v>
      </x:c>
      <x:c r="P350" s="45" t="str">
        <x:v>Ops y Directorio Alsea · octubre 2026</x:v>
      </x:c>
      <x:c r="Q350" s="45" t="str">
        <x:v>Puntos proporcionados</x:v>
      </x:c>
      <x:c r="R350" s="45" t="str">
        <x:v>Abierta</x:v>
      </x:c>
      <x:c r="S350" s="45" t="str"/>
      <x:c r="T350" s="45" t="n">
        <x:f>IF(AND(E350="Abierta",N350="Sí",ISNUMBER(I350),ISNUMBER(J350),ABS(I350)&lt;=90,ABS(J350)&lt;=180),1,0)</x:f>
        <x:v>1</x:v>
      </x:c>
    </x:row>
    <x:row r="351" ht="23" customHeight="1">
      <x:c r="A351" s="45" t="str">
        <x:v>Centro Centro</x:v>
      </x:c>
      <x:c r="B351" s="45" t="str">
        <x:v>Maria Anallely Sanchez Garcia</x:v>
      </x:c>
      <x:c r="C351" s="50" t="str">
        <x:v>38803</x:v>
      </x:c>
      <x:c r="D351" s="45" t="str">
        <x:v>Apto T1 AMB Puerta 8</x:v>
      </x:c>
      <x:c r="E351" s="45" t="str">
        <x:v>Abierta</x:v>
      </x:c>
      <x:c r="F351" s="51" t="d">
        <x:v>2021-12-27T00:00:00.000Z</x:v>
      </x:c>
      <x:c r="G351" s="45" t="str">
        <x:v>Venustiano Carranza</x:v>
      </x:c>
      <x:c r="H351" s="45" t="str">
        <x:v>Ciudad De México</x:v>
      </x:c>
      <x:c r="I351" s="52" t="n">
        <x:v>19.4360735</x:v>
      </x:c>
      <x:c r="J351" s="52" t="n">
        <x:v>-99.0817085</x:v>
      </x:c>
      <x:c r="K351" s="45" t="str">
        <x:v>Kiosko</x:v>
      </x:c>
      <x:c r="L351" s="45" t="str">
        <x:v>Travel_and_Channel</x:v>
      </x:c>
      <x:c r="M351" s="45" t="str">
        <x:v>C4</x:v>
      </x:c>
      <x:c r="N351" s="45" t="str">
        <x:v>Sí</x:v>
      </x:c>
      <x:c r="O351" s="45" t="str">
        <x:v>Maria Anallely Sanchez Garcia</x:v>
      </x:c>
      <x:c r="P351" s="45" t="str">
        <x:v>Ops y Directorio Alsea · octubre 2026</x:v>
      </x:c>
      <x:c r="Q351" s="45" t="str">
        <x:v>Puntos proporcionados</x:v>
      </x:c>
      <x:c r="R351" s="45" t="str">
        <x:v>Abierta</x:v>
      </x:c>
      <x:c r="S351" s="45" t="str"/>
      <x:c r="T351" s="45" t="n">
        <x:f>IF(AND(E351="Abierta",N351="Sí",ISNUMBER(I351),ISNUMBER(J351),ABS(I351)&lt;=90,ABS(J351)&lt;=180),1,0)</x:f>
        <x:v>1</x:v>
      </x:c>
    </x:row>
    <x:row r="352" ht="23" customHeight="1">
      <x:c r="A352" s="45" t="str">
        <x:v>Centro Centro</x:v>
      </x:c>
      <x:c r="B352" s="45" t="str">
        <x:v>Maria Anallely Sanchez Garcia</x:v>
      </x:c>
      <x:c r="C352" s="50" t="str">
        <x:v>38906</x:v>
      </x:c>
      <x:c r="D352" s="45" t="str">
        <x:v>APTO Ciudad de MéxicoAMB PTA 2</x:v>
      </x:c>
      <x:c r="E352" s="45" t="str">
        <x:v>Abierta</x:v>
      </x:c>
      <x:c r="F352" s="51" t="d">
        <x:v>2022-09-20T00:00:00.000Z</x:v>
      </x:c>
      <x:c r="G352" s="45" t="str">
        <x:v>Venustiano Carranza</x:v>
      </x:c>
      <x:c r="H352" s="45" t="str">
        <x:v>Ciudad De México</x:v>
      </x:c>
      <x:c r="I352" s="52" t="n">
        <x:v>19.433576</x:v>
      </x:c>
      <x:c r="J352" s="52" t="n">
        <x:v>-99.085892</x:v>
      </x:c>
      <x:c r="K352" s="45" t="str">
        <x:v>Kiosko</x:v>
      </x:c>
      <x:c r="L352" s="45" t="str">
        <x:v>Travel_and_Channel</x:v>
      </x:c>
      <x:c r="M352" s="45" t="str">
        <x:v>C4</x:v>
      </x:c>
      <x:c r="N352" s="45" t="str">
        <x:v>Sí</x:v>
      </x:c>
      <x:c r="O352" s="45" t="str">
        <x:v>Maria Anallely Sanchez Garcia</x:v>
      </x:c>
      <x:c r="P352" s="45" t="str">
        <x:v>Ops y Directorio Alsea · octubre 2026</x:v>
      </x:c>
      <x:c r="Q352" s="45" t="str">
        <x:v>Puntos proporcionados</x:v>
      </x:c>
      <x:c r="R352" s="45" t="str">
        <x:v>Abierta</x:v>
      </x:c>
      <x:c r="S352" s="45" t="str"/>
      <x:c r="T352" s="45" t="n">
        <x:f>IF(AND(E352="Abierta",N352="Sí",ISNUMBER(I352),ISNUMBER(J352),ABS(I352)&lt;=90,ABS(J352)&lt;=180),1,0)</x:f>
        <x:v>1</x:v>
      </x:c>
    </x:row>
    <x:row r="353" ht="23" customHeight="1">
      <x:c r="A353" s="45" t="str">
        <x:v>Centro Centro</x:v>
      </x:c>
      <x:c r="B353" s="45" t="str">
        <x:v>Maria Anallely Sanchez Garcia</x:v>
      </x:c>
      <x:c r="C353" s="50" t="str">
        <x:v>38943</x:v>
      </x:c>
      <x:c r="D353" s="45" t="str">
        <x:v>Terraza T2 Amb</x:v>
      </x:c>
      <x:c r="E353" s="45" t="str">
        <x:v>Abierta</x:v>
      </x:c>
      <x:c r="F353" s="51" t="d">
        <x:v>2023-07-20T00:00:00.000Z</x:v>
      </x:c>
      <x:c r="G353" s="45" t="str">
        <x:v>Venustiano Carranza</x:v>
      </x:c>
      <x:c r="H353" s="45" t="str">
        <x:v>Ciudad De México</x:v>
      </x:c>
      <x:c r="I353" s="52" t="n">
        <x:v>19.4207194</x:v>
      </x:c>
      <x:c r="J353" s="52" t="n">
        <x:v>-99.0780594</x:v>
      </x:c>
      <x:c r="K353" s="45" t="str">
        <x:v>Cafe</x:v>
      </x:c>
      <x:c r="L353" s="45" t="str">
        <x:v>Travel_and_Channel</x:v>
      </x:c>
      <x:c r="M353" s="45" t="str">
        <x:v>C4</x:v>
      </x:c>
      <x:c r="N353" s="45" t="str">
        <x:v>Sí</x:v>
      </x:c>
      <x:c r="O353" s="45" t="str">
        <x:v>Maria Anallely Sanchez Garcia</x:v>
      </x:c>
      <x:c r="P353" s="45" t="str">
        <x:v>Ops y Directorio Alsea · octubre 2026</x:v>
      </x:c>
      <x:c r="Q353" s="45" t="str">
        <x:v>Puntos proporcionados</x:v>
      </x:c>
      <x:c r="R353" s="45" t="str">
        <x:v>Abierta</x:v>
      </x:c>
      <x:c r="S353" s="45" t="str"/>
      <x:c r="T353" s="45" t="n">
        <x:f>IF(AND(E353="Abierta",N353="Sí",ISNUMBER(I353),ISNUMBER(J353),ABS(I353)&lt;=90,ABS(J353)&lt;=180),1,0)</x:f>
        <x:v>1</x:v>
      </x:c>
    </x:row>
    <x:row r="354" ht="23" customHeight="1">
      <x:c r="A354" s="45" t="str">
        <x:v>Centro Centro</x:v>
      </x:c>
      <x:c r="B354" s="45" t="str">
        <x:v>Nora Caracas Saldaña</x:v>
      </x:c>
      <x:c r="C354" s="50" t="str">
        <x:v>38173</x:v>
      </x:c>
      <x:c r="D354" s="45" t="str">
        <x:v>Plaza Delta Planta Alta</x:v>
      </x:c>
      <x:c r="E354" s="45" t="str">
        <x:v>Abierta</x:v>
      </x:c>
      <x:c r="F354" s="51" t="d">
        <x:v>2005-12-16T00:00:00.000Z</x:v>
      </x:c>
      <x:c r="G354" s="45" t="str">
        <x:v>Benito Juárez</x:v>
      </x:c>
      <x:c r="H354" s="45" t="str">
        <x:v>Ciudad De México</x:v>
      </x:c>
      <x:c r="I354" s="52" t="n">
        <x:v>19.4025338</x:v>
      </x:c>
      <x:c r="J354" s="52" t="n">
        <x:v>-99.1540656</x:v>
      </x:c>
      <x:c r="K354" s="45" t="str">
        <x:v>Kiosko</x:v>
      </x:c>
      <x:c r="L354" s="45" t="str">
        <x:v>Retail</x:v>
      </x:c>
      <x:c r="M354" s="45" t="str">
        <x:v>C2</x:v>
      </x:c>
      <x:c r="N354" s="45" t="str">
        <x:v>Sí</x:v>
      </x:c>
      <x:c r="O354" s="45" t="str">
        <x:v>Nora Caracas Saldaña</x:v>
      </x:c>
      <x:c r="P354" s="45" t="str">
        <x:v>Ops y Directorio Alsea · octubre 2026</x:v>
      </x:c>
      <x:c r="Q354" s="45" t="str">
        <x:v>Puntos proporcionados</x:v>
      </x:c>
      <x:c r="R354" s="45" t="str">
        <x:v>Abierta</x:v>
      </x:c>
      <x:c r="S354" s="45" t="str"/>
      <x:c r="T354" s="45" t="n">
        <x:f>IF(AND(E354="Abierta",N354="Sí",ISNUMBER(I354),ISNUMBER(J354),ABS(I354)&lt;=90,ABS(J354)&lt;=180),1,0)</x:f>
        <x:v>1</x:v>
      </x:c>
    </x:row>
    <x:row r="355" ht="23" customHeight="1">
      <x:c r="A355" s="45" t="str">
        <x:v>Centro Centro</x:v>
      </x:c>
      <x:c r="B355" s="45" t="str">
        <x:v>Nora Caracas Saldaña</x:v>
      </x:c>
      <x:c r="C355" s="50" t="str">
        <x:v>38312</x:v>
      </x:c>
      <x:c r="D355" s="45" t="str">
        <x:v>La Salle</x:v>
      </x:c>
      <x:c r="E355" s="45" t="str">
        <x:v>Abierta</x:v>
      </x:c>
      <x:c r="F355" s="51" t="d">
        <x:v>2008-03-31T00:00:00.000Z</x:v>
      </x:c>
      <x:c r="G355" s="45" t="str">
        <x:v>Cuauhtémoc</x:v>
      </x:c>
      <x:c r="H355" s="45" t="str">
        <x:v>Ciudad De México</x:v>
      </x:c>
      <x:c r="I355" s="52" t="n">
        <x:v>19.4079122</x:v>
      </x:c>
      <x:c r="J355" s="52" t="n">
        <x:v>-99.1815012</x:v>
      </x:c>
      <x:c r="K355" s="45" t="str">
        <x:v>Cafe</x:v>
      </x:c>
      <x:c r="L355" s="45" t="str">
        <x:v>Institution</x:v>
      </x:c>
      <x:c r="M355" s="45" t="str">
        <x:v>C2</x:v>
      </x:c>
      <x:c r="N355" s="45" t="str">
        <x:v>Sí</x:v>
      </x:c>
      <x:c r="O355" s="45" t="str">
        <x:v>Nora Caracas Saldaña</x:v>
      </x:c>
      <x:c r="P355" s="45" t="str">
        <x:v>Ops y Directorio Alsea · octubre 2026</x:v>
      </x:c>
      <x:c r="Q355" s="45" t="str">
        <x:v>Puntos proporcionados</x:v>
      </x:c>
      <x:c r="R355" s="45" t="str">
        <x:v>Abierta</x:v>
      </x:c>
      <x:c r="S355" s="45" t="str"/>
      <x:c r="T355" s="45" t="n">
        <x:f>IF(AND(E355="Abierta",N355="Sí",ISNUMBER(I355),ISNUMBER(J355),ABS(I355)&lt;=90,ABS(J355)&lt;=180),1,0)</x:f>
        <x:v>1</x:v>
      </x:c>
    </x:row>
    <x:row r="356" ht="23" customHeight="1">
      <x:c r="A356" s="45" t="str">
        <x:v>Centro Centro</x:v>
      </x:c>
      <x:c r="B356" s="45" t="str">
        <x:v>Nora Caracas Saldaña</x:v>
      </x:c>
      <x:c r="C356" s="50" t="str">
        <x:v>38432</x:v>
      </x:c>
      <x:c r="D356" s="45" t="str">
        <x:v>Plaza Luis Cabrera</x:v>
      </x:c>
      <x:c r="E356" s="45" t="str">
        <x:v>Abierta</x:v>
      </x:c>
      <x:c r="F356" s="51" t="d">
        <x:v>2011-12-08T00:00:00.000Z</x:v>
      </x:c>
      <x:c r="G356" s="45" t="str">
        <x:v>Cuauhtémoc</x:v>
      </x:c>
      <x:c r="H356" s="45" t="str">
        <x:v>Ciudad De México</x:v>
      </x:c>
      <x:c r="I356" s="52" t="n">
        <x:v>19.4166209</x:v>
      </x:c>
      <x:c r="J356" s="52" t="n">
        <x:v>-99.159745</x:v>
      </x:c>
      <x:c r="K356" s="45" t="str">
        <x:v>Cafe</x:v>
      </x:c>
      <x:c r="L356" s="45" t="str">
        <x:v>Neighborhood</x:v>
      </x:c>
      <x:c r="M356" s="45" t="str">
        <x:v>C1</x:v>
      </x:c>
      <x:c r="N356" s="45" t="str">
        <x:v>Sí</x:v>
      </x:c>
      <x:c r="O356" s="45" t="str">
        <x:v>Nora Caracas Saldaña</x:v>
      </x:c>
      <x:c r="P356" s="45" t="str">
        <x:v>Ops y Directorio Alsea · octubre 2026</x:v>
      </x:c>
      <x:c r="Q356" s="45" t="str">
        <x:v>Puntos proporcionados</x:v>
      </x:c>
      <x:c r="R356" s="45" t="str">
        <x:v>Abierta</x:v>
      </x:c>
      <x:c r="S356" s="45" t="str"/>
      <x:c r="T356" s="45" t="n">
        <x:f>IF(AND(E356="Abierta",N356="Sí",ISNUMBER(I356),ISNUMBER(J356),ABS(I356)&lt;=90,ABS(J356)&lt;=180),1,0)</x:f>
        <x:v>1</x:v>
      </x:c>
    </x:row>
    <x:row r="357" ht="23" customHeight="1">
      <x:c r="A357" s="45" t="str">
        <x:v>Centro Centro</x:v>
      </x:c>
      <x:c r="B357" s="45" t="str">
        <x:v>Nora Caracas Saldaña</x:v>
      </x:c>
      <x:c r="C357" s="50" t="str">
        <x:v>38440</x:v>
      </x:c>
      <x:c r="D357" s="45" t="str">
        <x:v>Hospital Angeles Metropolitano</x:v>
      </x:c>
      <x:c r="E357" s="45" t="str">
        <x:v>Abierta</x:v>
      </x:c>
      <x:c r="F357" s="51" t="d">
        <x:v>2011-12-15T00:00:00.000Z</x:v>
      </x:c>
      <x:c r="G357" s="45" t="str">
        <x:v>Cuauhtémoc</x:v>
      </x:c>
      <x:c r="H357" s="45" t="str">
        <x:v>Ciudad De México</x:v>
      </x:c>
      <x:c r="I357" s="52" t="n">
        <x:v>19.4067405</x:v>
      </x:c>
      <x:c r="J357" s="52" t="n">
        <x:v>-99.1668712</x:v>
      </x:c>
      <x:c r="K357" s="45" t="str">
        <x:v>Cafe</x:v>
      </x:c>
      <x:c r="L357" s="45" t="str">
        <x:v>Institution</x:v>
      </x:c>
      <x:c r="M357" s="45" t="str">
        <x:v>C2</x:v>
      </x:c>
      <x:c r="N357" s="45" t="str">
        <x:v>Sí</x:v>
      </x:c>
      <x:c r="O357" s="45" t="str">
        <x:v>Nora Caracas Saldaña</x:v>
      </x:c>
      <x:c r="P357" s="45" t="str">
        <x:v>Ops y Directorio Alsea · octubre 2026</x:v>
      </x:c>
      <x:c r="Q357" s="45" t="str">
        <x:v>Puntos proporcionados</x:v>
      </x:c>
      <x:c r="R357" s="45" t="str">
        <x:v>Abierta</x:v>
      </x:c>
      <x:c r="S357" s="45" t="str"/>
      <x:c r="T357" s="45" t="n">
        <x:f>IF(AND(E357="Abierta",N357="Sí",ISNUMBER(I357),ISNUMBER(J357),ABS(I357)&lt;=90,ABS(J357)&lt;=180),1,0)</x:f>
        <x:v>1</x:v>
      </x:c>
    </x:row>
    <x:row r="358" ht="23" customHeight="1">
      <x:c r="A358" s="45" t="str">
        <x:v>Centro Centro</x:v>
      </x:c>
      <x:c r="B358" s="45" t="str">
        <x:v>Nora Caracas Saldaña</x:v>
      </x:c>
      <x:c r="C358" s="50" t="str">
        <x:v>38483</x:v>
      </x:c>
      <x:c r="D358" s="45" t="str">
        <x:v>Forum Buenavista</x:v>
      </x:c>
      <x:c r="E358" s="45" t="str">
        <x:v>Abierta</x:v>
      </x:c>
      <x:c r="F358" s="51" t="d">
        <x:v>2013-06-20T00:00:00.000Z</x:v>
      </x:c>
      <x:c r="G358" s="45" t="str">
        <x:v>Cuauhtémoc</x:v>
      </x:c>
      <x:c r="H358" s="45" t="str">
        <x:v>Ciudad De México</x:v>
      </x:c>
      <x:c r="I358" s="52" t="n">
        <x:v>19.4507152</x:v>
      </x:c>
      <x:c r="J358" s="52" t="n">
        <x:v>-99.1515093</x:v>
      </x:c>
      <x:c r="K358" s="45" t="str">
        <x:v>Cafe</x:v>
      </x:c>
      <x:c r="L358" s="45" t="str">
        <x:v>Retail</x:v>
      </x:c>
      <x:c r="M358" s="45" t="str">
        <x:v>C1</x:v>
      </x:c>
      <x:c r="N358" s="45" t="str">
        <x:v>Sí</x:v>
      </x:c>
      <x:c r="O358" s="45" t="str">
        <x:v>Nora Caracas Saldaña</x:v>
      </x:c>
      <x:c r="P358" s="45" t="str">
        <x:v>Ops y Directorio Alsea · octubre 2026</x:v>
      </x:c>
      <x:c r="Q358" s="45" t="str">
        <x:v>Puntos proporcionados</x:v>
      </x:c>
      <x:c r="R358" s="45" t="str">
        <x:v>Abierta</x:v>
      </x:c>
      <x:c r="S358" s="45" t="str"/>
      <x:c r="T358" s="45" t="n">
        <x:f>IF(AND(E358="Abierta",N358="Sí",ISNUMBER(I358),ISNUMBER(J358),ABS(I358)&lt;=90,ABS(J358)&lt;=180),1,0)</x:f>
        <x:v>1</x:v>
      </x:c>
    </x:row>
    <x:row r="359" ht="23" customHeight="1">
      <x:c r="A359" s="45" t="str">
        <x:v>Centro Centro</x:v>
      </x:c>
      <x:c r="B359" s="45" t="str">
        <x:v>Nora Caracas Saldaña</x:v>
      </x:c>
      <x:c r="C359" s="50" t="str">
        <x:v>38554</x:v>
      </x:c>
      <x:c r="D359" s="45" t="str">
        <x:v>Forum Buenavista II</x:v>
      </x:c>
      <x:c r="E359" s="45" t="str">
        <x:v>Abierta</x:v>
      </x:c>
      <x:c r="F359" s="51" t="d">
        <x:v>2014-09-25T00:00:00.000Z</x:v>
      </x:c>
      <x:c r="G359" s="45" t="str">
        <x:v>Cuauhtémoc</x:v>
      </x:c>
      <x:c r="H359" s="45" t="str">
        <x:v>Ciudad De México</x:v>
      </x:c>
      <x:c r="I359" s="52" t="n">
        <x:v>19.4497024</x:v>
      </x:c>
      <x:c r="J359" s="52" t="n">
        <x:v>-99.1515653</x:v>
      </x:c>
      <x:c r="K359" s="45" t="str">
        <x:v>Kiosko</x:v>
      </x:c>
      <x:c r="L359" s="45" t="str">
        <x:v>Retail</x:v>
      </x:c>
      <x:c r="M359" s="45" t="str">
        <x:v>C1</x:v>
      </x:c>
      <x:c r="N359" s="45" t="str">
        <x:v>Sí</x:v>
      </x:c>
      <x:c r="O359" s="45" t="str">
        <x:v>Nora Caracas Saldaña</x:v>
      </x:c>
      <x:c r="P359" s="45" t="str">
        <x:v>Ops y Directorio Alsea · octubre 2026</x:v>
      </x:c>
      <x:c r="Q359" s="45" t="str">
        <x:v>Puntos proporcionados</x:v>
      </x:c>
      <x:c r="R359" s="45" t="str">
        <x:v>Abierta</x:v>
      </x:c>
      <x:c r="S359" s="45" t="str"/>
      <x:c r="T359" s="45" t="n">
        <x:f>IF(AND(E359="Abierta",N359="Sí",ISNUMBER(I359),ISNUMBER(J359),ABS(I359)&lt;=90,ABS(J359)&lt;=180),1,0)</x:f>
        <x:v>1</x:v>
      </x:c>
    </x:row>
    <x:row r="360" ht="23" customHeight="1">
      <x:c r="A360" s="45" t="str">
        <x:v>Centro Centro</x:v>
      </x:c>
      <x:c r="B360" s="45" t="str">
        <x:v>Nora Caracas Saldaña</x:v>
      </x:c>
      <x:c r="C360" s="50" t="str">
        <x:v>38556</x:v>
      </x:c>
      <x:c r="D360" s="45" t="str">
        <x:v>Tuxpan 53</x:v>
      </x:c>
      <x:c r="E360" s="45" t="str">
        <x:v>Abierta</x:v>
      </x:c>
      <x:c r="F360" s="51" t="d">
        <x:v>2014-09-26T00:00:00.000Z</x:v>
      </x:c>
      <x:c r="G360" s="45" t="str">
        <x:v>Cuauhtémoc</x:v>
      </x:c>
      <x:c r="H360" s="45" t="str">
        <x:v>Ciudad De México</x:v>
      </x:c>
      <x:c r="I360" s="52" t="n">
        <x:v>19.4041632</x:v>
      </x:c>
      <x:c r="J360" s="52" t="n">
        <x:v>-99.1674161</x:v>
      </x:c>
      <x:c r="K360" s="45" t="str">
        <x:v>Cafe</x:v>
      </x:c>
      <x:c r="L360" s="45" t="str">
        <x:v>Neighborhood</x:v>
      </x:c>
      <x:c r="M360" s="45" t="str">
        <x:v>C2</x:v>
      </x:c>
      <x:c r="N360" s="45" t="str">
        <x:v>Sí</x:v>
      </x:c>
      <x:c r="O360" s="45" t="str">
        <x:v>Nora Caracas Saldaña</x:v>
      </x:c>
      <x:c r="P360" s="45" t="str">
        <x:v>Ops y Directorio Alsea · octubre 2026</x:v>
      </x:c>
      <x:c r="Q360" s="45" t="str">
        <x:v>Puntos proporcionados</x:v>
      </x:c>
      <x:c r="R360" s="45" t="str">
        <x:v>Abierta</x:v>
      </x:c>
      <x:c r="S360" s="45" t="str"/>
      <x:c r="T360" s="45" t="n">
        <x:f>IF(AND(E360="Abierta",N360="Sí",ISNUMBER(I360),ISNUMBER(J360),ABS(I360)&lt;=90,ABS(J360)&lt;=180),1,0)</x:f>
        <x:v>1</x:v>
      </x:c>
    </x:row>
    <x:row r="361" ht="23" customHeight="1">
      <x:c r="A361" s="45" t="str">
        <x:v>Centro Centro</x:v>
      </x:c>
      <x:c r="B361" s="45" t="str">
        <x:v>Nora Caracas Saldaña</x:v>
      </x:c>
      <x:c r="C361" s="50" t="str">
        <x:v>38558</x:v>
      </x:c>
      <x:c r="D361" s="45" t="str">
        <x:v>Roma Sur</x:v>
      </x:c>
      <x:c r="E361" s="45" t="str">
        <x:v>Abierta</x:v>
      </x:c>
      <x:c r="F361" s="51" t="d">
        <x:v>2014-09-26T00:00:00.000Z</x:v>
      </x:c>
      <x:c r="G361" s="45" t="str">
        <x:v>Cuauhtémoc</x:v>
      </x:c>
      <x:c r="H361" s="45" t="str">
        <x:v>Ciudad De México</x:v>
      </x:c>
      <x:c r="I361" s="52" t="n">
        <x:v>19.406444</x:v>
      </x:c>
      <x:c r="J361" s="52" t="n">
        <x:v>-99.161189</x:v>
      </x:c>
      <x:c r="K361" s="45" t="str">
        <x:v>Cafe</x:v>
      </x:c>
      <x:c r="L361" s="45" t="str">
        <x:v>Neighborhood</x:v>
      </x:c>
      <x:c r="M361" s="45" t="str">
        <x:v>C1</x:v>
      </x:c>
      <x:c r="N361" s="45" t="str">
        <x:v>Sí</x:v>
      </x:c>
      <x:c r="O361" s="45" t="str">
        <x:v>Nora Caracas Saldaña</x:v>
      </x:c>
      <x:c r="P361" s="45" t="str">
        <x:v>Ops y Directorio Alsea · octubre 2026</x:v>
      </x:c>
      <x:c r="Q361" s="45" t="str">
        <x:v>Puntos proporcionados</x:v>
      </x:c>
      <x:c r="R361" s="45" t="str">
        <x:v>Abierta</x:v>
      </x:c>
      <x:c r="S361" s="45" t="str"/>
      <x:c r="T361" s="45" t="n">
        <x:f>IF(AND(E361="Abierta",N361="Sí",ISNUMBER(I361),ISNUMBER(J361),ABS(I361)&lt;=90,ABS(J361)&lt;=180),1,0)</x:f>
        <x:v>1</x:v>
      </x:c>
    </x:row>
    <x:row r="362" ht="23" customHeight="1">
      <x:c r="A362" s="45" t="str">
        <x:v>Centro Centro</x:v>
      </x:c>
      <x:c r="B362" s="45" t="str">
        <x:v>Nora Caracas Saldaña</x:v>
      </x:c>
      <x:c r="C362" s="50" t="str">
        <x:v>38602</x:v>
      </x:c>
      <x:c r="D362" s="45" t="str">
        <x:v>Obrero Mundial</x:v>
      </x:c>
      <x:c r="E362" s="45" t="str">
        <x:v>Abierta</x:v>
      </x:c>
      <x:c r="F362" s="51" t="d">
        <x:v>2015-09-14T00:00:00.000Z</x:v>
      </x:c>
      <x:c r="G362" s="45" t="str">
        <x:v>Benito Juárez</x:v>
      </x:c>
      <x:c r="H362" s="45" t="str">
        <x:v>Ciudad De México</x:v>
      </x:c>
      <x:c r="I362" s="52" t="n">
        <x:v>19.4018886</x:v>
      </x:c>
      <x:c r="J362" s="52" t="n">
        <x:v>-99.159756</x:v>
      </x:c>
      <x:c r="K362" s="45" t="str">
        <x:v>Cafe</x:v>
      </x:c>
      <x:c r="L362" s="45" t="str">
        <x:v>Retail</x:v>
      </x:c>
      <x:c r="M362" s="45" t="str">
        <x:v>C2</x:v>
      </x:c>
      <x:c r="N362" s="45" t="str">
        <x:v>Sí</x:v>
      </x:c>
      <x:c r="O362" s="45" t="str">
        <x:v>Nora Caracas Saldaña</x:v>
      </x:c>
      <x:c r="P362" s="45" t="str">
        <x:v>Ops y Directorio Alsea · octubre 2026</x:v>
      </x:c>
      <x:c r="Q362" s="45" t="str">
        <x:v>Puntos proporcionados</x:v>
      </x:c>
      <x:c r="R362" s="45" t="str">
        <x:v>Abierta</x:v>
      </x:c>
      <x:c r="S362" s="45" t="str"/>
      <x:c r="T362" s="45" t="n">
        <x:f>IF(AND(E362="Abierta",N362="Sí",ISNUMBER(I362),ISNUMBER(J362),ABS(I362)&lt;=90,ABS(J362)&lt;=180),1,0)</x:f>
        <x:v>1</x:v>
      </x:c>
    </x:row>
    <x:row r="363" ht="23" customHeight="1">
      <x:c r="A363" s="45" t="str">
        <x:v>Centro Centro</x:v>
      </x:c>
      <x:c r="B363" s="45" t="str">
        <x:v>Nora Caracas Saldaña</x:v>
      </x:c>
      <x:c r="C363" s="50" t="str">
        <x:v>38658</x:v>
      </x:c>
      <x:c r="D363" s="45" t="str">
        <x:v>Plaza Delta Planta Baja</x:v>
      </x:c>
      <x:c r="E363" s="45" t="str">
        <x:v>Abierta</x:v>
      </x:c>
      <x:c r="F363" s="51" t="d">
        <x:v>2016-08-12T00:00:00.000Z</x:v>
      </x:c>
      <x:c r="G363" s="45" t="str">
        <x:v>Benito Juárez</x:v>
      </x:c>
      <x:c r="H363" s="45" t="str">
        <x:v>Ciudad De México</x:v>
      </x:c>
      <x:c r="I363" s="52" t="n">
        <x:v>19.4027512</x:v>
      </x:c>
      <x:c r="J363" s="52" t="n">
        <x:v>-99.1546322</x:v>
      </x:c>
      <x:c r="K363" s="45" t="str">
        <x:v>Cafe</x:v>
      </x:c>
      <x:c r="L363" s="45" t="str">
        <x:v>Retail</x:v>
      </x:c>
      <x:c r="M363" s="45" t="str">
        <x:v>C2</x:v>
      </x:c>
      <x:c r="N363" s="45" t="str">
        <x:v>Sí</x:v>
      </x:c>
      <x:c r="O363" s="45" t="str">
        <x:v>Nora Caracas Saldaña</x:v>
      </x:c>
      <x:c r="P363" s="45" t="str">
        <x:v>Ops y Directorio Alsea · octubre 2026</x:v>
      </x:c>
      <x:c r="Q363" s="45" t="str">
        <x:v>Puntos proporcionados</x:v>
      </x:c>
      <x:c r="R363" s="45" t="str">
        <x:v>Abierta</x:v>
      </x:c>
      <x:c r="S363" s="45" t="str"/>
      <x:c r="T363" s="45" t="n">
        <x:f>IF(AND(E363="Abierta",N363="Sí",ISNUMBER(I363),ISNUMBER(J363),ABS(I363)&lt;=90,ABS(J363)&lt;=180),1,0)</x:f>
        <x:v>1</x:v>
      </x:c>
    </x:row>
    <x:row r="364" ht="23" customHeight="1">
      <x:c r="A364" s="45" t="str">
        <x:v>Centro Centro</x:v>
      </x:c>
      <x:c r="B364" s="45" t="str">
        <x:v>Nora Caracas Saldaña</x:v>
      </x:c>
      <x:c r="C364" s="50" t="str">
        <x:v>38752</x:v>
      </x:c>
      <x:c r="D364" s="45" t="str">
        <x:v>Star Medica Roma</x:v>
      </x:c>
      <x:c r="E364" s="45" t="str">
        <x:v>Abierta</x:v>
      </x:c>
      <x:c r="F364" s="51" t="d">
        <x:v>2017-08-28T00:00:00.000Z</x:v>
      </x:c>
      <x:c r="G364" s="45" t="str">
        <x:v>Cuauhtémoc</x:v>
      </x:c>
      <x:c r="H364" s="45" t="str">
        <x:v>Ciudad De México</x:v>
      </x:c>
      <x:c r="I364" s="52" t="n">
        <x:v>19.4139303</x:v>
      </x:c>
      <x:c r="J364" s="52" t="n">
        <x:v>-99.1612705</x:v>
      </x:c>
      <x:c r="K364" s="45" t="str">
        <x:v>Cafe</x:v>
      </x:c>
      <x:c r="L364" s="45" t="str">
        <x:v>Institution</x:v>
      </x:c>
      <x:c r="M364" s="45" t="str">
        <x:v>C2</x:v>
      </x:c>
      <x:c r="N364" s="45" t="str">
        <x:v>Sí</x:v>
      </x:c>
      <x:c r="O364" s="45" t="str">
        <x:v>Nora Caracas Saldaña</x:v>
      </x:c>
      <x:c r="P364" s="45" t="str">
        <x:v>Ops y Directorio Alsea · octubre 2026</x:v>
      </x:c>
      <x:c r="Q364" s="45" t="str">
        <x:v>Puntos proporcionados</x:v>
      </x:c>
      <x:c r="R364" s="45" t="str">
        <x:v>Abierta</x:v>
      </x:c>
      <x:c r="S364" s="45" t="str"/>
      <x:c r="T364" s="45" t="n">
        <x:f>IF(AND(E364="Abierta",N364="Sí",ISNUMBER(I364),ISNUMBER(J364),ABS(I364)&lt;=90,ABS(J364)&lt;=180),1,0)</x:f>
        <x:v>1</x:v>
      </x:c>
    </x:row>
    <x:row r="365" ht="23" customHeight="1">
      <x:c r="A365" s="45" t="str">
        <x:v>Centro Centro</x:v>
      </x:c>
      <x:c r="B365" s="45" t="str">
        <x:v>Nora Caracas Saldaña</x:v>
      </x:c>
      <x:c r="C365" s="50" t="str">
        <x:v>38850</x:v>
      </x:c>
      <x:c r="D365" s="45" t="str">
        <x:v>Hospital Angeles Clinica Londres</x:v>
      </x:c>
      <x:c r="E365" s="45" t="str">
        <x:v>Abierta</x:v>
      </x:c>
      <x:c r="F365" s="51" t="d">
        <x:v>2018-12-07T00:00:00.000Z</x:v>
      </x:c>
      <x:c r="G365" s="45" t="str">
        <x:v>Cuauhtémoc</x:v>
      </x:c>
      <x:c r="H365" s="45" t="str">
        <x:v>Ciudad De México</x:v>
      </x:c>
      <x:c r="I365" s="52" t="n">
        <x:v>19.4215899</x:v>
      </x:c>
      <x:c r="J365" s="52" t="n">
        <x:v>-99.15632</x:v>
      </x:c>
      <x:c r="K365" s="45" t="str">
        <x:v>Cafe</x:v>
      </x:c>
      <x:c r="L365" s="45" t="str">
        <x:v>Institution</x:v>
      </x:c>
      <x:c r="M365" s="45" t="str">
        <x:v>C2</x:v>
      </x:c>
      <x:c r="N365" s="45" t="str">
        <x:v>Sí</x:v>
      </x:c>
      <x:c r="O365" s="45" t="str">
        <x:v>Nora Caracas Saldaña</x:v>
      </x:c>
      <x:c r="P365" s="45" t="str">
        <x:v>Ops y Directorio Alsea · octubre 2026</x:v>
      </x:c>
      <x:c r="Q365" s="45" t="str">
        <x:v>Puntos proporcionados</x:v>
      </x:c>
      <x:c r="R365" s="45" t="str">
        <x:v>Abierta</x:v>
      </x:c>
      <x:c r="S365" s="45" t="str"/>
      <x:c r="T365" s="45" t="n">
        <x:f>IF(AND(E365="Abierta",N365="Sí",ISNUMBER(I365),ISNUMBER(J365),ABS(I365)&lt;=90,ABS(J365)&lt;=180),1,0)</x:f>
        <x:v>1</x:v>
      </x:c>
    </x:row>
    <x:row r="366" ht="23" customHeight="1">
      <x:c r="A366" s="45" t="str">
        <x:v>Centro Centro</x:v>
      </x:c>
      <x:c r="B366" s="45" t="str">
        <x:v>Sin asignación</x:v>
      </x:c>
      <x:c r="C366" s="50" t="str">
        <x:v>38156</x:v>
      </x:c>
      <x:c r="D366" s="45" t="str">
        <x:v>Condesa II Tamaulipas</x:v>
      </x:c>
      <x:c r="E366" s="45" t="str">
        <x:v>Cierre Definitivo</x:v>
      </x:c>
      <x:c r="F366" s="51" t="d">
        <x:v>2005-07-03T00:00:00.000Z</x:v>
      </x:c>
      <x:c r="G366" s="45" t="str">
        <x:v>Cuauhtémoc</x:v>
      </x:c>
      <x:c r="H366" s="45" t="str">
        <x:v>Ciudad De México</x:v>
      </x:c>
      <x:c r="I366" s="52" t="n">
        <x:v>19.4124</x:v>
      </x:c>
      <x:c r="J366" s="52" t="n">
        <x:v>-99.1733</x:v>
      </x:c>
      <x:c r="K366" s="45" t="str">
        <x:v>Cafe</x:v>
      </x:c>
      <x:c r="L366" s="45" t="str">
        <x:v>Neighborhood</x:v>
      </x:c>
      <x:c r="M366" s="45" t="str">
        <x:v>C1</x:v>
      </x:c>
      <x:c r="N366" s="45" t="str">
        <x:v>No</x:v>
      </x:c>
      <x:c r="O366" s="45" t="str">
        <x:v>Sin asignación</x:v>
      </x:c>
      <x:c r="P366" s="45" t="str">
        <x:v>Ops y Directorio Alsea · octubre 2026</x:v>
      </x:c>
      <x:c r="Q366" s="45" t="str">
        <x:v>Directorio Alsea octubre 2026</x:v>
      </x:c>
      <x:c r="R366" s="45" t="str">
        <x:v>Cierre Definitivo</x:v>
      </x:c>
      <x:c r="S366" s="45" t="str"/>
      <x:c r="T366" s="45" t="n">
        <x:f>IF(AND(E366="Abierta",N366="Sí",ISNUMBER(I366),ISNUMBER(J366),ABS(I366)&lt;=90,ABS(J366)&lt;=180),1,0)</x:f>
        <x:v>0</x:v>
      </x:c>
    </x:row>
    <x:row r="367" ht="23" customHeight="1">
      <x:c r="A367" s="45" t="str">
        <x:v>Centro Centro</x:v>
      </x:c>
      <x:c r="B367" s="45" t="str">
        <x:v>Sin asignación</x:v>
      </x:c>
      <x:c r="C367" s="50" t="str">
        <x:v>38202</x:v>
      </x:c>
      <x:c r="D367" s="45" t="str">
        <x:v>Horacio</x:v>
      </x:c>
      <x:c r="E367" s="45" t="str">
        <x:v>Cierre Definitivo</x:v>
      </x:c>
      <x:c r="F367" s="51" t="d">
        <x:v>2006-10-29T00:00:00.000Z</x:v>
      </x:c>
      <x:c r="G367" s="45" t="str">
        <x:v>Miguel Hidalgo</x:v>
      </x:c>
      <x:c r="H367" s="45" t="str">
        <x:v>Ciudad De México</x:v>
      </x:c>
      <x:c r="I367" s="52" t="n">
        <x:v>19.4329</x:v>
      </x:c>
      <x:c r="J367" s="52" t="n">
        <x:v>-99.1868</x:v>
      </x:c>
      <x:c r="K367" s="45" t="str">
        <x:v>Cafe</x:v>
      </x:c>
      <x:c r="L367" s="45" t="str">
        <x:v>Office_Complex</x:v>
      </x:c>
      <x:c r="M367" s="45" t="str">
        <x:v>C2</x:v>
      </x:c>
      <x:c r="N367" s="45" t="str">
        <x:v>No</x:v>
      </x:c>
      <x:c r="O367" s="45" t="str">
        <x:v>Sin asignación</x:v>
      </x:c>
      <x:c r="P367" s="45" t="str">
        <x:v>Ops y Directorio Alsea · octubre 2026</x:v>
      </x:c>
      <x:c r="Q367" s="45" t="str">
        <x:v>Directorio Alsea octubre 2026</x:v>
      </x:c>
      <x:c r="R367" s="45" t="str">
        <x:v>Cierre Definitivo</x:v>
      </x:c>
      <x:c r="S367" s="45" t="str"/>
      <x:c r="T367" s="45" t="n">
        <x:f>IF(AND(E367="Abierta",N367="Sí",ISNUMBER(I367),ISNUMBER(J367),ABS(I367)&lt;=90,ABS(J367)&lt;=180),1,0)</x:f>
        <x:v>0</x:v>
      </x:c>
    </x:row>
    <x:row r="368" ht="23" customHeight="1">
      <x:c r="A368" s="45" t="str">
        <x:v>Centro Centro</x:v>
      </x:c>
      <x:c r="B368" s="45" t="str">
        <x:v>Sin asignación</x:v>
      </x:c>
      <x:c r="C368" s="50" t="str">
        <x:v>38421</x:v>
      </x:c>
      <x:c r="D368" s="45" t="str">
        <x:v>Durango</x:v>
      </x:c>
      <x:c r="E368" s="45" t="str">
        <x:v>Cierre Definitivo</x:v>
      </x:c>
      <x:c r="F368" s="51"/>
      <x:c r="G368" s="45" t="str">
        <x:v>Ciudad de México</x:v>
      </x:c>
      <x:c r="H368" s="45" t="str">
        <x:v>Ciudad de México</x:v>
      </x:c>
      <x:c r="I368" s="52" t="n">
        <x:v>19.419944</x:v>
      </x:c>
      <x:c r="J368" s="52" t="n">
        <x:v>-99.167699</x:v>
      </x:c>
      <x:c r="K368" s="45" t="str"/>
      <x:c r="L368" s="45" t="str"/>
      <x:c r="M368" s="45" t="str"/>
      <x:c r="N368" s="45" t="str">
        <x:v>No</x:v>
      </x:c>
      <x:c r="O368" s="45" t="str">
        <x:v>Sin asignación</x:v>
      </x:c>
      <x:c r="P368" s="45" t="str">
        <x:v>Directorio Alsea octubre 2026</x:v>
      </x:c>
      <x:c r="Q368" s="45" t="str">
        <x:v>Directorio Alsea octubre 2026</x:v>
      </x:c>
      <x:c r="R368" s="45" t="str">
        <x:v>Cierre Definitivo</x:v>
      </x:c>
      <x:c r="S368" s="45" t="str"/>
      <x:c r="T368" s="45" t="n">
        <x:f>IF(AND(E368="Abierta",N368="Sí",ISNUMBER(I368),ISNUMBER(J368),ABS(I368)&lt;=90,ABS(J368)&lt;=180),1,0)</x:f>
        <x:v>0</x:v>
      </x:c>
    </x:row>
    <x:row r="369" ht="23" customHeight="1">
      <x:c r="A369" s="45" t="str">
        <x:v>Centro Centro</x:v>
      </x:c>
      <x:c r="B369" s="45" t="str">
        <x:v>Sin asignación</x:v>
      </x:c>
      <x:c r="C369" s="50" t="str">
        <x:v>38495</x:v>
      </x:c>
      <x:c r="D369" s="45" t="str">
        <x:v>Torre Origami</x:v>
      </x:c>
      <x:c r="E369" s="45" t="str">
        <x:v>Cierre Definitivo</x:v>
      </x:c>
      <x:c r="F369" s="51"/>
      <x:c r="G369" s="45" t="str">
        <x:v>Ciudad de México</x:v>
      </x:c>
      <x:c r="H369" s="45" t="str">
        <x:v>Ciudad de México</x:v>
      </x:c>
      <x:c r="I369" s="52" t="n">
        <x:v>19.3688</x:v>
      </x:c>
      <x:c r="J369" s="52" t="n">
        <x:v>-99.1803</x:v>
      </x:c>
      <x:c r="K369" s="45" t="str"/>
      <x:c r="L369" s="45" t="str"/>
      <x:c r="M369" s="45" t="str"/>
      <x:c r="N369" s="45" t="str">
        <x:v>No</x:v>
      </x:c>
      <x:c r="O369" s="45" t="str">
        <x:v>Sin asignación</x:v>
      </x:c>
      <x:c r="P369" s="45" t="str">
        <x:v>Directorio Alsea octubre 2026</x:v>
      </x:c>
      <x:c r="Q369" s="45" t="str">
        <x:v>Directorio Alsea octubre 2026</x:v>
      </x:c>
      <x:c r="R369" s="45" t="str">
        <x:v>Cierre Definitivo</x:v>
      </x:c>
      <x:c r="S369" s="45" t="str"/>
      <x:c r="T369" s="45" t="n">
        <x:f>IF(AND(E369="Abierta",N369="Sí",ISNUMBER(I369),ISNUMBER(J369),ABS(I369)&lt;=90,ABS(J369)&lt;=180),1,0)</x:f>
        <x:v>0</x:v>
      </x:c>
    </x:row>
    <x:row r="370" ht="23" customHeight="1">
      <x:c r="A370" s="45" t="str">
        <x:v>Centro Centro</x:v>
      </x:c>
      <x:c r="B370" s="45" t="str">
        <x:v>Sin asignación</x:v>
      </x:c>
      <x:c r="C370" s="50" t="str">
        <x:v>38632</x:v>
      </x:c>
      <x:c r="D370" s="45" t="str">
        <x:v>Madero II</x:v>
      </x:c>
      <x:c r="E370" s="45" t="str">
        <x:v>Cierre Definitivo</x:v>
      </x:c>
      <x:c r="F370" s="51" t="d">
        <x:v>2015-12-22T00:00:00.000Z</x:v>
      </x:c>
      <x:c r="G370" s="45" t="str">
        <x:v>Cuauhtémoc</x:v>
      </x:c>
      <x:c r="H370" s="45" t="str">
        <x:v>Ciudad De México</x:v>
      </x:c>
      <x:c r="I370" s="52" t="n">
        <x:v>19.4337</x:v>
      </x:c>
      <x:c r="J370" s="52" t="n">
        <x:v>-99.1384</x:v>
      </x:c>
      <x:c r="K370" s="45" t="str">
        <x:v>Cafe</x:v>
      </x:c>
      <x:c r="L370" s="45" t="str">
        <x:v>Retail</x:v>
      </x:c>
      <x:c r="M370" s="45" t="str">
        <x:v>C2</x:v>
      </x:c>
      <x:c r="N370" s="45" t="str">
        <x:v>No</x:v>
      </x:c>
      <x:c r="O370" s="45" t="str">
        <x:v>Sin asignación</x:v>
      </x:c>
      <x:c r="P370" s="45" t="str">
        <x:v>Ops y Directorio Alsea · octubre 2026</x:v>
      </x:c>
      <x:c r="Q370" s="45" t="str">
        <x:v>Directorio Alsea octubre 2026</x:v>
      </x:c>
      <x:c r="R370" s="45" t="str">
        <x:v>Cierre Definitivo</x:v>
      </x:c>
      <x:c r="S370" s="45" t="str"/>
      <x:c r="T370" s="45" t="n">
        <x:f>IF(AND(E370="Abierta",N370="Sí",ISNUMBER(I370),ISNUMBER(J370),ABS(I370)&lt;=90,ABS(J370)&lt;=180),1,0)</x:f>
        <x:v>0</x:v>
      </x:c>
    </x:row>
    <x:row r="371" ht="23" customHeight="1">
      <x:c r="A371" s="45" t="str">
        <x:v>Centro Centro</x:v>
      </x:c>
      <x:c r="B371" s="45" t="str">
        <x:v>Sin asignación</x:v>
      </x:c>
      <x:c r="C371" s="50" t="str">
        <x:v>38915</x:v>
      </x:c>
      <x:c r="D371" s="45" t="str">
        <x:v>Cinemex Galerias Insurgentes</x:v>
      </x:c>
      <x:c r="E371" s="45" t="str">
        <x:v>Cierre Definitivo</x:v>
      </x:c>
      <x:c r="F371" s="51" t="d">
        <x:v>2022-11-14T00:00:00.000Z</x:v>
      </x:c>
      <x:c r="G371" s="45" t="str">
        <x:v>Benito Juárez</x:v>
      </x:c>
      <x:c r="H371" s="45" t="str">
        <x:v>Ciudad De México</x:v>
      </x:c>
      <x:c r="I371" s="52" t="n">
        <x:v>19.37114737</x:v>
      </x:c>
      <x:c r="J371" s="52" t="n">
        <x:v>-99.17868597</x:v>
      </x:c>
      <x:c r="K371" s="45" t="str">
        <x:v>Cafe</x:v>
      </x:c>
      <x:c r="L371" s="45" t="str">
        <x:v>Retail</x:v>
      </x:c>
      <x:c r="M371" s="45" t="str"/>
      <x:c r="N371" s="45" t="str">
        <x:v>No</x:v>
      </x:c>
      <x:c r="O371" s="45" t="str">
        <x:v>Sin asignación</x:v>
      </x:c>
      <x:c r="P371" s="45" t="str">
        <x:v>Ops y Directorio Alsea · octubre 2026</x:v>
      </x:c>
      <x:c r="Q371" s="45" t="str">
        <x:v>Directorio Alsea octubre 2026</x:v>
      </x:c>
      <x:c r="R371" s="45" t="str">
        <x:v>Cierre Definitivo</x:v>
      </x:c>
      <x:c r="S371" s="45" t="str"/>
      <x:c r="T371" s="45" t="n">
        <x:f>IF(AND(E371="Abierta",N371="Sí",ISNUMBER(I371),ISNUMBER(J371),ABS(I371)&lt;=90,ABS(J371)&lt;=180),1,0)</x:f>
        <x:v>0</x:v>
      </x:c>
    </x:row>
    <x:row r="372" ht="23" customHeight="1">
      <x:c r="A372" s="45" t="str">
        <x:v>Centro Centro</x:v>
      </x:c>
      <x:c r="B372" s="45" t="str">
        <x:v>Vacante</x:v>
      </x:c>
      <x:c r="C372" s="50" t="str">
        <x:v>38123</x:v>
      </x:c>
      <x:c r="D372" s="45" t="str">
        <x:v>Plaza Alameda</x:v>
      </x:c>
      <x:c r="E372" s="45" t="str">
        <x:v>Abierta</x:v>
      </x:c>
      <x:c r="F372" s="51" t="d">
        <x:v>2004-01-22T00:00:00.000Z</x:v>
      </x:c>
      <x:c r="G372" s="45" t="str">
        <x:v>Cuauhtémoc</x:v>
      </x:c>
      <x:c r="H372" s="45" t="str">
        <x:v>Ciudad De México</x:v>
      </x:c>
      <x:c r="I372" s="52" t="n">
        <x:v>19.4350013</x:v>
      </x:c>
      <x:c r="J372" s="52" t="n">
        <x:v>-99.1466981</x:v>
      </x:c>
      <x:c r="K372" s="45" t="str">
        <x:v>Cafe</x:v>
      </x:c>
      <x:c r="L372" s="45" t="str">
        <x:v>Retail</x:v>
      </x:c>
      <x:c r="M372" s="45" t="str">
        <x:v>C2</x:v>
      </x:c>
      <x:c r="N372" s="45" t="str">
        <x:v>Sí</x:v>
      </x:c>
      <x:c r="O372" s="45" t="str">
        <x:v>Vacante</x:v>
      </x:c>
      <x:c r="P372" s="45" t="str">
        <x:v>Ops y Directorio Alsea · octubre 2026</x:v>
      </x:c>
      <x:c r="Q372" s="45" t="str">
        <x:v>Puntos proporcionados</x:v>
      </x:c>
      <x:c r="R372" s="45" t="str">
        <x:v>Abierta</x:v>
      </x:c>
      <x:c r="S372" s="45" t="str"/>
      <x:c r="T372" s="45" t="n">
        <x:f>IF(AND(E372="Abierta",N372="Sí",ISNUMBER(I372),ISNUMBER(J372),ABS(I372)&lt;=90,ABS(J372)&lt;=180),1,0)</x:f>
        <x:v>1</x:v>
      </x:c>
    </x:row>
    <x:row r="373" ht="23" customHeight="1">
      <x:c r="A373" s="45" t="str">
        <x:v>Centro Centro</x:v>
      </x:c>
      <x:c r="B373" s="45" t="str">
        <x:v>Vacante</x:v>
      </x:c>
      <x:c r="C373" s="50" t="str">
        <x:v>38155</x:v>
      </x:c>
      <x:c r="D373" s="45" t="str">
        <x:v>16 de Septiembre</x:v>
      </x:c>
      <x:c r="E373" s="45" t="str">
        <x:v>Abierta</x:v>
      </x:c>
      <x:c r="F373" s="51" t="d">
        <x:v>2005-06-30T00:00:00.000Z</x:v>
      </x:c>
      <x:c r="G373" s="45" t="str">
        <x:v>Cuauhtémoc</x:v>
      </x:c>
      <x:c r="H373" s="45" t="str">
        <x:v>Ciudad De México</x:v>
      </x:c>
      <x:c r="I373" s="52" t="n">
        <x:v>19.432162</x:v>
      </x:c>
      <x:c r="J373" s="52" t="n">
        <x:v>-99.135101</x:v>
      </x:c>
      <x:c r="K373" s="45" t="str">
        <x:v>Cafe</x:v>
      </x:c>
      <x:c r="L373" s="45" t="str">
        <x:v>Retail</x:v>
      </x:c>
      <x:c r="M373" s="45" t="str">
        <x:v>C2</x:v>
      </x:c>
      <x:c r="N373" s="45" t="str">
        <x:v>Sí</x:v>
      </x:c>
      <x:c r="O373" s="45" t="str">
        <x:v>Vacante</x:v>
      </x:c>
      <x:c r="P373" s="45" t="str">
        <x:v>Ops y Directorio Alsea · octubre 2026</x:v>
      </x:c>
      <x:c r="Q373" s="45" t="str">
        <x:v>Puntos proporcionados</x:v>
      </x:c>
      <x:c r="R373" s="45" t="str">
        <x:v>Abierta</x:v>
      </x:c>
      <x:c r="S373" s="45" t="str"/>
      <x:c r="T373" s="45" t="n">
        <x:f>IF(AND(E373="Abierta",N373="Sí",ISNUMBER(I373),ISNUMBER(J373),ABS(I373)&lt;=90,ABS(J373)&lt;=180),1,0)</x:f>
        <x:v>1</x:v>
      </x:c>
    </x:row>
    <x:row r="374" ht="23" customHeight="1">
      <x:c r="A374" s="45" t="str">
        <x:v>Centro Centro</x:v>
      </x:c>
      <x:c r="B374" s="45" t="str">
        <x:v>Vacante</x:v>
      </x:c>
      <x:c r="C374" s="50" t="str">
        <x:v>38203</x:v>
      </x:c>
      <x:c r="D374" s="45" t="str">
        <x:v>Embassy Suites</x:v>
      </x:c>
      <x:c r="E374" s="45" t="str">
        <x:v>Abierta</x:v>
      </x:c>
      <x:c r="F374" s="51" t="d">
        <x:v>2006-11-07T00:00:00.000Z</x:v>
      </x:c>
      <x:c r="G374" s="45" t="str">
        <x:v>Cuauhtémoc</x:v>
      </x:c>
      <x:c r="H374" s="45" t="str">
        <x:v>Ciudad De México</x:v>
      </x:c>
      <x:c r="I374" s="52" t="n">
        <x:v>19.4337094</x:v>
      </x:c>
      <x:c r="J374" s="52" t="n">
        <x:v>-99.154458</x:v>
      </x:c>
      <x:c r="K374" s="45" t="str">
        <x:v>Cafe</x:v>
      </x:c>
      <x:c r="L374" s="45" t="str">
        <x:v>Retail</x:v>
      </x:c>
      <x:c r="M374" s="45" t="str">
        <x:v>C2</x:v>
      </x:c>
      <x:c r="N374" s="45" t="str">
        <x:v>Sí</x:v>
      </x:c>
      <x:c r="O374" s="45" t="str">
        <x:v>Vacante</x:v>
      </x:c>
      <x:c r="P374" s="45" t="str">
        <x:v>Ops y Directorio Alsea · octubre 2026</x:v>
      </x:c>
      <x:c r="Q374" s="45" t="str">
        <x:v>Puntos proporcionados</x:v>
      </x:c>
      <x:c r="R374" s="45" t="str">
        <x:v>Abierta</x:v>
      </x:c>
      <x:c r="S374" s="45" t="str"/>
      <x:c r="T374" s="45" t="n">
        <x:f>IF(AND(E374="Abierta",N374="Sí",ISNUMBER(I374),ISNUMBER(J374),ABS(I374)&lt;=90,ABS(J374)&lt;=180),1,0)</x:f>
        <x:v>1</x:v>
      </x:c>
    </x:row>
    <x:row r="375" ht="23" customHeight="1">
      <x:c r="A375" s="45" t="str">
        <x:v>Centro Centro</x:v>
      </x:c>
      <x:c r="B375" s="45" t="str">
        <x:v>Vacante</x:v>
      </x:c>
      <x:c r="C375" s="50" t="str">
        <x:v>38234</x:v>
      </x:c>
      <x:c r="D375" s="45" t="str">
        <x:v>Fiesta Americana Reforma</x:v>
      </x:c>
      <x:c r="E375" s="45" t="str">
        <x:v>Abierta</x:v>
      </x:c>
      <x:c r="F375" s="51" t="d">
        <x:v>2007-06-11T00:00:00.000Z</x:v>
      </x:c>
      <x:c r="G375" s="45" t="str">
        <x:v>Cuauhtémoc</x:v>
      </x:c>
      <x:c r="H375" s="45" t="str">
        <x:v>Ciudad De México</x:v>
      </x:c>
      <x:c r="I375" s="52" t="n">
        <x:v>19.432767</x:v>
      </x:c>
      <x:c r="J375" s="52" t="n">
        <x:v>-99.154919</x:v>
      </x:c>
      <x:c r="K375" s="45" t="str">
        <x:v>Cafe</x:v>
      </x:c>
      <x:c r="L375" s="45" t="str">
        <x:v>Retail</x:v>
      </x:c>
      <x:c r="M375" s="45" t="str">
        <x:v>C2</x:v>
      </x:c>
      <x:c r="N375" s="45" t="str">
        <x:v>Sí</x:v>
      </x:c>
      <x:c r="O375" s="45" t="str">
        <x:v>Vacante</x:v>
      </x:c>
      <x:c r="P375" s="45" t="str">
        <x:v>Ops y Directorio Alsea · octubre 2026</x:v>
      </x:c>
      <x:c r="Q375" s="45" t="str">
        <x:v>Puntos proporcionados</x:v>
      </x:c>
      <x:c r="R375" s="45" t="str">
        <x:v>Abierta</x:v>
      </x:c>
      <x:c r="S375" s="45" t="str"/>
      <x:c r="T375" s="45" t="n">
        <x:f>IF(AND(E375="Abierta",N375="Sí",ISNUMBER(I375),ISNUMBER(J375),ABS(I375)&lt;=90,ABS(J375)&lt;=180),1,0)</x:f>
        <x:v>1</x:v>
      </x:c>
    </x:row>
    <x:row r="376" ht="23" customHeight="1">
      <x:c r="A376" s="45" t="str">
        <x:v>Centro Centro</x:v>
      </x:c>
      <x:c r="B376" s="45" t="str">
        <x:v>Vacante</x:v>
      </x:c>
      <x:c r="C376" s="50" t="str">
        <x:v>38376</x:v>
      </x:c>
      <x:c r="D376" s="45" t="str">
        <x:v>Torre Caballito</x:v>
      </x:c>
      <x:c r="E376" s="45" t="str">
        <x:v>Abierta</x:v>
      </x:c>
      <x:c r="F376" s="51" t="d">
        <x:v>2010-04-05T00:00:00.000Z</x:v>
      </x:c>
      <x:c r="G376" s="45" t="str">
        <x:v>Cuauhtémoc</x:v>
      </x:c>
      <x:c r="H376" s="45" t="str">
        <x:v>Ciudad De México</x:v>
      </x:c>
      <x:c r="I376" s="52" t="n">
        <x:v>19.4362</x:v>
      </x:c>
      <x:c r="J376" s="52" t="n">
        <x:v>-99.148977</x:v>
      </x:c>
      <x:c r="K376" s="45" t="str">
        <x:v>Cafe</x:v>
      </x:c>
      <x:c r="L376" s="45" t="str">
        <x:v>Office_Complex</x:v>
      </x:c>
      <x:c r="M376" s="45" t="str">
        <x:v>C1</x:v>
      </x:c>
      <x:c r="N376" s="45" t="str">
        <x:v>Sí</x:v>
      </x:c>
      <x:c r="O376" s="45" t="str">
        <x:v>Vacante</x:v>
      </x:c>
      <x:c r="P376" s="45" t="str">
        <x:v>Ops y Directorio Alsea · octubre 2026</x:v>
      </x:c>
      <x:c r="Q376" s="45" t="str">
        <x:v>Puntos proporcionados</x:v>
      </x:c>
      <x:c r="R376" s="45" t="str">
        <x:v>Abierta</x:v>
      </x:c>
      <x:c r="S376" s="45" t="str"/>
      <x:c r="T376" s="45" t="n">
        <x:f>IF(AND(E376="Abierta",N376="Sí",ISNUMBER(I376),ISNUMBER(J376),ABS(I376)&lt;=90,ABS(J376)&lt;=180),1,0)</x:f>
        <x:v>1</x:v>
      </x:c>
    </x:row>
    <x:row r="377" ht="23" customHeight="1">
      <x:c r="A377" s="45" t="str">
        <x:v>Centro Centro</x:v>
      </x:c>
      <x:c r="B377" s="45" t="str">
        <x:v>Vacante</x:v>
      </x:c>
      <x:c r="C377" s="50" t="str">
        <x:v>38463</x:v>
      </x:c>
      <x:c r="D377" s="45" t="str">
        <x:v>Uruguay</x:v>
      </x:c>
      <x:c r="E377" s="45" t="str">
        <x:v>Abierta</x:v>
      </x:c>
      <x:c r="F377" s="51" t="d">
        <x:v>2012-09-21T00:00:00.000Z</x:v>
      </x:c>
      <x:c r="G377" s="45" t="str">
        <x:v>Cuauhtémoc</x:v>
      </x:c>
      <x:c r="H377" s="45" t="str">
        <x:v>Ciudad De México</x:v>
      </x:c>
      <x:c r="I377" s="52" t="n">
        <x:v>19.430575</x:v>
      </x:c>
      <x:c r="J377" s="52" t="n">
        <x:v>-99.137206</x:v>
      </x:c>
      <x:c r="K377" s="45" t="str">
        <x:v>Cafe</x:v>
      </x:c>
      <x:c r="L377" s="45" t="str">
        <x:v>Retail</x:v>
      </x:c>
      <x:c r="M377" s="45" t="str">
        <x:v>C1</x:v>
      </x:c>
      <x:c r="N377" s="45" t="str">
        <x:v>Sí</x:v>
      </x:c>
      <x:c r="O377" s="45" t="str">
        <x:v>Vacante</x:v>
      </x:c>
      <x:c r="P377" s="45" t="str">
        <x:v>Ops y Directorio Alsea · octubre 2026</x:v>
      </x:c>
      <x:c r="Q377" s="45" t="str">
        <x:v>Puntos proporcionados</x:v>
      </x:c>
      <x:c r="R377" s="45" t="str">
        <x:v>Abierta</x:v>
      </x:c>
      <x:c r="S377" s="45" t="str"/>
      <x:c r="T377" s="45" t="n">
        <x:f>IF(AND(E377="Abierta",N377="Sí",ISNUMBER(I377),ISNUMBER(J377),ABS(I377)&lt;=90,ABS(J377)&lt;=180),1,0)</x:f>
        <x:v>1</x:v>
      </x:c>
    </x:row>
    <x:row r="378" ht="23" customHeight="1">
      <x:c r="A378" s="45" t="str">
        <x:v>Centro Centro</x:v>
      </x:c>
      <x:c r="B378" s="45" t="str">
        <x:v>Vacante</x:v>
      </x:c>
      <x:c r="C378" s="50" t="str">
        <x:v>38465</x:v>
      </x:c>
      <x:c r="D378" s="45" t="str">
        <x:v>Juarez 32</x:v>
      </x:c>
      <x:c r="E378" s="45" t="str">
        <x:v>Abierta</x:v>
      </x:c>
      <x:c r="F378" s="51" t="d">
        <x:v>2012-09-28T00:00:00.000Z</x:v>
      </x:c>
      <x:c r="G378" s="45" t="str">
        <x:v>Cuauhtémoc</x:v>
      </x:c>
      <x:c r="H378" s="45" t="str">
        <x:v>Ciudad De México</x:v>
      </x:c>
      <x:c r="I378" s="52" t="n">
        <x:v>19.43456</x:v>
      </x:c>
      <x:c r="J378" s="52" t="n">
        <x:v>-99.143191</x:v>
      </x:c>
      <x:c r="K378" s="45" t="str">
        <x:v>Cafe</x:v>
      </x:c>
      <x:c r="L378" s="45" t="str">
        <x:v>Retail</x:v>
      </x:c>
      <x:c r="M378" s="45" t="str">
        <x:v>C2</x:v>
      </x:c>
      <x:c r="N378" s="45" t="str">
        <x:v>Sí</x:v>
      </x:c>
      <x:c r="O378" s="45" t="str">
        <x:v>Vacante</x:v>
      </x:c>
      <x:c r="P378" s="45" t="str">
        <x:v>Ops y Directorio Alsea · octubre 2026</x:v>
      </x:c>
      <x:c r="Q378" s="45" t="str">
        <x:v>Puntos proporcionados</x:v>
      </x:c>
      <x:c r="R378" s="45" t="str">
        <x:v>Abierta</x:v>
      </x:c>
      <x:c r="S378" s="45" t="str"/>
      <x:c r="T378" s="45" t="n">
        <x:f>IF(AND(E378="Abierta",N378="Sí",ISNUMBER(I378),ISNUMBER(J378),ABS(I378)&lt;=90,ABS(J378)&lt;=180),1,0)</x:f>
        <x:v>1</x:v>
      </x:c>
    </x:row>
    <x:row r="379" ht="23" customHeight="1">
      <x:c r="A379" s="45" t="str">
        <x:v>Centro Centro</x:v>
      </x:c>
      <x:c r="B379" s="45" t="str">
        <x:v>Vacante</x:v>
      </x:c>
      <x:c r="C379" s="50" t="str">
        <x:v>38487</x:v>
      </x:c>
      <x:c r="D379" s="45" t="str">
        <x:v>Madero</x:v>
      </x:c>
      <x:c r="E379" s="45" t="str">
        <x:v>Abierta</x:v>
      </x:c>
      <x:c r="F379" s="51" t="d">
        <x:v>2013-03-31T00:00:00.000Z</x:v>
      </x:c>
      <x:c r="G379" s="45" t="str">
        <x:v>Cuauhtémoc</x:v>
      </x:c>
      <x:c r="H379" s="45" t="str">
        <x:v>Ciudad De México</x:v>
      </x:c>
      <x:c r="I379" s="52" t="n">
        <x:v>19.4338083</x:v>
      </x:c>
      <x:c r="J379" s="52" t="n">
        <x:v>-99.1368482</x:v>
      </x:c>
      <x:c r="K379" s="45" t="str">
        <x:v>Cafe</x:v>
      </x:c>
      <x:c r="L379" s="45" t="str">
        <x:v>Retail</x:v>
      </x:c>
      <x:c r="M379" s="45" t="str">
        <x:v>C2</x:v>
      </x:c>
      <x:c r="N379" s="45" t="str">
        <x:v>Sí</x:v>
      </x:c>
      <x:c r="O379" s="45" t="str">
        <x:v>Vacante</x:v>
      </x:c>
      <x:c r="P379" s="45" t="str">
        <x:v>Ops y Directorio Alsea · octubre 2026</x:v>
      </x:c>
      <x:c r="Q379" s="45" t="str">
        <x:v>Puntos proporcionados</x:v>
      </x:c>
      <x:c r="R379" s="45" t="str">
        <x:v>Abierta</x:v>
      </x:c>
      <x:c r="S379" s="45" t="str"/>
      <x:c r="T379" s="45" t="n">
        <x:f>IF(AND(E379="Abierta",N379="Sí",ISNUMBER(I379),ISNUMBER(J379),ABS(I379)&lt;=90,ABS(J379)&lt;=180),1,0)</x:f>
        <x:v>1</x:v>
      </x:c>
    </x:row>
    <x:row r="380" ht="23" customHeight="1">
      <x:c r="A380" s="45" t="str">
        <x:v>Centro Centro</x:v>
      </x:c>
      <x:c r="B380" s="45" t="str">
        <x:v>Vacante</x:v>
      </x:c>
      <x:c r="C380" s="50" t="str">
        <x:v>38497</x:v>
      </x:c>
      <x:c r="D380" s="45" t="str">
        <x:v>5 de Mayo</x:v>
      </x:c>
      <x:c r="E380" s="45" t="str">
        <x:v>Abierta</x:v>
      </x:c>
      <x:c r="F380" s="51" t="d">
        <x:v>2013-08-02T00:00:00.000Z</x:v>
      </x:c>
      <x:c r="G380" s="45" t="str">
        <x:v>Cuauhtémoc</x:v>
      </x:c>
      <x:c r="H380" s="45" t="str">
        <x:v>Ciudad De México</x:v>
      </x:c>
      <x:c r="I380" s="52" t="n">
        <x:v>19.4344843</x:v>
      </x:c>
      <x:c r="J380" s="52" t="n">
        <x:v>-99.1388776</x:v>
      </x:c>
      <x:c r="K380" s="45" t="str">
        <x:v>Cafe</x:v>
      </x:c>
      <x:c r="L380" s="45" t="str">
        <x:v>Retail</x:v>
      </x:c>
      <x:c r="M380" s="45" t="str">
        <x:v>C1</x:v>
      </x:c>
      <x:c r="N380" s="45" t="str">
        <x:v>Sí</x:v>
      </x:c>
      <x:c r="O380" s="45" t="str">
        <x:v>Vacante</x:v>
      </x:c>
      <x:c r="P380" s="45" t="str">
        <x:v>Ops y Directorio Alsea · octubre 2026</x:v>
      </x:c>
      <x:c r="Q380" s="45" t="str">
        <x:v>Puntos proporcionados</x:v>
      </x:c>
      <x:c r="R380" s="45" t="str">
        <x:v>Abierta</x:v>
      </x:c>
      <x:c r="S380" s="45" t="str"/>
      <x:c r="T380" s="45" t="n">
        <x:f>IF(AND(E380="Abierta",N380="Sí",ISNUMBER(I380),ISNUMBER(J380),ABS(I380)&lt;=90,ABS(J380)&lt;=180),1,0)</x:f>
        <x:v>1</x:v>
      </x:c>
    </x:row>
    <x:row r="381" ht="23" customHeight="1">
      <x:c r="A381" s="45" t="str">
        <x:v>Centro Centro</x:v>
      </x:c>
      <x:c r="B381" s="45" t="str">
        <x:v>Vacante</x:v>
      </x:c>
      <x:c r="C381" s="50" t="str">
        <x:v>38762</x:v>
      </x:c>
      <x:c r="D381" s="45" t="str">
        <x:v>Patio Boturini</x:v>
      </x:c>
      <x:c r="E381" s="45" t="str">
        <x:v>Abierta</x:v>
      </x:c>
      <x:c r="F381" s="51" t="d">
        <x:v>2017-11-27T00:00:00.000Z</x:v>
      </x:c>
      <x:c r="G381" s="45" t="str">
        <x:v>Cuauhtémoc</x:v>
      </x:c>
      <x:c r="H381" s="45" t="str">
        <x:v>Ciudad De México</x:v>
      </x:c>
      <x:c r="I381" s="52" t="n">
        <x:v>19.419403</x:v>
      </x:c>
      <x:c r="J381" s="52" t="n">
        <x:v>-99.129884</x:v>
      </x:c>
      <x:c r="K381" s="45" t="str">
        <x:v>Cafe</x:v>
      </x:c>
      <x:c r="L381" s="45" t="str">
        <x:v>Retail</x:v>
      </x:c>
      <x:c r="M381" s="45" t="str">
        <x:v>C1</x:v>
      </x:c>
      <x:c r="N381" s="45" t="str">
        <x:v>Sí</x:v>
      </x:c>
      <x:c r="O381" s="45" t="str">
        <x:v>Vacante</x:v>
      </x:c>
      <x:c r="P381" s="45" t="str">
        <x:v>Ops y Directorio Alsea · octubre 2026</x:v>
      </x:c>
      <x:c r="Q381" s="45" t="str">
        <x:v>Puntos proporcionados</x:v>
      </x:c>
      <x:c r="R381" s="45" t="str">
        <x:v>Abierta</x:v>
      </x:c>
      <x:c r="S381" s="45" t="str"/>
      <x:c r="T381" s="45" t="n">
        <x:f>IF(AND(E381="Abierta",N381="Sí",ISNUMBER(I381),ISNUMBER(J381),ABS(I381)&lt;=90,ABS(J381)&lt;=180),1,0)</x:f>
        <x:v>1</x:v>
      </x:c>
    </x:row>
    <x:row r="382" ht="23" customHeight="1">
      <x:c r="A382" s="45" t="str">
        <x:v>Centro Centro</x:v>
      </x:c>
      <x:c r="B382" s="45" t="str">
        <x:v>Vacante</x:v>
      </x:c>
      <x:c r="C382" s="50" t="str">
        <x:v>38785</x:v>
      </x:c>
      <x:c r="D382" s="45" t="str">
        <x:v>Versalles</x:v>
      </x:c>
      <x:c r="E382" s="45" t="str">
        <x:v>Abierta</x:v>
      </x:c>
      <x:c r="F382" s="51" t="d">
        <x:v>2018-01-29T00:00:00.000Z</x:v>
      </x:c>
      <x:c r="G382" s="45" t="str">
        <x:v>Cuauhtémoc</x:v>
      </x:c>
      <x:c r="H382" s="45" t="str">
        <x:v>Ciudad De México</x:v>
      </x:c>
      <x:c r="I382" s="52" t="n">
        <x:v>19.4302436</x:v>
      </x:c>
      <x:c r="J382" s="52" t="n">
        <x:v>-99.1545802</x:v>
      </x:c>
      <x:c r="K382" s="45" t="str">
        <x:v>Cafe</x:v>
      </x:c>
      <x:c r="L382" s="45" t="str">
        <x:v>Retail</x:v>
      </x:c>
      <x:c r="M382" s="45" t="str">
        <x:v>C1</x:v>
      </x:c>
      <x:c r="N382" s="45" t="str">
        <x:v>Sí</x:v>
      </x:c>
      <x:c r="O382" s="45" t="str">
        <x:v>Vacante</x:v>
      </x:c>
      <x:c r="P382" s="45" t="str">
        <x:v>Ops y Directorio Alsea · octubre 2026</x:v>
      </x:c>
      <x:c r="Q382" s="45" t="str">
        <x:v>Puntos proporcionados</x:v>
      </x:c>
      <x:c r="R382" s="45" t="str">
        <x:v>Abierta</x:v>
      </x:c>
      <x:c r="S382" s="45" t="str"/>
      <x:c r="T382" s="45" t="n">
        <x:f>IF(AND(E382="Abierta",N382="Sí",ISNUMBER(I382),ISNUMBER(J382),ABS(I382)&lt;=90,ABS(J382)&lt;=180),1,0)</x:f>
        <x:v>1</x:v>
      </x:c>
    </x:row>
    <x:row r="383" ht="23" customHeight="1">
      <x:c r="A383" s="45" t="str">
        <x:v>Centro Centro</x:v>
      </x:c>
      <x:c r="B383" s="45" t="str">
        <x:v>Vacante</x:v>
      </x:c>
      <x:c r="C383" s="50" t="str">
        <x:v>43123</x:v>
      </x:c>
      <x:c r="D383" s="45" t="str">
        <x:v>Plaza Tlatelolco</x:v>
      </x:c>
      <x:c r="E383" s="45" t="str">
        <x:v>Abierta</x:v>
      </x:c>
      <x:c r="F383" s="51" t="d">
        <x:v>2025-03-07T00:00:00.000Z</x:v>
      </x:c>
      <x:c r="G383" s="45" t="str">
        <x:v>Cuauhtémoc</x:v>
      </x:c>
      <x:c r="H383" s="45" t="str">
        <x:v>Ciudad De México</x:v>
      </x:c>
      <x:c r="I383" s="52" t="n">
        <x:v>19.4507979</x:v>
      </x:c>
      <x:c r="J383" s="52" t="n">
        <x:v>-99.1407406</x:v>
      </x:c>
      <x:c r="K383" s="45" t="str">
        <x:v>Cafe</x:v>
      </x:c>
      <x:c r="L383" s="45" t="str">
        <x:v>Retail</x:v>
      </x:c>
      <x:c r="M383" s="45" t="str">
        <x:v>C1</x:v>
      </x:c>
      <x:c r="N383" s="45" t="str">
        <x:v>Sí</x:v>
      </x:c>
      <x:c r="O383" s="45" t="str">
        <x:v>Vacante</x:v>
      </x:c>
      <x:c r="P383" s="45" t="str">
        <x:v>Ops y Directorio Alsea · octubre 2026</x:v>
      </x:c>
      <x:c r="Q383" s="45" t="str">
        <x:v>Puntos proporcionados</x:v>
      </x:c>
      <x:c r="R383" s="45" t="str">
        <x:v>Abierta</x:v>
      </x:c>
      <x:c r="S383" s="45" t="str"/>
      <x:c r="T383" s="45" t="n">
        <x:f>IF(AND(E383="Abierta",N383="Sí",ISNUMBER(I383),ISNUMBER(J383),ABS(I383)&lt;=90,ABS(J383)&lt;=180),1,0)</x:f>
        <x:v>1</x:v>
      </x:c>
    </x:row>
    <x:row r="384" ht="23" customHeight="1">
      <x:c r="A384" s="45" t="str">
        <x:v>Bajío</x:v>
      </x:c>
      <x:c r="B384" s="45" t="str">
        <x:v>Christian Medina Capetillo</x:v>
      </x:c>
      <x:c r="C384" s="50" t="str">
        <x:v>38262</x:v>
      </x:c>
      <x:c r="D384" s="45" t="str">
        <x:v>Centro Max</x:v>
      </x:c>
      <x:c r="E384" s="45" t="str">
        <x:v>Abierta</x:v>
      </x:c>
      <x:c r="F384" s="51" t="d">
        <x:v>2007-10-20T00:00:00.000Z</x:v>
      </x:c>
      <x:c r="G384" s="45" t="str">
        <x:v>León</x:v>
      </x:c>
      <x:c r="H384" s="45" t="str">
        <x:v>Guanajuato</x:v>
      </x:c>
      <x:c r="I384" s="52" t="n">
        <x:v>21.1004922</x:v>
      </x:c>
      <x:c r="J384" s="52" t="n">
        <x:v>-101.6343017</x:v>
      </x:c>
      <x:c r="K384" s="45" t="str">
        <x:v>Cafe</x:v>
      </x:c>
      <x:c r="L384" s="45" t="str">
        <x:v>Retail</x:v>
      </x:c>
      <x:c r="M384" s="45" t="str">
        <x:v>C2</x:v>
      </x:c>
      <x:c r="N384" s="45" t="str">
        <x:v>Sí</x:v>
      </x:c>
      <x:c r="O384" s="45" t="str">
        <x:v>Christian Medina Capetillo</x:v>
      </x:c>
      <x:c r="P384" s="45" t="str">
        <x:v>Ops y Directorio Alsea · octubre 2026</x:v>
      </x:c>
      <x:c r="Q384" s="45" t="str">
        <x:v>Puntos proporcionados</x:v>
      </x:c>
      <x:c r="R384" s="45" t="str">
        <x:v>Abierta</x:v>
      </x:c>
      <x:c r="S384" s="45" t="str"/>
      <x:c r="T384" s="45" t="n">
        <x:f>IF(AND(E384="Abierta",N384="Sí",ISNUMBER(I384),ISNUMBER(J384),ABS(I384)&lt;=90,ABS(J384)&lt;=180),1,0)</x:f>
        <x:v>1</x:v>
      </x:c>
    </x:row>
    <x:row r="385" ht="23" customHeight="1">
      <x:c r="A385" s="45" t="str">
        <x:v>Bajío</x:v>
      </x:c>
      <x:c r="B385" s="45" t="str">
        <x:v>Christian Medina Capetillo</x:v>
      </x:c>
      <x:c r="C385" s="50" t="str">
        <x:v>38355</x:v>
      </x:c>
      <x:c r="D385" s="45" t="str">
        <x:v>Centro Guanajuato</x:v>
      </x:c>
      <x:c r="E385" s="45" t="str">
        <x:v>Abierta</x:v>
      </x:c>
      <x:c r="F385" s="51" t="d">
        <x:v>2008-12-12T00:00:00.000Z</x:v>
      </x:c>
      <x:c r="G385" s="45" t="str">
        <x:v>Guanajuato</x:v>
      </x:c>
      <x:c r="H385" s="45" t="str">
        <x:v>Guanajuato</x:v>
      </x:c>
      <x:c r="I385" s="52" t="n">
        <x:v>21.015798</x:v>
      </x:c>
      <x:c r="J385" s="52" t="n">
        <x:v>-101.2526999</x:v>
      </x:c>
      <x:c r="K385" s="45" t="str">
        <x:v>Cafe</x:v>
      </x:c>
      <x:c r="L385" s="45" t="str">
        <x:v>Tourism_and_Entertainment</x:v>
      </x:c>
      <x:c r="M385" s="45" t="str">
        <x:v>C3</x:v>
      </x:c>
      <x:c r="N385" s="45" t="str">
        <x:v>Sí</x:v>
      </x:c>
      <x:c r="O385" s="45" t="str">
        <x:v>Christian Medina Capetillo</x:v>
      </x:c>
      <x:c r="P385" s="45" t="str">
        <x:v>Ops y Directorio Alsea · octubre 2026</x:v>
      </x:c>
      <x:c r="Q385" s="45" t="str">
        <x:v>Puntos proporcionados</x:v>
      </x:c>
      <x:c r="R385" s="45" t="str">
        <x:v>Abierta</x:v>
      </x:c>
      <x:c r="S385" s="45" t="str"/>
      <x:c r="T385" s="45" t="n">
        <x:f>IF(AND(E385="Abierta",N385="Sí",ISNUMBER(I385),ISNUMBER(J385),ABS(I385)&lt;=90,ABS(J385)&lt;=180),1,0)</x:f>
        <x:v>1</x:v>
      </x:c>
    </x:row>
    <x:row r="386" ht="23" customHeight="1">
      <x:c r="A386" s="45" t="str">
        <x:v>Bajío</x:v>
      </x:c>
      <x:c r="B386" s="45" t="str">
        <x:v>Christian Medina Capetillo</x:v>
      </x:c>
      <x:c r="C386" s="50" t="str">
        <x:v>38392</x:v>
      </x:c>
      <x:c r="D386" s="45" t="str">
        <x:v>Mariano Escobedo</x:v>
      </x:c>
      <x:c r="E386" s="45" t="str">
        <x:v>Abierta</x:v>
      </x:c>
      <x:c r="F386" s="51" t="d">
        <x:v>2010-11-11T00:00:00.000Z</x:v>
      </x:c>
      <x:c r="G386" s="45" t="str">
        <x:v>León</x:v>
      </x:c>
      <x:c r="H386" s="45" t="str">
        <x:v>Guanajuato</x:v>
      </x:c>
      <x:c r="I386" s="52" t="n">
        <x:v>21.1084731</x:v>
      </x:c>
      <x:c r="J386" s="52" t="n">
        <x:v>-101.6650176</x:v>
      </x:c>
      <x:c r="K386" s="45" t="str">
        <x:v>Cafe</x:v>
      </x:c>
      <x:c r="L386" s="45" t="str">
        <x:v>Neighborhood</x:v>
      </x:c>
      <x:c r="M386" s="45" t="str">
        <x:v>C2</x:v>
      </x:c>
      <x:c r="N386" s="45" t="str">
        <x:v>Sí</x:v>
      </x:c>
      <x:c r="O386" s="45" t="str">
        <x:v>Christian Medina Capetillo</x:v>
      </x:c>
      <x:c r="P386" s="45" t="str">
        <x:v>Ops y Directorio Alsea · octubre 2026</x:v>
      </x:c>
      <x:c r="Q386" s="45" t="str">
        <x:v>Puntos proporcionados</x:v>
      </x:c>
      <x:c r="R386" s="45" t="str">
        <x:v>Abierta</x:v>
      </x:c>
      <x:c r="S386" s="45" t="str"/>
      <x:c r="T386" s="45" t="n">
        <x:f>IF(AND(E386="Abierta",N386="Sí",ISNUMBER(I386),ISNUMBER(J386),ABS(I386)&lt;=90,ABS(J386)&lt;=180),1,0)</x:f>
        <x:v>1</x:v>
      </x:c>
    </x:row>
    <x:row r="387" ht="23" customHeight="1">
      <x:c r="A387" s="45" t="str">
        <x:v>Bajío</x:v>
      </x:c>
      <x:c r="B387" s="45" t="str">
        <x:v>Christian Medina Capetillo</x:v>
      </x:c>
      <x:c r="C387" s="50" t="str">
        <x:v>38473</x:v>
      </x:c>
      <x:c r="D387" s="45" t="str">
        <x:v>Outlet Leon</x:v>
      </x:c>
      <x:c r="E387" s="45" t="str">
        <x:v>Abierta</x:v>
      </x:c>
      <x:c r="F387" s="51" t="d">
        <x:v>2010-12-05T00:00:00.000Z</x:v>
      </x:c>
      <x:c r="G387" s="45" t="str">
        <x:v>León</x:v>
      </x:c>
      <x:c r="H387" s="45" t="str">
        <x:v>Guanajuato</x:v>
      </x:c>
      <x:c r="I387" s="52" t="n">
        <x:v>21.0857674</x:v>
      </x:c>
      <x:c r="J387" s="52" t="n">
        <x:v>-101.6146339</x:v>
      </x:c>
      <x:c r="K387" s="45" t="str">
        <x:v>Cafe</x:v>
      </x:c>
      <x:c r="L387" s="45" t="str">
        <x:v>Retail</x:v>
      </x:c>
      <x:c r="M387" s="45" t="str">
        <x:v>C2</x:v>
      </x:c>
      <x:c r="N387" s="45" t="str">
        <x:v>Sí</x:v>
      </x:c>
      <x:c r="O387" s="45" t="str">
        <x:v>Christian Medina Capetillo</x:v>
      </x:c>
      <x:c r="P387" s="45" t="str">
        <x:v>Ops y Directorio Alsea · octubre 2026</x:v>
      </x:c>
      <x:c r="Q387" s="45" t="str">
        <x:v>Puntos proporcionados</x:v>
      </x:c>
      <x:c r="R387" s="45" t="str">
        <x:v>Abierta</x:v>
      </x:c>
      <x:c r="S387" s="45" t="str"/>
      <x:c r="T387" s="45" t="n">
        <x:f>IF(AND(E387="Abierta",N387="Sí",ISNUMBER(I387),ISNUMBER(J387),ABS(I387)&lt;=90,ABS(J387)&lt;=180),1,0)</x:f>
        <x:v>1</x:v>
      </x:c>
    </x:row>
    <x:row r="388" ht="23" customHeight="1">
      <x:c r="A388" s="45" t="str">
        <x:v>Bajío</x:v>
      </x:c>
      <x:c r="B388" s="45" t="str">
        <x:v>Christian Medina Capetillo</x:v>
      </x:c>
      <x:c r="C388" s="50" t="str">
        <x:v>38506</x:v>
      </x:c>
      <x:c r="D388" s="45" t="str">
        <x:v>Altacia</x:v>
      </x:c>
      <x:c r="E388" s="45" t="str">
        <x:v>Abierta</x:v>
      </x:c>
      <x:c r="F388" s="51" t="d">
        <x:v>2013-09-19T00:00:00.000Z</x:v>
      </x:c>
      <x:c r="G388" s="45" t="str">
        <x:v>León</x:v>
      </x:c>
      <x:c r="H388" s="45" t="str">
        <x:v>Guanajuato</x:v>
      </x:c>
      <x:c r="I388" s="52" t="n">
        <x:v>21.092848</x:v>
      </x:c>
      <x:c r="J388" s="52" t="n">
        <x:v>-101.62646</x:v>
      </x:c>
      <x:c r="K388" s="45" t="str">
        <x:v>Cafe</x:v>
      </x:c>
      <x:c r="L388" s="45" t="str">
        <x:v>Retail</x:v>
      </x:c>
      <x:c r="M388" s="45" t="str">
        <x:v>C2</x:v>
      </x:c>
      <x:c r="N388" s="45" t="str">
        <x:v>Sí</x:v>
      </x:c>
      <x:c r="O388" s="45" t="str">
        <x:v>Christian Medina Capetillo</x:v>
      </x:c>
      <x:c r="P388" s="45" t="str">
        <x:v>Ops y Directorio Alsea · octubre 2026</x:v>
      </x:c>
      <x:c r="Q388" s="45" t="str">
        <x:v>Puntos proporcionados</x:v>
      </x:c>
      <x:c r="R388" s="45" t="str">
        <x:v>Abierta</x:v>
      </x:c>
      <x:c r="S388" s="45" t="str"/>
      <x:c r="T388" s="45" t="n">
        <x:f>IF(AND(E388="Abierta",N388="Sí",ISNUMBER(I388),ISNUMBER(J388),ABS(I388)&lt;=90,ABS(J388)&lt;=180),1,0)</x:f>
        <x:v>1</x:v>
      </x:c>
    </x:row>
    <x:row r="389" ht="23" customHeight="1">
      <x:c r="A389" s="45" t="str">
        <x:v>Bajío</x:v>
      </x:c>
      <x:c r="B389" s="45" t="str">
        <x:v>Christian Medina Capetillo</x:v>
      </x:c>
      <x:c r="C389" s="50" t="str">
        <x:v>38563</x:v>
      </x:c>
      <x:c r="D389" s="45" t="str">
        <x:v>One Silao</x:v>
      </x:c>
      <x:c r="E389" s="45" t="str">
        <x:v>Abierta</x:v>
      </x:c>
      <x:c r="F389" s="51" t="d">
        <x:v>2014-12-12T00:00:00.000Z</x:v>
      </x:c>
      <x:c r="G389" s="45" t="str">
        <x:v>Silao</x:v>
      </x:c>
      <x:c r="H389" s="45" t="str">
        <x:v>Guanajuato</x:v>
      </x:c>
      <x:c r="I389" s="52" t="n">
        <x:v>20.9653242</x:v>
      </x:c>
      <x:c r="J389" s="52" t="n">
        <x:v>-101.456396</x:v>
      </x:c>
      <x:c r="K389" s="45" t="str">
        <x:v>Drive_Thru</x:v>
      </x:c>
      <x:c r="L389" s="45" t="str">
        <x:v>Transfers</x:v>
      </x:c>
      <x:c r="M389" s="45" t="str">
        <x:v>C3</x:v>
      </x:c>
      <x:c r="N389" s="45" t="str">
        <x:v>Sí</x:v>
      </x:c>
      <x:c r="O389" s="45" t="str">
        <x:v>Christian Medina Capetillo</x:v>
      </x:c>
      <x:c r="P389" s="45" t="str">
        <x:v>Ops y Directorio Alsea · octubre 2026</x:v>
      </x:c>
      <x:c r="Q389" s="45" t="str">
        <x:v>Puntos proporcionados</x:v>
      </x:c>
      <x:c r="R389" s="45" t="str">
        <x:v>Abierta</x:v>
      </x:c>
      <x:c r="S389" s="45" t="str"/>
      <x:c r="T389" s="45" t="n">
        <x:f>IF(AND(E389="Abierta",N389="Sí",ISNUMBER(I389),ISNUMBER(J389),ABS(I389)&lt;=90,ABS(J389)&lt;=180),1,0)</x:f>
        <x:v>1</x:v>
      </x:c>
    </x:row>
    <x:row r="390" ht="23" customHeight="1">
      <x:c r="A390" s="45" t="str">
        <x:v>Bajío</x:v>
      </x:c>
      <x:c r="B390" s="45" t="str">
        <x:v>Christian Medina Capetillo</x:v>
      </x:c>
      <x:c r="C390" s="50" t="str">
        <x:v>38630</x:v>
      </x:c>
      <x:c r="D390" s="45" t="str">
        <x:v>Galerias las Torres Leon</x:v>
      </x:c>
      <x:c r="E390" s="45" t="str">
        <x:v>Abierta</x:v>
      </x:c>
      <x:c r="F390" s="51" t="d">
        <x:v>2015-12-18T00:00:00.000Z</x:v>
      </x:c>
      <x:c r="G390" s="45" t="str">
        <x:v>León</x:v>
      </x:c>
      <x:c r="H390" s="45" t="str">
        <x:v>Guanajuato</x:v>
      </x:c>
      <x:c r="I390" s="52" t="n">
        <x:v>21.1478945</x:v>
      </x:c>
      <x:c r="J390" s="52" t="n">
        <x:v>-101.6478882</x:v>
      </x:c>
      <x:c r="K390" s="45" t="str">
        <x:v>Cafe</x:v>
      </x:c>
      <x:c r="L390" s="45" t="str">
        <x:v>Retail</x:v>
      </x:c>
      <x:c r="M390" s="45" t="str">
        <x:v>C2</x:v>
      </x:c>
      <x:c r="N390" s="45" t="str">
        <x:v>Sí</x:v>
      </x:c>
      <x:c r="O390" s="45" t="str">
        <x:v>Christian Medina Capetillo</x:v>
      </x:c>
      <x:c r="P390" s="45" t="str">
        <x:v>Ops y Directorio Alsea · octubre 2026</x:v>
      </x:c>
      <x:c r="Q390" s="45" t="str">
        <x:v>Puntos proporcionados</x:v>
      </x:c>
      <x:c r="R390" s="45" t="str">
        <x:v>Abierta</x:v>
      </x:c>
      <x:c r="S390" s="45" t="str"/>
      <x:c r="T390" s="45" t="n">
        <x:f>IF(AND(E390="Abierta",N390="Sí",ISNUMBER(I390),ISNUMBER(J390),ABS(I390)&lt;=90,ABS(J390)&lt;=180),1,0)</x:f>
        <x:v>1</x:v>
      </x:c>
    </x:row>
    <x:row r="391" ht="23" customHeight="1">
      <x:c r="A391" s="45" t="str">
        <x:v>Bajío</x:v>
      </x:c>
      <x:c r="B391" s="45" t="str">
        <x:v>Christian Medina Capetillo</x:v>
      </x:c>
      <x:c r="C391" s="50" t="str">
        <x:v>38734</x:v>
      </x:c>
      <x:c r="D391" s="45" t="str">
        <x:v>Puerto Interior</x:v>
      </x:c>
      <x:c r="E391" s="45" t="str">
        <x:v>Abierta</x:v>
      </x:c>
      <x:c r="F391" s="51" t="d">
        <x:v>2017-07-22T00:00:00.000Z</x:v>
      </x:c>
      <x:c r="G391" s="45" t="str">
        <x:v>Silao</x:v>
      </x:c>
      <x:c r="H391" s="45" t="str">
        <x:v>Guanajuato</x:v>
      </x:c>
      <x:c r="I391" s="52" t="n">
        <x:v>21.00147</x:v>
      </x:c>
      <x:c r="J391" s="52" t="n">
        <x:v>-101.509405</x:v>
      </x:c>
      <x:c r="K391" s="45" t="str">
        <x:v>Drive_Thru</x:v>
      </x:c>
      <x:c r="L391" s="45" t="str">
        <x:v>Transfers</x:v>
      </x:c>
      <x:c r="M391" s="45" t="str">
        <x:v>C3</x:v>
      </x:c>
      <x:c r="N391" s="45" t="str">
        <x:v>Sí</x:v>
      </x:c>
      <x:c r="O391" s="45" t="str">
        <x:v>Christian Medina Capetillo</x:v>
      </x:c>
      <x:c r="P391" s="45" t="str">
        <x:v>Ops y Directorio Alsea · octubre 2026</x:v>
      </x:c>
      <x:c r="Q391" s="45" t="str">
        <x:v>Puntos proporcionados</x:v>
      </x:c>
      <x:c r="R391" s="45" t="str">
        <x:v>Abierta</x:v>
      </x:c>
      <x:c r="S391" s="45" t="str"/>
      <x:c r="T391" s="45" t="n">
        <x:f>IF(AND(E391="Abierta",N391="Sí",ISNUMBER(I391),ISNUMBER(J391),ABS(I391)&lt;=90,ABS(J391)&lt;=180),1,0)</x:f>
        <x:v>1</x:v>
      </x:c>
    </x:row>
    <x:row r="392" ht="23" customHeight="1">
      <x:c r="A392" s="45" t="str">
        <x:v>Bajío</x:v>
      </x:c>
      <x:c r="B392" s="45" t="str">
        <x:v>Christian Medina Capetillo</x:v>
      </x:c>
      <x:c r="C392" s="50" t="str">
        <x:v>38833</x:v>
      </x:c>
      <x:c r="D392" s="45" t="str">
        <x:v>Aeropuerto Bajio</x:v>
      </x:c>
      <x:c r="E392" s="45" t="str">
        <x:v>Abierta</x:v>
      </x:c>
      <x:c r="F392" s="51" t="d">
        <x:v>2018-09-06T00:00:00.000Z</x:v>
      </x:c>
      <x:c r="G392" s="45" t="str">
        <x:v>Silao</x:v>
      </x:c>
      <x:c r="H392" s="45" t="str">
        <x:v>Guanajuato</x:v>
      </x:c>
      <x:c r="I392" s="52" t="n">
        <x:v>20.9858618</x:v>
      </x:c>
      <x:c r="J392" s="52" t="n">
        <x:v>-101.4784443</x:v>
      </x:c>
      <x:c r="K392" s="45" t="str">
        <x:v>Cafe</x:v>
      </x:c>
      <x:c r="L392" s="45" t="str">
        <x:v>Travel_and_Channel</x:v>
      </x:c>
      <x:c r="M392" s="45" t="str">
        <x:v>C5</x:v>
      </x:c>
      <x:c r="N392" s="45" t="str">
        <x:v>Sí</x:v>
      </x:c>
      <x:c r="O392" s="45" t="str">
        <x:v>Christian Medina Capetillo</x:v>
      </x:c>
      <x:c r="P392" s="45" t="str">
        <x:v>Ops y Directorio Alsea · octubre 2026</x:v>
      </x:c>
      <x:c r="Q392" s="45" t="str">
        <x:v>Puntos proporcionados</x:v>
      </x:c>
      <x:c r="R392" s="45" t="str">
        <x:v>Abierta</x:v>
      </x:c>
      <x:c r="S392" s="45" t="str"/>
      <x:c r="T392" s="45" t="n">
        <x:f>IF(AND(E392="Abierta",N392="Sí",ISNUMBER(I392),ISNUMBER(J392),ABS(I392)&lt;=90,ABS(J392)&lt;=180),1,0)</x:f>
        <x:v>1</x:v>
      </x:c>
    </x:row>
    <x:row r="393" ht="23" customHeight="1">
      <x:c r="A393" s="45" t="str">
        <x:v>Bajío</x:v>
      </x:c>
      <x:c r="B393" s="45" t="str">
        <x:v>Christian Medina Capetillo</x:v>
      </x:c>
      <x:c r="C393" s="50" t="str">
        <x:v>38891</x:v>
      </x:c>
      <x:c r="D393" s="45" t="str">
        <x:v>Gran Patio Guanajuato</x:v>
      </x:c>
      <x:c r="E393" s="45" t="str">
        <x:v>Abierta</x:v>
      </x:c>
      <x:c r="F393" s="51" t="d">
        <x:v>2020-07-31T00:00:00.000Z</x:v>
      </x:c>
      <x:c r="G393" s="45" t="str">
        <x:v>Guanajuato</x:v>
      </x:c>
      <x:c r="H393" s="45" t="str">
        <x:v>Guanajuato</x:v>
      </x:c>
      <x:c r="I393" s="52" t="n">
        <x:v>20.9736149</x:v>
      </x:c>
      <x:c r="J393" s="52" t="n">
        <x:v>-101.2783734</x:v>
      </x:c>
      <x:c r="K393" s="45" t="str">
        <x:v>Cafe</x:v>
      </x:c>
      <x:c r="L393" s="45" t="str">
        <x:v>Retail</x:v>
      </x:c>
      <x:c r="M393" s="45" t="str">
        <x:v>C2</x:v>
      </x:c>
      <x:c r="N393" s="45" t="str">
        <x:v>Sí</x:v>
      </x:c>
      <x:c r="O393" s="45" t="str">
        <x:v>Christian Medina Capetillo</x:v>
      </x:c>
      <x:c r="P393" s="45" t="str">
        <x:v>Ops y Directorio Alsea · octubre 2026</x:v>
      </x:c>
      <x:c r="Q393" s="45" t="str">
        <x:v>Puntos proporcionados</x:v>
      </x:c>
      <x:c r="R393" s="45" t="str">
        <x:v>Abierta</x:v>
      </x:c>
      <x:c r="S393" s="45" t="str"/>
      <x:c r="T393" s="45" t="n">
        <x:f>IF(AND(E393="Abierta",N393="Sí",ISNUMBER(I393),ISNUMBER(J393),ABS(I393)&lt;=90,ABS(J393)&lt;=180),1,0)</x:f>
        <x:v>1</x:v>
      </x:c>
    </x:row>
    <x:row r="394" ht="23" customHeight="1">
      <x:c r="A394" s="45" t="str">
        <x:v>Bajío</x:v>
      </x:c>
      <x:c r="B394" s="45" t="str">
        <x:v>Christian Medina Capetillo</x:v>
      </x:c>
      <x:c r="C394" s="50" t="str">
        <x:v>38912</x:v>
      </x:c>
      <x:c r="D394" s="45" t="str">
        <x:v>Punto Escobedo DT León</x:v>
      </x:c>
      <x:c r="E394" s="45" t="str">
        <x:v>Abierta</x:v>
      </x:c>
      <x:c r="F394" s="51" t="d">
        <x:v>2022-07-13T00:00:00.000Z</x:v>
      </x:c>
      <x:c r="G394" s="45" t="str">
        <x:v>León</x:v>
      </x:c>
      <x:c r="H394" s="45" t="str">
        <x:v>Guanajuato</x:v>
      </x:c>
      <x:c r="I394" s="52" t="n">
        <x:v>21.1042202</x:v>
      </x:c>
      <x:c r="J394" s="52" t="n">
        <x:v>-101.6486866</x:v>
      </x:c>
      <x:c r="K394" s="45" t="str">
        <x:v>Drive_Thru</x:v>
      </x:c>
      <x:c r="L394" s="45" t="str">
        <x:v>Retail</x:v>
      </x:c>
      <x:c r="M394" s="45" t="str">
        <x:v>C2</x:v>
      </x:c>
      <x:c r="N394" s="45" t="str">
        <x:v>Sí</x:v>
      </x:c>
      <x:c r="O394" s="45" t="str">
        <x:v>Christian Medina Capetillo</x:v>
      </x:c>
      <x:c r="P394" s="45" t="str">
        <x:v>Ops y Directorio Alsea · octubre 2026</x:v>
      </x:c>
      <x:c r="Q394" s="45" t="str">
        <x:v>Puntos proporcionados</x:v>
      </x:c>
      <x:c r="R394" s="45" t="str">
        <x:v>Abierta</x:v>
      </x:c>
      <x:c r="S394" s="45" t="str"/>
      <x:c r="T394" s="45" t="n">
        <x:f>IF(AND(E394="Abierta",N394="Sí",ISNUMBER(I394),ISNUMBER(J394),ABS(I394)&lt;=90,ABS(J394)&lt;=180),1,0)</x:f>
        <x:v>1</x:v>
      </x:c>
    </x:row>
    <x:row r="395" ht="23" customHeight="1">
      <x:c r="A395" s="45" t="str">
        <x:v>Bajío</x:v>
      </x:c>
      <x:c r="B395" s="45" t="str">
        <x:v>Christian Medina Capetillo</x:v>
      </x:c>
      <x:c r="C395" s="50" t="str">
        <x:v>38974</x:v>
      </x:c>
      <x:c r="D395" s="45" t="str">
        <x:v>Carretera León Silao DT</x:v>
      </x:c>
      <x:c r="E395" s="45" t="str">
        <x:v>Abierta</x:v>
      </x:c>
      <x:c r="F395" s="51" t="d">
        <x:v>2023-12-11T00:00:00.000Z</x:v>
      </x:c>
      <x:c r="G395" s="45" t="str">
        <x:v>León</x:v>
      </x:c>
      <x:c r="H395" s="45" t="str">
        <x:v>Guanajuato</x:v>
      </x:c>
      <x:c r="I395" s="52" t="n">
        <x:v>21.0848933</x:v>
      </x:c>
      <x:c r="J395" s="52" t="n">
        <x:v>-101.6144745</x:v>
      </x:c>
      <x:c r="K395" s="45" t="str">
        <x:v>Drive_Thru</x:v>
      </x:c>
      <x:c r="L395" s="45" t="str">
        <x:v>Transfers</x:v>
      </x:c>
      <x:c r="M395" s="45" t="str">
        <x:v>C2</x:v>
      </x:c>
      <x:c r="N395" s="45" t="str">
        <x:v>Sí</x:v>
      </x:c>
      <x:c r="O395" s="45" t="str">
        <x:v>Christian Medina Capetillo</x:v>
      </x:c>
      <x:c r="P395" s="45" t="str">
        <x:v>Ops y Directorio Alsea · octubre 2026</x:v>
      </x:c>
      <x:c r="Q395" s="45" t="str">
        <x:v>Puntos proporcionados</x:v>
      </x:c>
      <x:c r="R395" s="45" t="str">
        <x:v>Abierta</x:v>
      </x:c>
      <x:c r="S395" s="45" t="str"/>
      <x:c r="T395" s="45" t="n">
        <x:f>IF(AND(E395="Abierta",N395="Sí",ISNUMBER(I395),ISNUMBER(J395),ABS(I395)&lt;=90,ABS(J395)&lt;=180),1,0)</x:f>
        <x:v>1</x:v>
      </x:c>
    </x:row>
    <x:row r="396" ht="23" customHeight="1">
      <x:c r="A396" s="45" t="str">
        <x:v>Bajío</x:v>
      </x:c>
      <x:c r="B396" s="45" t="str">
        <x:v>Christian Medina Capetillo</x:v>
      </x:c>
      <x:c r="C396" s="50" t="str">
        <x:v>43063</x:v>
      </x:c>
      <x:c r="D396" s="45" t="str">
        <x:v>Plaza Nogal León DT</x:v>
      </x:c>
      <x:c r="E396" s="45" t="str">
        <x:v>Abierta</x:v>
      </x:c>
      <x:c r="F396" s="51" t="d">
        <x:v>2024-09-29T00:00:00.000Z</x:v>
      </x:c>
      <x:c r="G396" s="45" t="str">
        <x:v>León</x:v>
      </x:c>
      <x:c r="H396" s="45" t="str">
        <x:v>Guanajuato</x:v>
      </x:c>
      <x:c r="I396" s="52" t="n">
        <x:v>21.1334105</x:v>
      </x:c>
      <x:c r="J396" s="52" t="n">
        <x:v>-101.6130351</x:v>
      </x:c>
      <x:c r="K396" s="45" t="str">
        <x:v>Drive_Thru</x:v>
      </x:c>
      <x:c r="L396" s="45" t="str">
        <x:v>Retail</x:v>
      </x:c>
      <x:c r="M396" s="45" t="str">
        <x:v>C2</x:v>
      </x:c>
      <x:c r="N396" s="45" t="str">
        <x:v>Sí</x:v>
      </x:c>
      <x:c r="O396" s="45" t="str">
        <x:v>Christian Medina Capetillo</x:v>
      </x:c>
      <x:c r="P396" s="45" t="str">
        <x:v>Ops y Directorio Alsea · octubre 2026</x:v>
      </x:c>
      <x:c r="Q396" s="45" t="str">
        <x:v>Puntos proporcionados</x:v>
      </x:c>
      <x:c r="R396" s="45" t="str">
        <x:v>Abierta</x:v>
      </x:c>
      <x:c r="S396" s="45" t="str"/>
      <x:c r="T396" s="45" t="n">
        <x:f>IF(AND(E396="Abierta",N396="Sí",ISNUMBER(I396),ISNUMBER(J396),ABS(I396)&lt;=90,ABS(J396)&lt;=180),1,0)</x:f>
        <x:v>1</x:v>
      </x:c>
    </x:row>
    <x:row r="397" ht="23" customHeight="1">
      <x:c r="A397" s="45" t="str">
        <x:v>Bajío</x:v>
      </x:c>
      <x:c r="B397" s="45" t="str">
        <x:v>Christian Medina Capetillo</x:v>
      </x:c>
      <x:c r="C397" s="50" t="str">
        <x:v>43185</x:v>
      </x:c>
      <x:c r="D397" s="45" t="str">
        <x:v>Plaza Pedregal Sur</x:v>
      </x:c>
      <x:c r="E397" s="45" t="str">
        <x:v>Abierta</x:v>
      </x:c>
      <x:c r="F397" s="51" t="d">
        <x:v>2025-12-07T00:00:00.000Z</x:v>
      </x:c>
      <x:c r="G397" s="45" t="str">
        <x:v>León</x:v>
      </x:c>
      <x:c r="H397" s="45" t="str">
        <x:v>Guanajuato</x:v>
      </x:c>
      <x:c r="I397" s="52" t="n">
        <x:v>21.1106785</x:v>
      </x:c>
      <x:c r="J397" s="52" t="n">
        <x:v>-101.6077085</x:v>
      </x:c>
      <x:c r="K397" s="45" t="str">
        <x:v>Drive_Thru</x:v>
      </x:c>
      <x:c r="L397" s="45" t="str">
        <x:v>Retail</x:v>
      </x:c>
      <x:c r="M397" s="45" t="str">
        <x:v>C2</x:v>
      </x:c>
      <x:c r="N397" s="45" t="str">
        <x:v>Sí</x:v>
      </x:c>
      <x:c r="O397" s="45" t="str">
        <x:v>Christian Medina Capetillo</x:v>
      </x:c>
      <x:c r="P397" s="45" t="str">
        <x:v>Ops y Directorio Alsea · octubre 2026</x:v>
      </x:c>
      <x:c r="Q397" s="45" t="str">
        <x:v>Puntos proporcionados</x:v>
      </x:c>
      <x:c r="R397" s="45" t="str">
        <x:v>Abierta</x:v>
      </x:c>
      <x:c r="S397" s="45" t="str"/>
      <x:c r="T397" s="45" t="n">
        <x:f>IF(AND(E397="Abierta",N397="Sí",ISNUMBER(I397),ISNUMBER(J397),ABS(I397)&lt;=90,ABS(J397)&lt;=180),1,0)</x:f>
        <x:v>1</x:v>
      </x:c>
    </x:row>
    <x:row r="398" ht="23" customHeight="1">
      <x:c r="A398" s="45" t="str">
        <x:v>Bajío</x:v>
      </x:c>
      <x:c r="B398" s="45" t="str">
        <x:v>David Carrasco</x:v>
      </x:c>
      <x:c r="C398" s="50" t="str">
        <x:v>38357</x:v>
      </x:c>
      <x:c r="D398" s="45" t="str">
        <x:v>Galerias Pachuca</x:v>
      </x:c>
      <x:c r="E398" s="45" t="str">
        <x:v>Cierre Temporal</x:v>
      </x:c>
      <x:c r="F398" s="51" t="d">
        <x:v>2008-12-19T00:00:00.000Z</x:v>
      </x:c>
      <x:c r="G398" s="45" t="str">
        <x:v>Pachuca De Soto</x:v>
      </x:c>
      <x:c r="H398" s="45" t="str">
        <x:v>Hidalgo</x:v>
      </x:c>
      <x:c r="I398" s="52" t="n">
        <x:v>20.0983119628493</x:v>
      </x:c>
      <x:c r="J398" s="52" t="n">
        <x:v>-98.7675262916617</x:v>
      </x:c>
      <x:c r="K398" s="45" t="str">
        <x:v>Kiosko</x:v>
      </x:c>
      <x:c r="L398" s="45" t="str">
        <x:v>Retail</x:v>
      </x:c>
      <x:c r="M398" s="45" t="str">
        <x:v>C2</x:v>
      </x:c>
      <x:c r="N398" s="45" t="str">
        <x:v>No</x:v>
      </x:c>
      <x:c r="O398" s="45" t="str">
        <x:v>David Carrasco Hernandez</x:v>
      </x:c>
      <x:c r="P398" s="45" t="str">
        <x:v>Ops y Directorio Alsea · octubre 2026</x:v>
      </x:c>
      <x:c r="Q398" s="45" t="str">
        <x:v>CMS anterior</x:v>
      </x:c>
      <x:c r="R398" s="45" t="str">
        <x:v>Abierta</x:v>
      </x:c>
      <x:c r="S398" s="45" t="str">
        <x:v>Ops: Cierre Temporal. Alsea: Abierta. Se conserva el estatus operativo más específico.</x:v>
      </x:c>
      <x:c r="T398" s="45" t="n">
        <x:f>IF(AND(E398="Abierta",N398="Sí",ISNUMBER(I398),ISNUMBER(J398),ABS(I398)&lt;=90,ABS(J398)&lt;=180),1,0)</x:f>
        <x:v>0</x:v>
      </x:c>
    </x:row>
    <x:row r="399" ht="23" customHeight="1">
      <x:c r="A399" s="45" t="str">
        <x:v>Bajío</x:v>
      </x:c>
      <x:c r="B399" s="45" t="str">
        <x:v>David Carrasco</x:v>
      </x:c>
      <x:c r="C399" s="50" t="str">
        <x:v>38358</x:v>
      </x:c>
      <x:c r="D399" s="45" t="str">
        <x:v>Pachuca San Javier DT</x:v>
      </x:c>
      <x:c r="E399" s="45" t="str">
        <x:v>Abierta</x:v>
      </x:c>
      <x:c r="F399" s="51" t="d">
        <x:v>2008-12-19T00:00:00.000Z</x:v>
      </x:c>
      <x:c r="G399" s="45" t="str">
        <x:v>Pachuca De Soto</x:v>
      </x:c>
      <x:c r="H399" s="45" t="str">
        <x:v>Hidalgo</x:v>
      </x:c>
      <x:c r="I399" s="52" t="n">
        <x:v>20.11468</x:v>
      </x:c>
      <x:c r="J399" s="52" t="n">
        <x:v>-98.74706</x:v>
      </x:c>
      <x:c r="K399" s="45" t="str">
        <x:v>Drive_Thru</x:v>
      </x:c>
      <x:c r="L399" s="45" t="str">
        <x:v>Retail</x:v>
      </x:c>
      <x:c r="M399" s="45" t="str">
        <x:v>C2</x:v>
      </x:c>
      <x:c r="N399" s="45" t="str">
        <x:v>Sí</x:v>
      </x:c>
      <x:c r="O399" s="45" t="str">
        <x:v>David Carrasco Hernandez</x:v>
      </x:c>
      <x:c r="P399" s="45" t="str">
        <x:v>Ops y Directorio Alsea · octubre 2026</x:v>
      </x:c>
      <x:c r="Q399" s="45" t="str">
        <x:v>CMS anterior</x:v>
      </x:c>
      <x:c r="R399" s="45" t="str">
        <x:v>Abierta</x:v>
      </x:c>
      <x:c r="S399" s="45" t="str"/>
      <x:c r="T399" s="45" t="n">
        <x:f>IF(AND(E399="Abierta",N399="Sí",ISNUMBER(I399),ISNUMBER(J399),ABS(I399)&lt;=90,ABS(J399)&lt;=180),1,0)</x:f>
        <x:v>1</x:v>
      </x:c>
    </x:row>
    <x:row r="400" ht="23" customHeight="1">
      <x:c r="A400" s="45" t="str">
        <x:v>Bajío</x:v>
      </x:c>
      <x:c r="B400" s="45" t="str">
        <x:v>David Carrasco</x:v>
      </x:c>
      <x:c r="C400" s="50" t="str">
        <x:v>38790</x:v>
      </x:c>
      <x:c r="D400" s="45" t="str">
        <x:v>Carretera Mexico Pachuca</x:v>
      </x:c>
      <x:c r="E400" s="45" t="str">
        <x:v>Abierta</x:v>
      </x:c>
      <x:c r="F400" s="51" t="d">
        <x:v>2018-04-03T00:00:00.000Z</x:v>
      </x:c>
      <x:c r="G400" s="45" t="str">
        <x:v>Tolcayuca</x:v>
      </x:c>
      <x:c r="H400" s="45" t="str">
        <x:v>Hidalgo</x:v>
      </x:c>
      <x:c r="I400" s="52" t="n">
        <x:v>19.91932</x:v>
      </x:c>
      <x:c r="J400" s="52" t="n">
        <x:v>-98.9044</x:v>
      </x:c>
      <x:c r="K400" s="45" t="str">
        <x:v>Drive_Thru</x:v>
      </x:c>
      <x:c r="L400" s="45" t="str">
        <x:v>Transfers</x:v>
      </x:c>
      <x:c r="M400" s="45" t="str">
        <x:v>C3</x:v>
      </x:c>
      <x:c r="N400" s="45" t="str">
        <x:v>Sí</x:v>
      </x:c>
      <x:c r="O400" s="45" t="str">
        <x:v>David Carrasco Hernandez</x:v>
      </x:c>
      <x:c r="P400" s="45" t="str">
        <x:v>Ops y Directorio Alsea · octubre 2026</x:v>
      </x:c>
      <x:c r="Q400" s="45" t="str">
        <x:v>CMS anterior</x:v>
      </x:c>
      <x:c r="R400" s="45" t="str">
        <x:v>Abierta</x:v>
      </x:c>
      <x:c r="S400" s="45" t="str"/>
      <x:c r="T400" s="45" t="n">
        <x:f>IF(AND(E400="Abierta",N400="Sí",ISNUMBER(I400),ISNUMBER(J400),ABS(I400)&lt;=90,ABS(J400)&lt;=180),1,0)</x:f>
        <x:v>1</x:v>
      </x:c>
    </x:row>
    <x:row r="401" ht="23" customHeight="1">
      <x:c r="A401" s="45" t="str">
        <x:v>Bajío</x:v>
      </x:c>
      <x:c r="B401" s="45" t="str">
        <x:v>David Carrasco</x:v>
      </x:c>
      <x:c r="C401" s="50" t="str">
        <x:v>38793</x:v>
      </x:c>
      <x:c r="D401" s="45" t="str">
        <x:v>Galerias Pachuca PA</x:v>
      </x:c>
      <x:c r="E401" s="45" t="str">
        <x:v>Abierta</x:v>
      </x:c>
      <x:c r="F401" s="51" t="d">
        <x:v>2018-05-15T00:00:00.000Z</x:v>
      </x:c>
      <x:c r="G401" s="45" t="str">
        <x:v>Pachuca De Soto</x:v>
      </x:c>
      <x:c r="H401" s="45" t="str">
        <x:v>Hidalgo</x:v>
      </x:c>
      <x:c r="I401" s="52" t="n">
        <x:v>20.09818</x:v>
      </x:c>
      <x:c r="J401" s="52" t="n">
        <x:v>-98.76859</x:v>
      </x:c>
      <x:c r="K401" s="45" t="str">
        <x:v>Cafe</x:v>
      </x:c>
      <x:c r="L401" s="45" t="str">
        <x:v>Retail</x:v>
      </x:c>
      <x:c r="M401" s="45" t="str">
        <x:v>C2</x:v>
      </x:c>
      <x:c r="N401" s="45" t="str">
        <x:v>Sí</x:v>
      </x:c>
      <x:c r="O401" s="45" t="str">
        <x:v>David Carrasco Hernandez</x:v>
      </x:c>
      <x:c r="P401" s="45" t="str">
        <x:v>Ops y Directorio Alsea · octubre 2026</x:v>
      </x:c>
      <x:c r="Q401" s="45" t="str">
        <x:v>CMS anterior</x:v>
      </x:c>
      <x:c r="R401" s="45" t="str">
        <x:v>Abierta</x:v>
      </x:c>
      <x:c r="S401" s="45" t="str"/>
      <x:c r="T401" s="45" t="n">
        <x:f>IF(AND(E401="Abierta",N401="Sí",ISNUMBER(I401),ISNUMBER(J401),ABS(I401)&lt;=90,ABS(J401)&lt;=180),1,0)</x:f>
        <x:v>1</x:v>
      </x:c>
    </x:row>
    <x:row r="402" ht="23" customHeight="1">
      <x:c r="A402" s="45" t="str">
        <x:v>Bajío</x:v>
      </x:c>
      <x:c r="B402" s="45" t="str">
        <x:v>David Carrasco</x:v>
      </x:c>
      <x:c r="C402" s="50" t="str">
        <x:v>38893</x:v>
      </x:c>
      <x:c r="D402" s="45" t="str">
        <x:v>Explanada Pachuca</x:v>
      </x:c>
      <x:c r="E402" s="45" t="str">
        <x:v>Abierta</x:v>
      </x:c>
      <x:c r="F402" s="51" t="d">
        <x:v>2020-08-04T00:00:00.000Z</x:v>
      </x:c>
      <x:c r="G402" s="45" t="str">
        <x:v>Pachuca De Soto</x:v>
      </x:c>
      <x:c r="H402" s="45" t="str">
        <x:v>Hidalgo</x:v>
      </x:c>
      <x:c r="I402" s="52" t="n">
        <x:v>20.0377</x:v>
      </x:c>
      <x:c r="J402" s="52" t="n">
        <x:v>-98.7954</x:v>
      </x:c>
      <x:c r="K402" s="45" t="str">
        <x:v>Cafe</x:v>
      </x:c>
      <x:c r="L402" s="45" t="str">
        <x:v>Retail</x:v>
      </x:c>
      <x:c r="M402" s="45" t="str">
        <x:v>C2</x:v>
      </x:c>
      <x:c r="N402" s="45" t="str">
        <x:v>Sí</x:v>
      </x:c>
      <x:c r="O402" s="45" t="str">
        <x:v>David Carrasco Hernandez</x:v>
      </x:c>
      <x:c r="P402" s="45" t="str">
        <x:v>Ops y Directorio Alsea · octubre 2026</x:v>
      </x:c>
      <x:c r="Q402" s="45" t="str">
        <x:v>CMS anterior</x:v>
      </x:c>
      <x:c r="R402" s="45" t="str">
        <x:v>Abierta</x:v>
      </x:c>
      <x:c r="S402" s="45" t="str"/>
      <x:c r="T402" s="45" t="n">
        <x:f>IF(AND(E402="Abierta",N402="Sí",ISNUMBER(I402),ISNUMBER(J402),ABS(I402)&lt;=90,ABS(J402)&lt;=180),1,0)</x:f>
        <x:v>1</x:v>
      </x:c>
    </x:row>
    <x:row r="403" ht="23" customHeight="1">
      <x:c r="A403" s="45" t="str">
        <x:v>Bajío</x:v>
      </x:c>
      <x:c r="B403" s="45" t="str">
        <x:v>David Carrasco</x:v>
      </x:c>
      <x:c r="C403" s="50" t="str">
        <x:v>38908</x:v>
      </x:c>
      <x:c r="D403" s="45" t="str">
        <x:v>Carretera Pachuca Mexico</x:v>
      </x:c>
      <x:c r="E403" s="45" t="str">
        <x:v>Abierta</x:v>
      </x:c>
      <x:c r="F403" s="51" t="d">
        <x:v>2022-05-12T00:00:00.000Z</x:v>
      </x:c>
      <x:c r="G403" s="45" t="str">
        <x:v>Tolcayuca</x:v>
      </x:c>
      <x:c r="H403" s="45" t="str">
        <x:v>Hidalgo</x:v>
      </x:c>
      <x:c r="I403" s="52" t="n">
        <x:v>19.9324931864592</x:v>
      </x:c>
      <x:c r="J403" s="52" t="n">
        <x:v>-98.8903946971544</x:v>
      </x:c>
      <x:c r="K403" s="45" t="str">
        <x:v>Drive_Thru</x:v>
      </x:c>
      <x:c r="L403" s="45" t="str">
        <x:v>Transfers</x:v>
      </x:c>
      <x:c r="M403" s="45" t="str">
        <x:v>C3</x:v>
      </x:c>
      <x:c r="N403" s="45" t="str">
        <x:v>Sí</x:v>
      </x:c>
      <x:c r="O403" s="45" t="str">
        <x:v>David Carrasco Hernandez</x:v>
      </x:c>
      <x:c r="P403" s="45" t="str">
        <x:v>Ops y Directorio Alsea · octubre 2026</x:v>
      </x:c>
      <x:c r="Q403" s="45" t="str">
        <x:v>CMS anterior</x:v>
      </x:c>
      <x:c r="R403" s="45" t="str">
        <x:v>Abierta</x:v>
      </x:c>
      <x:c r="S403" s="45" t="str"/>
      <x:c r="T403" s="45" t="n">
        <x:f>IF(AND(E403="Abierta",N403="Sí",ISNUMBER(I403),ISNUMBER(J403),ABS(I403)&lt;=90,ABS(J403)&lt;=180),1,0)</x:f>
        <x:v>1</x:v>
      </x:c>
    </x:row>
    <x:row r="404" ht="23" customHeight="1">
      <x:c r="A404" s="45" t="str">
        <x:v>Bajío</x:v>
      </x:c>
      <x:c r="B404" s="45" t="str">
        <x:v>David Carrasco</x:v>
      </x:c>
      <x:c r="C404" s="50" t="str">
        <x:v>38910</x:v>
      </x:c>
      <x:c r="D404" s="45" t="str">
        <x:v>AIFA Llegadas Nacional AMB</x:v>
      </x:c>
      <x:c r="E404" s="45" t="str">
        <x:v>Abierta</x:v>
      </x:c>
      <x:c r="F404" s="51" t="d">
        <x:v>2022-05-16T00:00:00.000Z</x:v>
      </x:c>
      <x:c r="G404" s="45" t="str">
        <x:v>Zumpango</x:v>
      </x:c>
      <x:c r="H404" s="45" t="str">
        <x:v>Estado De México</x:v>
      </x:c>
      <x:c r="I404" s="52" t="n">
        <x:v>19.7346408488469</x:v>
      </x:c>
      <x:c r="J404" s="52" t="n">
        <x:v>-99.0254420825625</x:v>
      </x:c>
      <x:c r="K404" s="45" t="str">
        <x:v>Cafe</x:v>
      </x:c>
      <x:c r="L404" s="45" t="str">
        <x:v>Travel_and_Channel</x:v>
      </x:c>
      <x:c r="M404" s="45" t="str">
        <x:v>C4</x:v>
      </x:c>
      <x:c r="N404" s="45" t="str">
        <x:v>Sí</x:v>
      </x:c>
      <x:c r="O404" s="45" t="str">
        <x:v>David Carrasco Hernandez</x:v>
      </x:c>
      <x:c r="P404" s="45" t="str">
        <x:v>Ops y Directorio Alsea · octubre 2026</x:v>
      </x:c>
      <x:c r="Q404" s="45" t="str">
        <x:v>CMS anterior</x:v>
      </x:c>
      <x:c r="R404" s="45" t="str">
        <x:v>Abierta</x:v>
      </x:c>
      <x:c r="S404" s="45" t="str"/>
      <x:c r="T404" s="45" t="n">
        <x:f>IF(AND(E404="Abierta",N404="Sí",ISNUMBER(I404),ISNUMBER(J404),ABS(I404)&lt;=90,ABS(J404)&lt;=180),1,0)</x:f>
        <x:v>1</x:v>
      </x:c>
    </x:row>
    <x:row r="405" ht="23" customHeight="1">
      <x:c r="A405" s="45" t="str">
        <x:v>Bajío</x:v>
      </x:c>
      <x:c r="B405" s="45" t="str">
        <x:v>David Carrasco</x:v>
      </x:c>
      <x:c r="C405" s="50" t="str">
        <x:v>38911</x:v>
      </x:c>
      <x:c r="D405" s="45" t="str">
        <x:v>AIFA SUE Nacional</x:v>
      </x:c>
      <x:c r="E405" s="45" t="str">
        <x:v>Abierta</x:v>
      </x:c>
      <x:c r="F405" s="51" t="d">
        <x:v>2022-05-23T00:00:00.000Z</x:v>
      </x:c>
      <x:c r="G405" s="45" t="str">
        <x:v>Zumpango</x:v>
      </x:c>
      <x:c r="H405" s="45" t="str">
        <x:v>Estado De México</x:v>
      </x:c>
      <x:c r="I405" s="52" t="n">
        <x:v>19.7342570980023</x:v>
      </x:c>
      <x:c r="J405" s="52" t="n">
        <x:v>-99.0239829608593</x:v>
      </x:c>
      <x:c r="K405" s="45" t="str">
        <x:v>Cafe</x:v>
      </x:c>
      <x:c r="L405" s="45" t="str">
        <x:v>Travel_and_Channel</x:v>
      </x:c>
      <x:c r="M405" s="45" t="str">
        <x:v>C5</x:v>
      </x:c>
      <x:c r="N405" s="45" t="str">
        <x:v>Sí</x:v>
      </x:c>
      <x:c r="O405" s="45" t="str">
        <x:v>David Carrasco Hernandez</x:v>
      </x:c>
      <x:c r="P405" s="45" t="str">
        <x:v>Ops y Directorio Alsea · octubre 2026</x:v>
      </x:c>
      <x:c r="Q405" s="45" t="str">
        <x:v>CMS anterior</x:v>
      </x:c>
      <x:c r="R405" s="45" t="str">
        <x:v>Abierta</x:v>
      </x:c>
      <x:c r="S405" s="45" t="str"/>
      <x:c r="T405" s="45" t="n">
        <x:f>IF(AND(E405="Abierta",N405="Sí",ISNUMBER(I405),ISNUMBER(J405),ABS(I405)&lt;=90,ABS(J405)&lt;=180),1,0)</x:f>
        <x:v>1</x:v>
      </x:c>
    </x:row>
    <x:row r="406" ht="23" customHeight="1">
      <x:c r="A406" s="45" t="str">
        <x:v>Bajío</x:v>
      </x:c>
      <x:c r="B406" s="45" t="str">
        <x:v>David Carrasco</x:v>
      </x:c>
      <x:c r="C406" s="50" t="str">
        <x:v>38939</x:v>
      </x:c>
      <x:c r="D406" s="45" t="str">
        <x:v>Pachuca DT II</x:v>
      </x:c>
      <x:c r="E406" s="45" t="str">
        <x:v>Abierta</x:v>
      </x:c>
      <x:c r="F406" s="51" t="d">
        <x:v>2023-12-31T00:00:00.000Z</x:v>
      </x:c>
      <x:c r="G406" s="45" t="str">
        <x:v>Pachuca De Soto</x:v>
      </x:c>
      <x:c r="H406" s="45" t="str">
        <x:v>Hidalgo</x:v>
      </x:c>
      <x:c r="I406" s="52" t="n">
        <x:v>20.0949444443824</x:v>
      </x:c>
      <x:c r="J406" s="52" t="n">
        <x:v>-98.761355845395</x:v>
      </x:c>
      <x:c r="K406" s="45" t="str">
        <x:v>Drive_Thru</x:v>
      </x:c>
      <x:c r="L406" s="45" t="str">
        <x:v>Neighborhood</x:v>
      </x:c>
      <x:c r="M406" s="45" t="str">
        <x:v>C2</x:v>
      </x:c>
      <x:c r="N406" s="45" t="str">
        <x:v>Sí</x:v>
      </x:c>
      <x:c r="O406" s="45" t="str">
        <x:v>David Carrasco Hernandez</x:v>
      </x:c>
      <x:c r="P406" s="45" t="str">
        <x:v>Ops y Directorio Alsea · octubre 2026</x:v>
      </x:c>
      <x:c r="Q406" s="45" t="str">
        <x:v>CMS anterior</x:v>
      </x:c>
      <x:c r="R406" s="45" t="str">
        <x:v>Abierta</x:v>
      </x:c>
      <x:c r="S406" s="45" t="str"/>
      <x:c r="T406" s="45" t="n">
        <x:f>IF(AND(E406="Abierta",N406="Sí",ISNUMBER(I406),ISNUMBER(J406),ABS(I406)&lt;=90,ABS(J406)&lt;=180),1,0)</x:f>
        <x:v>1</x:v>
      </x:c>
    </x:row>
    <x:row r="407" ht="23" customHeight="1">
      <x:c r="A407" s="45" t="str">
        <x:v>Bajío</x:v>
      </x:c>
      <x:c r="B407" s="45" t="str">
        <x:v>David Carrasco</x:v>
      </x:c>
      <x:c r="C407" s="50" t="str">
        <x:v>43064</x:v>
      </x:c>
      <x:c r="D407" s="45" t="str">
        <x:v>Santa catarina DT AP</x:v>
      </x:c>
      <x:c r="E407" s="45" t="str">
        <x:v>Abierta</x:v>
      </x:c>
      <x:c r="F407" s="51" t="d">
        <x:v>2025-02-16T00:00:00.000Z</x:v>
      </x:c>
      <x:c r="G407" s="45" t="str">
        <x:v>Pachuca De Soto</x:v>
      </x:c>
      <x:c r="H407" s="45" t="str">
        <x:v>Hidalgo</x:v>
      </x:c>
      <x:c r="I407" s="52" t="n">
        <x:v>20.0720711014675</x:v>
      </x:c>
      <x:c r="J407" s="52" t="n">
        <x:v>-98.7919785057047</x:v>
      </x:c>
      <x:c r="K407" s="45" t="str">
        <x:v>Drive_Thru</x:v>
      </x:c>
      <x:c r="L407" s="45" t="str">
        <x:v>Transfers</x:v>
      </x:c>
      <x:c r="M407" s="45" t="str">
        <x:v>C2</x:v>
      </x:c>
      <x:c r="N407" s="45" t="str">
        <x:v>Sí</x:v>
      </x:c>
      <x:c r="O407" s="45" t="str">
        <x:v>David Carrasco Hernandez</x:v>
      </x:c>
      <x:c r="P407" s="45" t="str">
        <x:v>Ops y Directorio Alsea · octubre 2026</x:v>
      </x:c>
      <x:c r="Q407" s="45" t="str">
        <x:v>CMS anterior</x:v>
      </x:c>
      <x:c r="R407" s="45" t="str">
        <x:v>Abierta</x:v>
      </x:c>
      <x:c r="S407" s="45" t="str"/>
      <x:c r="T407" s="45" t="n">
        <x:f>IF(AND(E407="Abierta",N407="Sí",ISNUMBER(I407),ISNUMBER(J407),ABS(I407)&lt;=90,ABS(J407)&lt;=180),1,0)</x:f>
        <x:v>1</x:v>
      </x:c>
    </x:row>
    <x:row r="408" ht="23" customHeight="1">
      <x:c r="A408" s="45" t="str">
        <x:v>Bajío</x:v>
      </x:c>
      <x:c r="B408" s="45" t="str">
        <x:v>David Carrasco</x:v>
      </x:c>
      <x:c r="C408" s="50" t="str">
        <x:v>43082</x:v>
      </x:c>
      <x:c r="D408" s="45" t="str">
        <x:v>AIFA Salidas PTA 1</x:v>
      </x:c>
      <x:c r="E408" s="45" t="str">
        <x:v>Abierta</x:v>
      </x:c>
      <x:c r="F408" s="51" t="d">
        <x:v>2024-12-08T00:00:00.000Z</x:v>
      </x:c>
      <x:c r="G408" s="45" t="str">
        <x:v>Zumpango</x:v>
      </x:c>
      <x:c r="H408" s="45" t="str">
        <x:v>Estado De México</x:v>
      </x:c>
      <x:c r="I408" s="52" t="n">
        <x:v>19.7335415403579</x:v>
      </x:c>
      <x:c r="J408" s="52" t="n">
        <x:v>-99.0257947953245</x:v>
      </x:c>
      <x:c r="K408" s="45" t="str">
        <x:v>Kiosko</x:v>
      </x:c>
      <x:c r="L408" s="45" t="str">
        <x:v>Travel_and_Channel</x:v>
      </x:c>
      <x:c r="M408" s="45" t="str">
        <x:v>C4</x:v>
      </x:c>
      <x:c r="N408" s="45" t="str">
        <x:v>Sí</x:v>
      </x:c>
      <x:c r="O408" s="45" t="str">
        <x:v>David Carrasco Hernandez</x:v>
      </x:c>
      <x:c r="P408" s="45" t="str">
        <x:v>Ops y Directorio Alsea · octubre 2026</x:v>
      </x:c>
      <x:c r="Q408" s="45" t="str">
        <x:v>CMS anterior</x:v>
      </x:c>
      <x:c r="R408" s="45" t="str">
        <x:v>Abierta</x:v>
      </x:c>
      <x:c r="S408" s="45" t="str"/>
      <x:c r="T408" s="45" t="n">
        <x:f>IF(AND(E408="Abierta",N408="Sí",ISNUMBER(I408),ISNUMBER(J408),ABS(I408)&lt;=90,ABS(J408)&lt;=180),1,0)</x:f>
        <x:v>1</x:v>
      </x:c>
    </x:row>
    <x:row r="409" ht="23" customHeight="1">
      <x:c r="A409" s="45" t="str">
        <x:v>Bajío</x:v>
      </x:c>
      <x:c r="B409" s="45" t="str">
        <x:v>David Carrasco</x:v>
      </x:c>
      <x:c r="C409" s="50" t="str">
        <x:v>43083</x:v>
      </x:c>
      <x:c r="D409" s="45" t="str">
        <x:v>AIFA Llegadas Internacional AMB</x:v>
      </x:c>
      <x:c r="E409" s="45" t="str">
        <x:v>Abierta</x:v>
      </x:c>
      <x:c r="F409" s="51" t="d">
        <x:v>2024-12-01T00:00:00.000Z</x:v>
      </x:c>
      <x:c r="G409" s="45" t="str">
        <x:v>Zumpango</x:v>
      </x:c>
      <x:c r="H409" s="45" t="str">
        <x:v>Estado De México</x:v>
      </x:c>
      <x:c r="I409" s="52" t="n">
        <x:v>19.7338293548598</x:v>
      </x:c>
      <x:c r="J409" s="52" t="n">
        <x:v>-99.0243356736293</x:v>
      </x:c>
      <x:c r="K409" s="45" t="str">
        <x:v>Kiosko</x:v>
      </x:c>
      <x:c r="L409" s="45" t="str">
        <x:v>Travel_and_Channel</x:v>
      </x:c>
      <x:c r="M409" s="45" t="str">
        <x:v>C4</x:v>
      </x:c>
      <x:c r="N409" s="45" t="str">
        <x:v>Sí</x:v>
      </x:c>
      <x:c r="O409" s="45" t="str">
        <x:v>David Carrasco Hernandez</x:v>
      </x:c>
      <x:c r="P409" s="45" t="str">
        <x:v>Ops y Directorio Alsea · octubre 2026</x:v>
      </x:c>
      <x:c r="Q409" s="45" t="str">
        <x:v>CMS anterior</x:v>
      </x:c>
      <x:c r="R409" s="45" t="str">
        <x:v>Abierta</x:v>
      </x:c>
      <x:c r="S409" s="45" t="str"/>
      <x:c r="T409" s="45" t="n">
        <x:f>IF(AND(E409="Abierta",N409="Sí",ISNUMBER(I409),ISNUMBER(J409),ABS(I409)&lt;=90,ABS(J409)&lt;=180),1,0)</x:f>
        <x:v>1</x:v>
      </x:c>
    </x:row>
    <x:row r="410" ht="23" customHeight="1">
      <x:c r="A410" s="45" t="str">
        <x:v>Bajío</x:v>
      </x:c>
      <x:c r="B410" s="45" t="str">
        <x:v>David Carrasco</x:v>
      </x:c>
      <x:c r="C410" s="50" t="str">
        <x:v>43170</x:v>
      </x:c>
      <x:c r="D410" s="45" t="str">
        <x:v>Real de la plata</x:v>
      </x:c>
      <x:c r="E410" s="45" t="str">
        <x:v>Abierta</x:v>
      </x:c>
      <x:c r="F410" s="51" t="d">
        <x:v>2025-10-19T00:00:00.000Z</x:v>
      </x:c>
      <x:c r="G410" s="45" t="str">
        <x:v>Pachuca De Soto</x:v>
      </x:c>
      <x:c r="H410" s="45" t="str">
        <x:v>Hidalgo</x:v>
      </x:c>
      <x:c r="I410" s="52" t="n">
        <x:v>20.094506452377164</x:v>
      </x:c>
      <x:c r="J410" s="52" t="n">
        <x:v>-98.7611983695264</x:v>
      </x:c>
      <x:c r="K410" s="45" t="str">
        <x:v>Drive_Thru</x:v>
      </x:c>
      <x:c r="L410" s="45" t="str">
        <x:v>Neighborhood</x:v>
      </x:c>
      <x:c r="M410" s="45" t="str">
        <x:v>C2</x:v>
      </x:c>
      <x:c r="N410" s="45" t="str">
        <x:v>Sí</x:v>
      </x:c>
      <x:c r="O410" s="45" t="str">
        <x:v>David Carrasco Hernandez</x:v>
      </x:c>
      <x:c r="P410" s="45" t="str">
        <x:v>Ops y Directorio Alsea · octubre 2026</x:v>
      </x:c>
      <x:c r="Q410" s="45" t="str">
        <x:v>CMS anterior</x:v>
      </x:c>
      <x:c r="R410" s="45" t="str">
        <x:v>Abierta</x:v>
      </x:c>
      <x:c r="S410" s="45" t="str"/>
      <x:c r="T410" s="45" t="n">
        <x:f>IF(AND(E410="Abierta",N410="Sí",ISNUMBER(I410),ISNUMBER(J410),ABS(I410)&lt;=90,ABS(J410)&lt;=180),1,0)</x:f>
        <x:v>1</x:v>
      </x:c>
    </x:row>
    <x:row r="411" ht="23" customHeight="1">
      <x:c r="A411" s="45" t="str">
        <x:v>Bajío</x:v>
      </x:c>
      <x:c r="B411" s="45" t="str">
        <x:v>David Carrasco</x:v>
      </x:c>
      <x:c r="C411" s="50" t="str">
        <x:v>43256</x:v>
      </x:c>
      <x:c r="D411" s="45" t="str">
        <x:v>Zumpango Town Center</x:v>
      </x:c>
      <x:c r="E411" s="45" t="str">
        <x:v>Abierta</x:v>
      </x:c>
      <x:c r="F411" s="51" t="d">
        <x:v>2026-09-19T00:00:00.000Z</x:v>
      </x:c>
      <x:c r="G411" s="45" t="str">
        <x:v>Zumpango de Ocampo</x:v>
      </x:c>
      <x:c r="H411" s="45" t="str">
        <x:v>Estado De México</x:v>
      </x:c>
      <x:c r="I411" s="52" t="n">
        <x:v>19.7915871941135</x:v>
      </x:c>
      <x:c r="J411" s="52" t="n">
        <x:v>-99.0560672246231</x:v>
      </x:c>
      <x:c r="K411" s="45" t="str">
        <x:v>Cafe</x:v>
      </x:c>
      <x:c r="L411" s="45" t="str">
        <x:v>Retail</x:v>
      </x:c>
      <x:c r="M411" s="45" t="str">
        <x:v>C2</x:v>
      </x:c>
      <x:c r="N411" s="45" t="str">
        <x:v>Sí</x:v>
      </x:c>
      <x:c r="O411" s="45" t="str">
        <x:v>David Carrasco Hernandez</x:v>
      </x:c>
      <x:c r="P411" s="45" t="str">
        <x:v>Ops y Directorio Alsea · octubre 2026</x:v>
      </x:c>
      <x:c r="Q411" s="45" t="str">
        <x:v>CMS anterior</x:v>
      </x:c>
      <x:c r="R411" s="45" t="str">
        <x:v>Abierta</x:v>
      </x:c>
      <x:c r="S411" s="45" t="str"/>
      <x:c r="T411" s="45" t="n">
        <x:f>IF(AND(E411="Abierta",N411="Sí",ISNUMBER(I411),ISNUMBER(J411),ABS(I411)&lt;=90,ABS(J411)&lt;=180),1,0)</x:f>
        <x:v>1</x:v>
      </x:c>
    </x:row>
    <x:row r="412" ht="23" customHeight="1">
      <x:c r="A412" s="45" t="str">
        <x:v>Bajío</x:v>
      </x:c>
      <x:c r="B412" s="45" t="str">
        <x:v>Elizabeth Berenice Chaires Espinoza</x:v>
      </x:c>
      <x:c r="C412" s="50" t="str">
        <x:v>38306</x:v>
      </x:c>
      <x:c r="D412" s="45" t="str">
        <x:v>Irapuato 1</x:v>
      </x:c>
      <x:c r="E412" s="45" t="str">
        <x:v>Abierta</x:v>
      </x:c>
      <x:c r="F412" s="51" t="d">
        <x:v>2008-03-28T00:00:00.000Z</x:v>
      </x:c>
      <x:c r="G412" s="45" t="str">
        <x:v>Irapuato</x:v>
      </x:c>
      <x:c r="H412" s="45" t="str">
        <x:v>Guanajuato</x:v>
      </x:c>
      <x:c r="I412" s="52" t="n">
        <x:v>20.6824873</x:v>
      </x:c>
      <x:c r="J412" s="52" t="n">
        <x:v>-101.3806984</x:v>
      </x:c>
      <x:c r="K412" s="45" t="str">
        <x:v>Drive_Thru</x:v>
      </x:c>
      <x:c r="L412" s="45" t="str">
        <x:v>Transfers</x:v>
      </x:c>
      <x:c r="M412" s="45" t="str">
        <x:v>C2</x:v>
      </x:c>
      <x:c r="N412" s="45" t="str">
        <x:v>Sí</x:v>
      </x:c>
      <x:c r="O412" s="45" t="str">
        <x:v>Elizabeth Berenice Chaires Espinoza</x:v>
      </x:c>
      <x:c r="P412" s="45" t="str">
        <x:v>Ops y Directorio Alsea · octubre 2026</x:v>
      </x:c>
      <x:c r="Q412" s="45" t="str">
        <x:v>Puntos proporcionados</x:v>
      </x:c>
      <x:c r="R412" s="45" t="str">
        <x:v>Abierta</x:v>
      </x:c>
      <x:c r="S412" s="45" t="str"/>
      <x:c r="T412" s="45" t="n">
        <x:f>IF(AND(E412="Abierta",N412="Sí",ISNUMBER(I412),ISNUMBER(J412),ABS(I412)&lt;=90,ABS(J412)&lt;=180),1,0)</x:f>
        <x:v>1</x:v>
      </x:c>
    </x:row>
    <x:row r="413" ht="23" customHeight="1">
      <x:c r="A413" s="45" t="str">
        <x:v>Bajío</x:v>
      </x:c>
      <x:c r="B413" s="45" t="str">
        <x:v>Elizabeth Berenice Chaires Espinoza</x:v>
      </x:c>
      <x:c r="C413" s="50" t="str">
        <x:v>38315</x:v>
      </x:c>
      <x:c r="D413" s="45" t="str">
        <x:v>Celaya Lopez Mateos</x:v>
      </x:c>
      <x:c r="E413" s="45" t="str">
        <x:v>Abierta</x:v>
      </x:c>
      <x:c r="F413" s="51" t="d">
        <x:v>2008-06-06T00:00:00.000Z</x:v>
      </x:c>
      <x:c r="G413" s="45" t="str">
        <x:v>Celaya</x:v>
      </x:c>
      <x:c r="H413" s="45" t="str">
        <x:v>Guanajuato</x:v>
      </x:c>
      <x:c r="I413" s="52" t="n">
        <x:v>20.519655</x:v>
      </x:c>
      <x:c r="J413" s="52" t="n">
        <x:v>-100.828816</x:v>
      </x:c>
      <x:c r="K413" s="45" t="str">
        <x:v>Cafe</x:v>
      </x:c>
      <x:c r="L413" s="45" t="str">
        <x:v>Retail</x:v>
      </x:c>
      <x:c r="M413" s="45" t="str">
        <x:v>C2</x:v>
      </x:c>
      <x:c r="N413" s="45" t="str">
        <x:v>Sí</x:v>
      </x:c>
      <x:c r="O413" s="45" t="str">
        <x:v>Elizabeth Berenice Chaires Espinoza</x:v>
      </x:c>
      <x:c r="P413" s="45" t="str">
        <x:v>Ops y Directorio Alsea · octubre 2026</x:v>
      </x:c>
      <x:c r="Q413" s="45" t="str">
        <x:v>Puntos proporcionados</x:v>
      </x:c>
      <x:c r="R413" s="45" t="str">
        <x:v>Abierta</x:v>
      </x:c>
      <x:c r="S413" s="45" t="str"/>
      <x:c r="T413" s="45" t="n">
        <x:f>IF(AND(E413="Abierta",N413="Sí",ISNUMBER(I413),ISNUMBER(J413),ABS(I413)&lt;=90,ABS(J413)&lt;=180),1,0)</x:f>
        <x:v>1</x:v>
      </x:c>
    </x:row>
    <x:row r="414" ht="23" customHeight="1">
      <x:c r="A414" s="45" t="str">
        <x:v>Bajío</x:v>
      </x:c>
      <x:c r="B414" s="45" t="str">
        <x:v>Elizabeth Berenice Chaires Espinoza</x:v>
      </x:c>
      <x:c r="C414" s="50" t="str">
        <x:v>38520</x:v>
      </x:c>
      <x:c r="D414" s="45" t="str">
        <x:v>Celaya Campestre</x:v>
      </x:c>
      <x:c r="E414" s="45" t="str">
        <x:v>Abierta</x:v>
      </x:c>
      <x:c r="F414" s="51" t="d">
        <x:v>2013-12-05T00:00:00.000Z</x:v>
      </x:c>
      <x:c r="G414" s="45" t="str">
        <x:v>Celaya</x:v>
      </x:c>
      <x:c r="H414" s="45" t="str">
        <x:v>Guanajuato</x:v>
      </x:c>
      <x:c r="I414" s="52" t="n">
        <x:v>20.5179034</x:v>
      </x:c>
      <x:c r="J414" s="52" t="n">
        <x:v>-100.79085</x:v>
      </x:c>
      <x:c r="K414" s="45" t="str">
        <x:v>Cafe</x:v>
      </x:c>
      <x:c r="L414" s="45" t="str">
        <x:v>Retail</x:v>
      </x:c>
      <x:c r="M414" s="45" t="str">
        <x:v>C2</x:v>
      </x:c>
      <x:c r="N414" s="45" t="str">
        <x:v>Sí</x:v>
      </x:c>
      <x:c r="O414" s="45" t="str">
        <x:v>Elizabeth Berenice Chaires Espinoza</x:v>
      </x:c>
      <x:c r="P414" s="45" t="str">
        <x:v>Ops y Directorio Alsea · octubre 2026</x:v>
      </x:c>
      <x:c r="Q414" s="45" t="str">
        <x:v>Puntos proporcionados</x:v>
      </x:c>
      <x:c r="R414" s="45" t="str">
        <x:v>Abierta</x:v>
      </x:c>
      <x:c r="S414" s="45" t="str"/>
      <x:c r="T414" s="45" t="n">
        <x:f>IF(AND(E414="Abierta",N414="Sí",ISNUMBER(I414),ISNUMBER(J414),ABS(I414)&lt;=90,ABS(J414)&lt;=180),1,0)</x:f>
        <x:v>1</x:v>
      </x:c>
    </x:row>
    <x:row r="415" ht="23" customHeight="1">
      <x:c r="A415" s="45" t="str">
        <x:v>Bajío</x:v>
      </x:c>
      <x:c r="B415" s="45" t="str">
        <x:v>Elizabeth Berenice Chaires Espinoza</x:v>
      </x:c>
      <x:c r="C415" s="50" t="str">
        <x:v>38631</x:v>
      </x:c>
      <x:c r="D415" s="45" t="str">
        <x:v>Plaza Cibeles</x:v>
      </x:c>
      <x:c r="E415" s="45" t="str">
        <x:v>Abierta</x:v>
      </x:c>
      <x:c r="F415" s="51" t="d">
        <x:v>2015-12-21T00:00:00.000Z</x:v>
      </x:c>
      <x:c r="G415" s="45" t="str">
        <x:v>Irapuato</x:v>
      </x:c>
      <x:c r="H415" s="45" t="str">
        <x:v>Guanajuato</x:v>
      </x:c>
      <x:c r="I415" s="52" t="n">
        <x:v>20.6814536</x:v>
      </x:c>
      <x:c r="J415" s="52" t="n">
        <x:v>-101.3813932</x:v>
      </x:c>
      <x:c r="K415" s="45" t="str">
        <x:v>Cafe</x:v>
      </x:c>
      <x:c r="L415" s="45" t="str">
        <x:v>Retail</x:v>
      </x:c>
      <x:c r="M415" s="45" t="str">
        <x:v>C2</x:v>
      </x:c>
      <x:c r="N415" s="45" t="str">
        <x:v>Sí</x:v>
      </x:c>
      <x:c r="O415" s="45" t="str">
        <x:v>Elizabeth Berenice Chaires Espinoza</x:v>
      </x:c>
      <x:c r="P415" s="45" t="str">
        <x:v>Ops y Directorio Alsea · octubre 2026</x:v>
      </x:c>
      <x:c r="Q415" s="45" t="str">
        <x:v>Puntos proporcionados</x:v>
      </x:c>
      <x:c r="R415" s="45" t="str">
        <x:v>Abierta</x:v>
      </x:c>
      <x:c r="S415" s="45" t="str"/>
      <x:c r="T415" s="45" t="n">
        <x:f>IF(AND(E415="Abierta",N415="Sí",ISNUMBER(I415),ISNUMBER(J415),ABS(I415)&lt;=90,ABS(J415)&lt;=180),1,0)</x:f>
        <x:v>1</x:v>
      </x:c>
    </x:row>
    <x:row r="416" ht="23" customHeight="1">
      <x:c r="A416" s="45" t="str">
        <x:v>Bajío</x:v>
      </x:c>
      <x:c r="B416" s="45" t="str">
        <x:v>Elizabeth Berenice Chaires Espinoza</x:v>
      </x:c>
      <x:c r="C416" s="50" t="str">
        <x:v>38665</x:v>
      </x:c>
      <x:c r="D416" s="45" t="str">
        <x:v>Galerias Celaya</x:v>
      </x:c>
      <x:c r="E416" s="45" t="str">
        <x:v>Abierta</x:v>
      </x:c>
      <x:c r="F416" s="51" t="d">
        <x:v>2016-08-30T00:00:00.000Z</x:v>
      </x:c>
      <x:c r="G416" s="45" t="str">
        <x:v>Celaya</x:v>
      </x:c>
      <x:c r="H416" s="45" t="str">
        <x:v>Guanajuato</x:v>
      </x:c>
      <x:c r="I416" s="52" t="n">
        <x:v>20.5321454</x:v>
      </x:c>
      <x:c r="J416" s="52" t="n">
        <x:v>-100.7789009</x:v>
      </x:c>
      <x:c r="K416" s="45" t="str">
        <x:v>Cafe</x:v>
      </x:c>
      <x:c r="L416" s="45" t="str">
        <x:v>Retail</x:v>
      </x:c>
      <x:c r="M416" s="45" t="str">
        <x:v>C2</x:v>
      </x:c>
      <x:c r="N416" s="45" t="str">
        <x:v>Sí</x:v>
      </x:c>
      <x:c r="O416" s="45" t="str">
        <x:v>Elizabeth Berenice Chaires Espinoza</x:v>
      </x:c>
      <x:c r="P416" s="45" t="str">
        <x:v>Ops y Directorio Alsea · octubre 2026</x:v>
      </x:c>
      <x:c r="Q416" s="45" t="str">
        <x:v>Puntos proporcionados</x:v>
      </x:c>
      <x:c r="R416" s="45" t="str">
        <x:v>Abierta</x:v>
      </x:c>
      <x:c r="S416" s="45" t="str"/>
      <x:c r="T416" s="45" t="n">
        <x:f>IF(AND(E416="Abierta",N416="Sí",ISNUMBER(I416),ISNUMBER(J416),ABS(I416)&lt;=90,ABS(J416)&lt;=180),1,0)</x:f>
        <x:v>1</x:v>
      </x:c>
    </x:row>
    <x:row r="417" ht="23" customHeight="1">
      <x:c r="A417" s="45" t="str">
        <x:v>Bajío</x:v>
      </x:c>
      <x:c r="B417" s="45" t="str">
        <x:v>Elizabeth Berenice Chaires Espinoza</x:v>
      </x:c>
      <x:c r="C417" s="50" t="str">
        <x:v>38669</x:v>
      </x:c>
      <x:c r="D417" s="45" t="str">
        <x:v>Salamanca Power Town</x:v>
      </x:c>
      <x:c r="E417" s="45" t="str">
        <x:v>Abierta</x:v>
      </x:c>
      <x:c r="F417" s="51" t="d">
        <x:v>2016-10-02T00:00:00.000Z</x:v>
      </x:c>
      <x:c r="G417" s="45" t="str">
        <x:v>Salamanca</x:v>
      </x:c>
      <x:c r="H417" s="45" t="str">
        <x:v>Guanajuato</x:v>
      </x:c>
      <x:c r="I417" s="52" t="n">
        <x:v>20.5831254</x:v>
      </x:c>
      <x:c r="J417" s="52" t="n">
        <x:v>-101.2300941</x:v>
      </x:c>
      <x:c r="K417" s="45" t="str">
        <x:v>Cafe</x:v>
      </x:c>
      <x:c r="L417" s="45" t="str">
        <x:v>Retail</x:v>
      </x:c>
      <x:c r="M417" s="45" t="str">
        <x:v>C2</x:v>
      </x:c>
      <x:c r="N417" s="45" t="str">
        <x:v>Sí</x:v>
      </x:c>
      <x:c r="O417" s="45" t="str">
        <x:v>Elizabeth Berenice Chaires Espinoza</x:v>
      </x:c>
      <x:c r="P417" s="45" t="str">
        <x:v>Ops y Directorio Alsea · octubre 2026</x:v>
      </x:c>
      <x:c r="Q417" s="45" t="str">
        <x:v>Puntos proporcionados</x:v>
      </x:c>
      <x:c r="R417" s="45" t="str">
        <x:v>Abierta</x:v>
      </x:c>
      <x:c r="S417" s="45" t="str"/>
      <x:c r="T417" s="45" t="n">
        <x:f>IF(AND(E417="Abierta",N417="Sí",ISNUMBER(I417),ISNUMBER(J417),ABS(I417)&lt;=90,ABS(J417)&lt;=180),1,0)</x:f>
        <x:v>1</x:v>
      </x:c>
    </x:row>
    <x:row r="418" ht="23" customHeight="1">
      <x:c r="A418" s="45" t="str">
        <x:v>Bajío</x:v>
      </x:c>
      <x:c r="B418" s="45" t="str">
        <x:v>Elizabeth Berenice Chaires Espinoza</x:v>
      </x:c>
      <x:c r="C418" s="50" t="str">
        <x:v>38689</x:v>
      </x:c>
      <x:c r="D418" s="45" t="str">
        <x:v>Carretera Irapuato</x:v>
      </x:c>
      <x:c r="E418" s="45" t="str">
        <x:v>Abierta</x:v>
      </x:c>
      <x:c r="F418" s="51" t="d">
        <x:v>2016-11-23T00:00:00.000Z</x:v>
      </x:c>
      <x:c r="G418" s="45" t="str">
        <x:v>Irapuato</x:v>
      </x:c>
      <x:c r="H418" s="45" t="str">
        <x:v>Guanajuato</x:v>
      </x:c>
      <x:c r="I418" s="52" t="n">
        <x:v>20.7105713</x:v>
      </x:c>
      <x:c r="J418" s="52" t="n">
        <x:v>-101.3262165</x:v>
      </x:c>
      <x:c r="K418" s="45" t="str">
        <x:v>Drive_Thru</x:v>
      </x:c>
      <x:c r="L418" s="45" t="str">
        <x:v>Transfers</x:v>
      </x:c>
      <x:c r="M418" s="45" t="str">
        <x:v>C3</x:v>
      </x:c>
      <x:c r="N418" s="45" t="str">
        <x:v>Sí</x:v>
      </x:c>
      <x:c r="O418" s="45" t="str">
        <x:v>Elizabeth Berenice Chaires Espinoza</x:v>
      </x:c>
      <x:c r="P418" s="45" t="str">
        <x:v>Ops y Directorio Alsea · octubre 2026</x:v>
      </x:c>
      <x:c r="Q418" s="45" t="str">
        <x:v>Puntos proporcionados</x:v>
      </x:c>
      <x:c r="R418" s="45" t="str">
        <x:v>Abierta</x:v>
      </x:c>
      <x:c r="S418" s="45" t="str"/>
      <x:c r="T418" s="45" t="n">
        <x:f>IF(AND(E418="Abierta",N418="Sí",ISNUMBER(I418),ISNUMBER(J418),ABS(I418)&lt;=90,ABS(J418)&lt;=180),1,0)</x:f>
        <x:v>1</x:v>
      </x:c>
    </x:row>
    <x:row r="419" ht="23" customHeight="1">
      <x:c r="A419" s="45" t="str">
        <x:v>Bajío</x:v>
      </x:c>
      <x:c r="B419" s="45" t="str">
        <x:v>Elizabeth Berenice Chaires Espinoza</x:v>
      </x:c>
      <x:c r="C419" s="50" t="str">
        <x:v>38735</x:v>
      </x:c>
      <x:c r="D419" s="45" t="str">
        <x:v>Salamanca Mazda</x:v>
      </x:c>
      <x:c r="E419" s="45" t="str">
        <x:v>Abierta</x:v>
      </x:c>
      <x:c r="F419" s="51" t="d">
        <x:v>2017-07-21T00:00:00.000Z</x:v>
      </x:c>
      <x:c r="G419" s="45" t="str">
        <x:v>Salamanca</x:v>
      </x:c>
      <x:c r="H419" s="45" t="str">
        <x:v>Guanajuato</x:v>
      </x:c>
      <x:c r="I419" s="52" t="n">
        <x:v>20.6035784</x:v>
      </x:c>
      <x:c r="J419" s="52" t="n">
        <x:v>-101.2452372</x:v>
      </x:c>
      <x:c r="K419" s="45" t="str">
        <x:v>Drive_Thru</x:v>
      </x:c>
      <x:c r="L419" s="45" t="str">
        <x:v>Transfers</x:v>
      </x:c>
      <x:c r="M419" s="45" t="str">
        <x:v>C3</x:v>
      </x:c>
      <x:c r="N419" s="45" t="str">
        <x:v>Sí</x:v>
      </x:c>
      <x:c r="O419" s="45" t="str">
        <x:v>Elizabeth Berenice Chaires Espinoza</x:v>
      </x:c>
      <x:c r="P419" s="45" t="str">
        <x:v>Ops y Directorio Alsea · octubre 2026</x:v>
      </x:c>
      <x:c r="Q419" s="45" t="str">
        <x:v>Puntos proporcionados</x:v>
      </x:c>
      <x:c r="R419" s="45" t="str">
        <x:v>Abierta</x:v>
      </x:c>
      <x:c r="S419" s="45" t="str"/>
      <x:c r="T419" s="45" t="n">
        <x:f>IF(AND(E419="Abierta",N419="Sí",ISNUMBER(I419),ISNUMBER(J419),ABS(I419)&lt;=90,ABS(J419)&lt;=180),1,0)</x:f>
        <x:v>1</x:v>
      </x:c>
    </x:row>
    <x:row r="420" ht="23" customHeight="1">
      <x:c r="A420" s="45" t="str">
        <x:v>Bajío</x:v>
      </x:c>
      <x:c r="B420" s="45" t="str">
        <x:v>Elizabeth Berenice Chaires Espinoza</x:v>
      </x:c>
      <x:c r="C420" s="50" t="str">
        <x:v>38818</x:v>
      </x:c>
      <x:c r="D420" s="45" t="str">
        <x:v>Centro Jacarandas</x:v>
      </x:c>
      <x:c r="E420" s="45" t="str">
        <x:v>Abierta</x:v>
      </x:c>
      <x:c r="F420" s="51" t="d">
        <x:v>2018-07-21T00:00:00.000Z</x:v>
      </x:c>
      <x:c r="G420" s="45" t="str">
        <x:v>Irapuato</x:v>
      </x:c>
      <x:c r="H420" s="45" t="str">
        <x:v>Guanajuato</x:v>
      </x:c>
      <x:c r="I420" s="52" t="n">
        <x:v>20.674669</x:v>
      </x:c>
      <x:c r="J420" s="52" t="n">
        <x:v>-101.371492</x:v>
      </x:c>
      <x:c r="K420" s="45" t="str">
        <x:v>Cafe</x:v>
      </x:c>
      <x:c r="L420" s="45" t="str">
        <x:v>Retail</x:v>
      </x:c>
      <x:c r="M420" s="45" t="str">
        <x:v>C2</x:v>
      </x:c>
      <x:c r="N420" s="45" t="str">
        <x:v>Sí</x:v>
      </x:c>
      <x:c r="O420" s="45" t="str">
        <x:v>Elizabeth Berenice Chaires Espinoza</x:v>
      </x:c>
      <x:c r="P420" s="45" t="str">
        <x:v>Ops y Directorio Alsea · octubre 2026</x:v>
      </x:c>
      <x:c r="Q420" s="45" t="str">
        <x:v>Puntos proporcionados</x:v>
      </x:c>
      <x:c r="R420" s="45" t="str">
        <x:v>Abierta</x:v>
      </x:c>
      <x:c r="S420" s="45" t="str"/>
      <x:c r="T420" s="45" t="n">
        <x:f>IF(AND(E420="Abierta",N420="Sí",ISNUMBER(I420),ISNUMBER(J420),ABS(I420)&lt;=90,ABS(J420)&lt;=180),1,0)</x:f>
        <x:v>1</x:v>
      </x:c>
    </x:row>
    <x:row r="421" ht="23" customHeight="1">
      <x:c r="A421" s="45" t="str">
        <x:v>Bajío</x:v>
      </x:c>
      <x:c r="B421" s="45" t="str">
        <x:v>Elizabeth Berenice Chaires Espinoza</x:v>
      </x:c>
      <x:c r="C421" s="50" t="str">
        <x:v>38953</x:v>
      </x:c>
      <x:c r="D421" s="45" t="str">
        <x:v>Fragaria Irapuato</x:v>
      </x:c>
      <x:c r="E421" s="45" t="str">
        <x:v>Abierta</x:v>
      </x:c>
      <x:c r="F421" s="51" t="d">
        <x:v>2023-05-04T00:00:00.000Z</x:v>
      </x:c>
      <x:c r="G421" s="45" t="str">
        <x:v>Irapuato</x:v>
      </x:c>
      <x:c r="H421" s="45" t="str">
        <x:v>Guanajuato</x:v>
      </x:c>
      <x:c r="I421" s="52" t="n">
        <x:v>20.7095421</x:v>
      </x:c>
      <x:c r="J421" s="52" t="n">
        <x:v>-101.3518093</x:v>
      </x:c>
      <x:c r="K421" s="45" t="str">
        <x:v>Drive_Thru</x:v>
      </x:c>
      <x:c r="L421" s="45" t="str">
        <x:v>Retail</x:v>
      </x:c>
      <x:c r="M421" s="45" t="str">
        <x:v>C2</x:v>
      </x:c>
      <x:c r="N421" s="45" t="str">
        <x:v>Sí</x:v>
      </x:c>
      <x:c r="O421" s="45" t="str">
        <x:v>Elizabeth Berenice Chaires Espinoza</x:v>
      </x:c>
      <x:c r="P421" s="45" t="str">
        <x:v>Ops y Directorio Alsea · octubre 2026</x:v>
      </x:c>
      <x:c r="Q421" s="45" t="str">
        <x:v>Puntos proporcionados</x:v>
      </x:c>
      <x:c r="R421" s="45" t="str">
        <x:v>Abierta</x:v>
      </x:c>
      <x:c r="S421" s="45" t="str"/>
      <x:c r="T421" s="45" t="n">
        <x:f>IF(AND(E421="Abierta",N421="Sí",ISNUMBER(I421),ISNUMBER(J421),ABS(I421)&lt;=90,ABS(J421)&lt;=180),1,0)</x:f>
        <x:v>1</x:v>
      </x:c>
    </x:row>
    <x:row r="422" ht="23" customHeight="1">
      <x:c r="A422" s="45" t="str">
        <x:v>Bajío</x:v>
      </x:c>
      <x:c r="B422" s="45" t="str">
        <x:v>Elizabeth Berenice Chaires Espinoza</x:v>
      </x:c>
      <x:c r="C422" s="50" t="str">
        <x:v>43050</x:v>
      </x:c>
      <x:c r="D422" s="45" t="str">
        <x:v>Galerias Uriangato DT</x:v>
      </x:c>
      <x:c r="E422" s="45" t="str">
        <x:v>Abierta</x:v>
      </x:c>
      <x:c r="F422" s="51" t="d">
        <x:v>2024-09-12T00:00:00.000Z</x:v>
      </x:c>
      <x:c r="G422" s="45" t="str">
        <x:v>Uriangato</x:v>
      </x:c>
      <x:c r="H422" s="45" t="str">
        <x:v>Guanajuato</x:v>
      </x:c>
      <x:c r="I422" s="52" t="n">
        <x:v>20.1208341</x:v>
      </x:c>
      <x:c r="J422" s="52" t="n">
        <x:v>-101.1779528</x:v>
      </x:c>
      <x:c r="K422" s="45" t="str">
        <x:v>Drive_Thru</x:v>
      </x:c>
      <x:c r="L422" s="45" t="str">
        <x:v>Retail</x:v>
      </x:c>
      <x:c r="M422" s="45" t="str">
        <x:v>C2</x:v>
      </x:c>
      <x:c r="N422" s="45" t="str">
        <x:v>Sí</x:v>
      </x:c>
      <x:c r="O422" s="45" t="str">
        <x:v>Elizabeth Berenice Chaires Espinoza</x:v>
      </x:c>
      <x:c r="P422" s="45" t="str">
        <x:v>Ops y Directorio Alsea · octubre 2026</x:v>
      </x:c>
      <x:c r="Q422" s="45" t="str">
        <x:v>Puntos proporcionados</x:v>
      </x:c>
      <x:c r="R422" s="45" t="str">
        <x:v>Abierta</x:v>
      </x:c>
      <x:c r="S422" s="45" t="str"/>
      <x:c r="T422" s="45" t="n">
        <x:f>IF(AND(E422="Abierta",N422="Sí",ISNUMBER(I422),ISNUMBER(J422),ABS(I422)&lt;=90,ABS(J422)&lt;=180),1,0)</x:f>
        <x:v>1</x:v>
      </x:c>
    </x:row>
    <x:row r="423" ht="23" customHeight="1">
      <x:c r="A423" s="45" t="str">
        <x:v>Bajío</x:v>
      </x:c>
      <x:c r="B423" s="45" t="str">
        <x:v>Elizabeth Berenice Chaires Espinoza</x:v>
      </x:c>
      <x:c r="C423" s="50" t="str">
        <x:v>43071</x:v>
      </x:c>
      <x:c r="D423" s="45" t="str">
        <x:v>Tecnologico Celaya</x:v>
      </x:c>
      <x:c r="E423" s="45" t="str">
        <x:v>Abierta</x:v>
      </x:c>
      <x:c r="F423" s="51" t="d">
        <x:v>2025-08-28T00:00:00.000Z</x:v>
      </x:c>
      <x:c r="G423" s="45" t="str">
        <x:v>Celaya</x:v>
      </x:c>
      <x:c r="H423" s="45" t="str">
        <x:v>Guanajuato</x:v>
      </x:c>
      <x:c r="I423" s="52" t="n">
        <x:v>20.5564259</x:v>
      </x:c>
      <x:c r="J423" s="52" t="n">
        <x:v>-100.8221361</x:v>
      </x:c>
      <x:c r="K423" s="45" t="str">
        <x:v>Drive_Thru</x:v>
      </x:c>
      <x:c r="L423" s="45" t="str">
        <x:v>Retail</x:v>
      </x:c>
      <x:c r="M423" s="45" t="str">
        <x:v>C2</x:v>
      </x:c>
      <x:c r="N423" s="45" t="str">
        <x:v>Sí</x:v>
      </x:c>
      <x:c r="O423" s="45" t="str">
        <x:v>Elizabeth Berenice Chaires Espinoza</x:v>
      </x:c>
      <x:c r="P423" s="45" t="str">
        <x:v>Ops y Directorio Alsea · octubre 2026</x:v>
      </x:c>
      <x:c r="Q423" s="45" t="str">
        <x:v>Puntos proporcionados</x:v>
      </x:c>
      <x:c r="R423" s="45" t="str">
        <x:v>Abierta</x:v>
      </x:c>
      <x:c r="S423" s="45" t="str"/>
      <x:c r="T423" s="45" t="n">
        <x:f>IF(AND(E423="Abierta",N423="Sí",ISNUMBER(I423),ISNUMBER(J423),ABS(I423)&lt;=90,ABS(J423)&lt;=180),1,0)</x:f>
        <x:v>1</x:v>
      </x:c>
    </x:row>
    <x:row r="424" ht="23" customHeight="1">
      <x:c r="A424" s="45" t="str">
        <x:v>Bajío</x:v>
      </x:c>
      <x:c r="B424" s="45" t="str">
        <x:v>Gloria Montiel Piñon</x:v>
      </x:c>
      <x:c r="C424" s="50" t="str">
        <x:v>38268</x:v>
      </x:c>
      <x:c r="D424" s="45" t="str">
        <x:v>Plaza Boulevares</x:v>
      </x:c>
      <x:c r="E424" s="45" t="str">
        <x:v>Abierta</x:v>
      </x:c>
      <x:c r="F424" s="51" t="d">
        <x:v>2007-11-09T00:00:00.000Z</x:v>
      </x:c>
      <x:c r="G424" s="45" t="str">
        <x:v>Querétaro</x:v>
      </x:c>
      <x:c r="H424" s="45" t="str">
        <x:v>Querétaro</x:v>
      </x:c>
      <x:c r="I424" s="52" t="n">
        <x:v>20.614683</x:v>
      </x:c>
      <x:c r="J424" s="52" t="n">
        <x:v>-100.387737</x:v>
      </x:c>
      <x:c r="K424" s="45" t="str">
        <x:v>Cafe</x:v>
      </x:c>
      <x:c r="L424" s="45" t="str">
        <x:v>Retail</x:v>
      </x:c>
      <x:c r="M424" s="45" t="str">
        <x:v>C1</x:v>
      </x:c>
      <x:c r="N424" s="45" t="str">
        <x:v>Sí</x:v>
      </x:c>
      <x:c r="O424" s="45" t="str">
        <x:v>Gloria Montiel Piñon</x:v>
      </x:c>
      <x:c r="P424" s="45" t="str">
        <x:v>Ops y Directorio Alsea · octubre 2026</x:v>
      </x:c>
      <x:c r="Q424" s="45" t="str">
        <x:v>Puntos proporcionados</x:v>
      </x:c>
      <x:c r="R424" s="45" t="str">
        <x:v>Abierta</x:v>
      </x:c>
      <x:c r="S424" s="45" t="str"/>
      <x:c r="T424" s="45" t="n">
        <x:f>IF(AND(E424="Abierta",N424="Sí",ISNUMBER(I424),ISNUMBER(J424),ABS(I424)&lt;=90,ABS(J424)&lt;=180),1,0)</x:f>
        <x:v>1</x:v>
      </x:c>
    </x:row>
    <x:row r="425" ht="23" customHeight="1">
      <x:c r="A425" s="45" t="str">
        <x:v>Bajío</x:v>
      </x:c>
      <x:c r="B425" s="45" t="str">
        <x:v>Gloria Montiel Piñon</x:v>
      </x:c>
      <x:c r="C425" s="50" t="str">
        <x:v>38286</x:v>
      </x:c>
      <x:c r="D425" s="45" t="str">
        <x:v>Los Arcos Queretaro</x:v>
      </x:c>
      <x:c r="E425" s="45" t="str">
        <x:v>Abierta</x:v>
      </x:c>
      <x:c r="F425" s="51" t="d">
        <x:v>2007-12-14T00:00:00.000Z</x:v>
      </x:c>
      <x:c r="G425" s="45" t="str">
        <x:v>Querétaro</x:v>
      </x:c>
      <x:c r="H425" s="45" t="str">
        <x:v>Querétaro</x:v>
      </x:c>
      <x:c r="I425" s="52" t="n">
        <x:v>20.594019</x:v>
      </x:c>
      <x:c r="J425" s="52" t="n">
        <x:v>-100.376311</x:v>
      </x:c>
      <x:c r="K425" s="45" t="str">
        <x:v>Cafe</x:v>
      </x:c>
      <x:c r="L425" s="45" t="str">
        <x:v>Neighborhood</x:v>
      </x:c>
      <x:c r="M425" s="45" t="str">
        <x:v>C1</x:v>
      </x:c>
      <x:c r="N425" s="45" t="str">
        <x:v>Sí</x:v>
      </x:c>
      <x:c r="O425" s="45" t="str">
        <x:v>Gloria Montiel Piñon</x:v>
      </x:c>
      <x:c r="P425" s="45" t="str">
        <x:v>Ops y Directorio Alsea · octubre 2026</x:v>
      </x:c>
      <x:c r="Q425" s="45" t="str">
        <x:v>Puntos proporcionados</x:v>
      </x:c>
      <x:c r="R425" s="45" t="str">
        <x:v>Abierta</x:v>
      </x:c>
      <x:c r="S425" s="45" t="str"/>
      <x:c r="T425" s="45" t="n">
        <x:f>IF(AND(E425="Abierta",N425="Sí",ISNUMBER(I425),ISNUMBER(J425),ABS(I425)&lt;=90,ABS(J425)&lt;=180),1,0)</x:f>
        <x:v>1</x:v>
      </x:c>
    </x:row>
    <x:row r="426" ht="23" customHeight="1">
      <x:c r="A426" s="45" t="str">
        <x:v>Bajío</x:v>
      </x:c>
      <x:c r="B426" s="45" t="str">
        <x:v>Gloria Montiel Piñon</x:v>
      </x:c>
      <x:c r="C426" s="50" t="str">
        <x:v>38601</x:v>
      </x:c>
      <x:c r="D426" s="45" t="str">
        <x:v>Paseo Quintana</x:v>
      </x:c>
      <x:c r="E426" s="45" t="str">
        <x:v>Abierta</x:v>
      </x:c>
      <x:c r="F426" s="51" t="d">
        <x:v>2015-08-21T00:00:00.000Z</x:v>
      </x:c>
      <x:c r="G426" s="45" t="str">
        <x:v>Querétaro</x:v>
      </x:c>
      <x:c r="H426" s="45" t="str">
        <x:v>Querétaro</x:v>
      </x:c>
      <x:c r="I426" s="52" t="n">
        <x:v>20.6106976</x:v>
      </x:c>
      <x:c r="J426" s="52" t="n">
        <x:v>-100.3822301</x:v>
      </x:c>
      <x:c r="K426" s="45" t="str">
        <x:v>Cafe</x:v>
      </x:c>
      <x:c r="L426" s="45" t="str">
        <x:v>Retail</x:v>
      </x:c>
      <x:c r="M426" s="45" t="str">
        <x:v>C1</x:v>
      </x:c>
      <x:c r="N426" s="45" t="str">
        <x:v>Sí</x:v>
      </x:c>
      <x:c r="O426" s="45" t="str">
        <x:v>Gloria Montiel Piñon</x:v>
      </x:c>
      <x:c r="P426" s="45" t="str">
        <x:v>Ops y Directorio Alsea · octubre 2026</x:v>
      </x:c>
      <x:c r="Q426" s="45" t="str">
        <x:v>Puntos proporcionados</x:v>
      </x:c>
      <x:c r="R426" s="45" t="str">
        <x:v>Abierta</x:v>
      </x:c>
      <x:c r="S426" s="45" t="str"/>
      <x:c r="T426" s="45" t="n">
        <x:f>IF(AND(E426="Abierta",N426="Sí",ISNUMBER(I426),ISNUMBER(J426),ABS(I426)&lt;=90,ABS(J426)&lt;=180),1,0)</x:f>
        <x:v>1</x:v>
      </x:c>
    </x:row>
    <x:row r="427" ht="23" customHeight="1">
      <x:c r="A427" s="45" t="str">
        <x:v>Bajío</x:v>
      </x:c>
      <x:c r="B427" s="45" t="str">
        <x:v>Gloria Montiel Piñon</x:v>
      </x:c>
      <x:c r="C427" s="50" t="str">
        <x:v>38642</x:v>
      </x:c>
      <x:c r="D427" s="45" t="str">
        <x:v>Carretera Mexico Queretaro</x:v>
      </x:c>
      <x:c r="E427" s="45" t="str">
        <x:v>Abierta</x:v>
      </x:c>
      <x:c r="F427" s="51" t="d">
        <x:v>2016-06-25T00:00:00.000Z</x:v>
      </x:c>
      <x:c r="G427" s="45" t="str">
        <x:v>El Marqués</x:v>
      </x:c>
      <x:c r="H427" s="45" t="str">
        <x:v>Querétaro</x:v>
      </x:c>
      <x:c r="I427" s="52" t="n">
        <x:v>20.586936</x:v>
      </x:c>
      <x:c r="J427" s="52" t="n">
        <x:v>-100.353219</x:v>
      </x:c>
      <x:c r="K427" s="45" t="str">
        <x:v>Drive_Thru</x:v>
      </x:c>
      <x:c r="L427" s="45" t="str">
        <x:v>Transfers</x:v>
      </x:c>
      <x:c r="M427" s="45" t="str">
        <x:v>C3</x:v>
      </x:c>
      <x:c r="N427" s="45" t="str">
        <x:v>Sí</x:v>
      </x:c>
      <x:c r="O427" s="45" t="str">
        <x:v>Gloria Montiel Piñon</x:v>
      </x:c>
      <x:c r="P427" s="45" t="str">
        <x:v>Ops y Directorio Alsea · octubre 2026</x:v>
      </x:c>
      <x:c r="Q427" s="45" t="str">
        <x:v>Puntos proporcionados</x:v>
      </x:c>
      <x:c r="R427" s="45" t="str">
        <x:v>Abierta</x:v>
      </x:c>
      <x:c r="S427" s="45" t="str"/>
      <x:c r="T427" s="45" t="n">
        <x:f>IF(AND(E427="Abierta",N427="Sí",ISNUMBER(I427),ISNUMBER(J427),ABS(I427)&lt;=90,ABS(J427)&lt;=180),1,0)</x:f>
        <x:v>1</x:v>
      </x:c>
    </x:row>
    <x:row r="428" ht="23" customHeight="1">
      <x:c r="A428" s="45" t="str">
        <x:v>Bajío</x:v>
      </x:c>
      <x:c r="B428" s="45" t="str">
        <x:v>Gloria Montiel Piñon</x:v>
      </x:c>
      <x:c r="C428" s="50" t="str">
        <x:v>38729</x:v>
      </x:c>
      <x:c r="D428" s="45" t="str">
        <x:v>Ubika Milenio</x:v>
      </x:c>
      <x:c r="E428" s="45" t="str">
        <x:v>Abierta</x:v>
      </x:c>
      <x:c r="F428" s="51" t="d">
        <x:v>2017-05-20T00:00:00.000Z</x:v>
      </x:c>
      <x:c r="G428" s="45" t="str">
        <x:v>Querétaro</x:v>
      </x:c>
      <x:c r="H428" s="45" t="str">
        <x:v>Querétaro</x:v>
      </x:c>
      <x:c r="I428" s="52" t="n">
        <x:v>20.5930041</x:v>
      </x:c>
      <x:c r="J428" s="52" t="n">
        <x:v>-100.3495717</x:v>
      </x:c>
      <x:c r="K428" s="45" t="str">
        <x:v>Cafe</x:v>
      </x:c>
      <x:c r="L428" s="45" t="str">
        <x:v>Neighborhood</x:v>
      </x:c>
      <x:c r="M428" s="45" t="str">
        <x:v>C2</x:v>
      </x:c>
      <x:c r="N428" s="45" t="str">
        <x:v>Sí</x:v>
      </x:c>
      <x:c r="O428" s="45" t="str">
        <x:v>Gloria Montiel Piñon</x:v>
      </x:c>
      <x:c r="P428" s="45" t="str">
        <x:v>Ops y Directorio Alsea · octubre 2026</x:v>
      </x:c>
      <x:c r="Q428" s="45" t="str">
        <x:v>Puntos proporcionados</x:v>
      </x:c>
      <x:c r="R428" s="45" t="str">
        <x:v>Abierta</x:v>
      </x:c>
      <x:c r="S428" s="45" t="str"/>
      <x:c r="T428" s="45" t="n">
        <x:f>IF(AND(E428="Abierta",N428="Sí",ISNUMBER(I428),ISNUMBER(J428),ABS(I428)&lt;=90,ABS(J428)&lt;=180),1,0)</x:f>
        <x:v>1</x:v>
      </x:c>
    </x:row>
    <x:row r="429" ht="23" customHeight="1">
      <x:c r="A429" s="45" t="str">
        <x:v>Bajío</x:v>
      </x:c>
      <x:c r="B429" s="45" t="str">
        <x:v>Gloria Montiel Piñon</x:v>
      </x:c>
      <x:c r="C429" s="50" t="str">
        <x:v>38809</x:v>
      </x:c>
      <x:c r="D429" s="45" t="str">
        <x:v>Estacion de Servicio la Virgen</x:v>
      </x:c>
      <x:c r="E429" s="45" t="str">
        <x:v>Abierta</x:v>
      </x:c>
      <x:c r="F429" s="51" t="d">
        <x:v>2018-06-12T00:00:00.000Z</x:v>
      </x:c>
      <x:c r="G429" s="45" t="str">
        <x:v>Pedro Escobedo</x:v>
      </x:c>
      <x:c r="H429" s="45" t="str">
        <x:v>Querétaro</x:v>
      </x:c>
      <x:c r="I429" s="52" t="n">
        <x:v>20.451497</x:v>
      </x:c>
      <x:c r="J429" s="52" t="n">
        <x:v>-100.083898</x:v>
      </x:c>
      <x:c r="K429" s="45" t="str">
        <x:v>Drive_Thru</x:v>
      </x:c>
      <x:c r="L429" s="45" t="str">
        <x:v>Transfers</x:v>
      </x:c>
      <x:c r="M429" s="45" t="str">
        <x:v>C3</x:v>
      </x:c>
      <x:c r="N429" s="45" t="str">
        <x:v>Sí</x:v>
      </x:c>
      <x:c r="O429" s="45" t="str">
        <x:v>Gloria Montiel Piñon</x:v>
      </x:c>
      <x:c r="P429" s="45" t="str">
        <x:v>Ops y Directorio Alsea · octubre 2026</x:v>
      </x:c>
      <x:c r="Q429" s="45" t="str">
        <x:v>Puntos proporcionados</x:v>
      </x:c>
      <x:c r="R429" s="45" t="str">
        <x:v>Abierta</x:v>
      </x:c>
      <x:c r="S429" s="45" t="str"/>
      <x:c r="T429" s="45" t="n">
        <x:f>IF(AND(E429="Abierta",N429="Sí",ISNUMBER(I429),ISNUMBER(J429),ABS(I429)&lt;=90,ABS(J429)&lt;=180),1,0)</x:f>
        <x:v>1</x:v>
      </x:c>
    </x:row>
    <x:row r="430" ht="23" customHeight="1">
      <x:c r="A430" s="45" t="str">
        <x:v>Bajío</x:v>
      </x:c>
      <x:c r="B430" s="45" t="str">
        <x:v>Gloria Montiel Piñon</x:v>
      </x:c>
      <x:c r="C430" s="50" t="str">
        <x:v>38812</x:v>
      </x:c>
      <x:c r="D430" s="45" t="str">
        <x:v>Star Medica Queretaro</x:v>
      </x:c>
      <x:c r="E430" s="45" t="str">
        <x:v>Abierta</x:v>
      </x:c>
      <x:c r="F430" s="51" t="d">
        <x:v>2018-06-12T00:00:00.000Z</x:v>
      </x:c>
      <x:c r="G430" s="45" t="str">
        <x:v>Querétaro</x:v>
      </x:c>
      <x:c r="H430" s="45" t="str">
        <x:v>Querétaro</x:v>
      </x:c>
      <x:c r="I430" s="52" t="n">
        <x:v>20.617598</x:v>
      </x:c>
      <x:c r="J430" s="52" t="n">
        <x:v>-100.407384</x:v>
      </x:c>
      <x:c r="K430" s="45" t="str">
        <x:v>Cafe</x:v>
      </x:c>
      <x:c r="L430" s="45" t="str">
        <x:v>Institution</x:v>
      </x:c>
      <x:c r="M430" s="45" t="str">
        <x:v>C3</x:v>
      </x:c>
      <x:c r="N430" s="45" t="str">
        <x:v>Sí</x:v>
      </x:c>
      <x:c r="O430" s="45" t="str">
        <x:v>Gloria Montiel Piñon</x:v>
      </x:c>
      <x:c r="P430" s="45" t="str">
        <x:v>Ops y Directorio Alsea · octubre 2026</x:v>
      </x:c>
      <x:c r="Q430" s="45" t="str">
        <x:v>Puntos proporcionados</x:v>
      </x:c>
      <x:c r="R430" s="45" t="str">
        <x:v>Abierta</x:v>
      </x:c>
      <x:c r="S430" s="45" t="str"/>
      <x:c r="T430" s="45" t="n">
        <x:f>IF(AND(E430="Abierta",N430="Sí",ISNUMBER(I430),ISNUMBER(J430),ABS(I430)&lt;=90,ABS(J430)&lt;=180),1,0)</x:f>
        <x:v>1</x:v>
      </x:c>
    </x:row>
    <x:row r="431" ht="23" customHeight="1">
      <x:c r="A431" s="45" t="str">
        <x:v>Bajío</x:v>
      </x:c>
      <x:c r="B431" s="45" t="str">
        <x:v>Gloria Montiel Piñon</x:v>
      </x:c>
      <x:c r="C431" s="50" t="str">
        <x:v>38832</x:v>
      </x:c>
      <x:c r="D431" s="45" t="str">
        <x:v>ITESM Queretaro</x:v>
      </x:c>
      <x:c r="E431" s="45" t="str">
        <x:v>Abierta</x:v>
      </x:c>
      <x:c r="F431" s="51" t="d">
        <x:v>2018-09-22T00:00:00.000Z</x:v>
      </x:c>
      <x:c r="G431" s="45" t="str">
        <x:v>Querétaro</x:v>
      </x:c>
      <x:c r="H431" s="45" t="str">
        <x:v>Querétaro</x:v>
      </x:c>
      <x:c r="I431" s="52" t="n">
        <x:v>20.6129995</x:v>
      </x:c>
      <x:c r="J431" s="52" t="n">
        <x:v>-100.4037386</x:v>
      </x:c>
      <x:c r="K431" s="45" t="str">
        <x:v>Cafe</x:v>
      </x:c>
      <x:c r="L431" s="45" t="str">
        <x:v>Institution</x:v>
      </x:c>
      <x:c r="M431" s="45" t="str">
        <x:v>C1</x:v>
      </x:c>
      <x:c r="N431" s="45" t="str">
        <x:v>Sí</x:v>
      </x:c>
      <x:c r="O431" s="45" t="str">
        <x:v>Gloria Montiel Piñon</x:v>
      </x:c>
      <x:c r="P431" s="45" t="str">
        <x:v>Ops y Directorio Alsea · octubre 2026</x:v>
      </x:c>
      <x:c r="Q431" s="45" t="str">
        <x:v>Puntos proporcionados</x:v>
      </x:c>
      <x:c r="R431" s="45" t="str">
        <x:v>Abierta</x:v>
      </x:c>
      <x:c r="S431" s="45" t="str"/>
      <x:c r="T431" s="45" t="n">
        <x:f>IF(AND(E431="Abierta",N431="Sí",ISNUMBER(I431),ISNUMBER(J431),ABS(I431)&lt;=90,ABS(J431)&lt;=180),1,0)</x:f>
        <x:v>1</x:v>
      </x:c>
    </x:row>
    <x:row r="432" ht="23" customHeight="1">
      <x:c r="A432" s="45" t="str">
        <x:v>Bajío</x:v>
      </x:c>
      <x:c r="B432" s="45" t="str">
        <x:v>Gloria Montiel Piñon</x:v>
      </x:c>
      <x:c r="C432" s="50" t="str">
        <x:v>38899</x:v>
      </x:c>
      <x:c r="D432" s="45" t="str">
        <x:v>Carr México Queretaro</x:v>
      </x:c>
      <x:c r="E432" s="45" t="str">
        <x:v>Abierta</x:v>
      </x:c>
      <x:c r="F432" s="51" t="d">
        <x:v>2021-12-21T00:00:00.000Z</x:v>
      </x:c>
      <x:c r="G432" s="45" t="str">
        <x:v>El Cazadero San Juan De Río Querétaro</x:v>
      </x:c>
      <x:c r="H432" s="45" t="str">
        <x:v>Querétaro</x:v>
      </x:c>
      <x:c r="I432" s="52" t="n">
        <x:v>20.2775878</x:v>
      </x:c>
      <x:c r="J432" s="52" t="n">
        <x:v>-99.8920092</x:v>
      </x:c>
      <x:c r="K432" s="45" t="str">
        <x:v>Drive_Thru</x:v>
      </x:c>
      <x:c r="L432" s="45" t="str">
        <x:v>Transfers</x:v>
      </x:c>
      <x:c r="M432" s="45" t="str">
        <x:v>C3</x:v>
      </x:c>
      <x:c r="N432" s="45" t="str">
        <x:v>Sí</x:v>
      </x:c>
      <x:c r="O432" s="45" t="str">
        <x:v>Gloria Montiel Piñon</x:v>
      </x:c>
      <x:c r="P432" s="45" t="str">
        <x:v>Ops y Directorio Alsea · octubre 2026</x:v>
      </x:c>
      <x:c r="Q432" s="45" t="str">
        <x:v>Puntos proporcionados</x:v>
      </x:c>
      <x:c r="R432" s="45" t="str">
        <x:v>Abierta</x:v>
      </x:c>
      <x:c r="S432" s="45" t="str"/>
      <x:c r="T432" s="45" t="n">
        <x:f>IF(AND(E432="Abierta",N432="Sí",ISNUMBER(I432),ISNUMBER(J432),ABS(I432)&lt;=90,ABS(J432)&lt;=180),1,0)</x:f>
        <x:v>1</x:v>
      </x:c>
    </x:row>
    <x:row r="433" ht="23" customHeight="1">
      <x:c r="A433" s="45" t="str">
        <x:v>Bajío</x:v>
      </x:c>
      <x:c r="B433" s="45" t="str">
        <x:v>Gloria Montiel Piñon</x:v>
      </x:c>
      <x:c r="C433" s="50" t="str">
        <x:v>38997</x:v>
      </x:c>
      <x:c r="D433" s="45" t="str">
        <x:v>San Juan del Rio ll</x:v>
      </x:c>
      <x:c r="E433" s="45" t="str">
        <x:v>Abierta</x:v>
      </x:c>
      <x:c r="F433" s="51" t="d">
        <x:v>2024-03-30T00:00:00.000Z</x:v>
      </x:c>
      <x:c r="G433" s="45" t="str">
        <x:v>San Juan Del Rio</x:v>
      </x:c>
      <x:c r="H433" s="45" t="str">
        <x:v>Querétaro</x:v>
      </x:c>
      <x:c r="I433" s="52" t="n">
        <x:v>20.3837314</x:v>
      </x:c>
      <x:c r="J433" s="52" t="n">
        <x:v>-100.0110867</x:v>
      </x:c>
      <x:c r="K433" s="45" t="str">
        <x:v>Drive_Thru</x:v>
      </x:c>
      <x:c r="L433" s="45" t="str">
        <x:v>Retail</x:v>
      </x:c>
      <x:c r="M433" s="45" t="str">
        <x:v>C2</x:v>
      </x:c>
      <x:c r="N433" s="45" t="str">
        <x:v>Sí</x:v>
      </x:c>
      <x:c r="O433" s="45" t="str">
        <x:v>Gloria Montiel Piñon</x:v>
      </x:c>
      <x:c r="P433" s="45" t="str">
        <x:v>Ops y Directorio Alsea · octubre 2026</x:v>
      </x:c>
      <x:c r="Q433" s="45" t="str">
        <x:v>Puntos proporcionados</x:v>
      </x:c>
      <x:c r="R433" s="45" t="str">
        <x:v>Abierta</x:v>
      </x:c>
      <x:c r="S433" s="45" t="str"/>
      <x:c r="T433" s="45" t="n">
        <x:f>IF(AND(E433="Abierta",N433="Sí",ISNUMBER(I433),ISNUMBER(J433),ABS(I433)&lt;=90,ABS(J433)&lt;=180),1,0)</x:f>
        <x:v>1</x:v>
      </x:c>
    </x:row>
    <x:row r="434" ht="23" customHeight="1">
      <x:c r="A434" s="45" t="str">
        <x:v>Bajío</x:v>
      </x:c>
      <x:c r="B434" s="45" t="str">
        <x:v>Gloria Montiel Piñon</x:v>
      </x:c>
      <x:c r="C434" s="50" t="str">
        <x:v>43209</x:v>
      </x:c>
      <x:c r="D434" s="45" t="str">
        <x:v>Centro Mirador</x:v>
      </x:c>
      <x:c r="E434" s="45" t="str">
        <x:v>Abierta</x:v>
      </x:c>
      <x:c r="F434" s="51" t="d">
        <x:v>2026-04-17T00:00:00.000Z</x:v>
      </x:c>
      <x:c r="G434" s="45" t="str">
        <x:v>El Marques</x:v>
      </x:c>
      <x:c r="H434" s="45" t="str">
        <x:v>Querétaro</x:v>
      </x:c>
      <x:c r="I434" s="52" t="n">
        <x:v>20.59047</x:v>
      </x:c>
      <x:c r="J434" s="52" t="n">
        <x:v>-100.3311562</x:v>
      </x:c>
      <x:c r="K434" s="45" t="str">
        <x:v>Cafe</x:v>
      </x:c>
      <x:c r="L434" s="45" t="str">
        <x:v>Neighborhood</x:v>
      </x:c>
      <x:c r="M434" s="45" t="str">
        <x:v>C2</x:v>
      </x:c>
      <x:c r="N434" s="45" t="str">
        <x:v>Sí</x:v>
      </x:c>
      <x:c r="O434" s="45" t="str">
        <x:v>Gloria Montiel Piñon</x:v>
      </x:c>
      <x:c r="P434" s="45" t="str">
        <x:v>Ops y Directorio Alsea · octubre 2026</x:v>
      </x:c>
      <x:c r="Q434" s="45" t="str">
        <x:v>Puntos proporcionados</x:v>
      </x:c>
      <x:c r="R434" s="45" t="str">
        <x:v>Abierta</x:v>
      </x:c>
      <x:c r="S434" s="45" t="str"/>
      <x:c r="T434" s="45" t="n">
        <x:f>IF(AND(E434="Abierta",N434="Sí",ISNUMBER(I434),ISNUMBER(J434),ABS(I434)&lt;=90,ABS(J434)&lt;=180),1,0)</x:f>
        <x:v>1</x:v>
      </x:c>
    </x:row>
    <x:row r="435" ht="23" customHeight="1">
      <x:c r="A435" s="45" t="str">
        <x:v>Bajío</x:v>
      </x:c>
      <x:c r="B435" s="45" t="str">
        <x:v>Joel Pereda Rojas</x:v>
      </x:c>
      <x:c r="C435" s="50" t="str">
        <x:v>38377</x:v>
      </x:c>
      <x:c r="D435" s="45" t="str">
        <x:v>Jurica</x:v>
      </x:c>
      <x:c r="E435" s="45" t="str">
        <x:v>Abierta</x:v>
      </x:c>
      <x:c r="F435" s="51" t="d">
        <x:v>2010-04-16T00:00:00.000Z</x:v>
      </x:c>
      <x:c r="G435" s="45" t="str">
        <x:v>Querétaro</x:v>
      </x:c>
      <x:c r="H435" s="45" t="str">
        <x:v>Querétaro</x:v>
      </x:c>
      <x:c r="I435" s="52" t="n">
        <x:v>20.649103</x:v>
      </x:c>
      <x:c r="J435" s="52" t="n">
        <x:v>-100.4325838</x:v>
      </x:c>
      <x:c r="K435" s="45" t="str">
        <x:v>Cafe</x:v>
      </x:c>
      <x:c r="L435" s="45" t="str">
        <x:v>Retail</x:v>
      </x:c>
      <x:c r="M435" s="45" t="str">
        <x:v>C2</x:v>
      </x:c>
      <x:c r="N435" s="45" t="str">
        <x:v>Sí</x:v>
      </x:c>
      <x:c r="O435" s="45" t="str">
        <x:v>Joel Pereda Rojas</x:v>
      </x:c>
      <x:c r="P435" s="45" t="str">
        <x:v>Ops y Directorio Alsea · octubre 2026</x:v>
      </x:c>
      <x:c r="Q435" s="45" t="str">
        <x:v>Puntos proporcionados</x:v>
      </x:c>
      <x:c r="R435" s="45" t="str">
        <x:v>Abierta</x:v>
      </x:c>
      <x:c r="S435" s="45" t="str"/>
      <x:c r="T435" s="45" t="n">
        <x:f>IF(AND(E435="Abierta",N435="Sí",ISNUMBER(I435),ISNUMBER(J435),ABS(I435)&lt;=90,ABS(J435)&lt;=180),1,0)</x:f>
        <x:v>1</x:v>
      </x:c>
    </x:row>
    <x:row r="436" ht="23" customHeight="1">
      <x:c r="A436" s="45" t="str">
        <x:v>Bajío</x:v>
      </x:c>
      <x:c r="B436" s="45" t="str">
        <x:v>Joel Pereda Rojas</x:v>
      </x:c>
      <x:c r="C436" s="50" t="str">
        <x:v>38480</x:v>
      </x:c>
      <x:c r="D436" s="45" t="str">
        <x:v>Urban Center Juriquilla</x:v>
      </x:c>
      <x:c r="E436" s="45" t="str">
        <x:v>Abierta</x:v>
      </x:c>
      <x:c r="F436" s="51" t="d">
        <x:v>2013-03-26T00:00:00.000Z</x:v>
      </x:c>
      <x:c r="G436" s="45" t="str">
        <x:v>Querétaro</x:v>
      </x:c>
      <x:c r="H436" s="45" t="str">
        <x:v>Querétaro</x:v>
      </x:c>
      <x:c r="I436" s="52" t="n">
        <x:v>20.7055618</x:v>
      </x:c>
      <x:c r="J436" s="52" t="n">
        <x:v>-100.4441021</x:v>
      </x:c>
      <x:c r="K436" s="45" t="str">
        <x:v>Cafe</x:v>
      </x:c>
      <x:c r="L436" s="45" t="str">
        <x:v>Retail</x:v>
      </x:c>
      <x:c r="M436" s="45" t="str">
        <x:v>C2</x:v>
      </x:c>
      <x:c r="N436" s="45" t="str">
        <x:v>Sí</x:v>
      </x:c>
      <x:c r="O436" s="45" t="str">
        <x:v>Joel Pereda Rojas</x:v>
      </x:c>
      <x:c r="P436" s="45" t="str">
        <x:v>Ops y Directorio Alsea · octubre 2026</x:v>
      </x:c>
      <x:c r="Q436" s="45" t="str">
        <x:v>Puntos proporcionados</x:v>
      </x:c>
      <x:c r="R436" s="45" t="str">
        <x:v>Abierta</x:v>
      </x:c>
      <x:c r="S436" s="45" t="str"/>
      <x:c r="T436" s="45" t="n">
        <x:f>IF(AND(E436="Abierta",N436="Sí",ISNUMBER(I436),ISNUMBER(J436),ABS(I436)&lt;=90,ABS(J436)&lt;=180),1,0)</x:f>
        <x:v>1</x:v>
      </x:c>
    </x:row>
    <x:row r="437" ht="23" customHeight="1">
      <x:c r="A437" s="45" t="str">
        <x:v>Bajío</x:v>
      </x:c>
      <x:c r="B437" s="45" t="str">
        <x:v>Joel Pereda Rojas</x:v>
      </x:c>
      <x:c r="C437" s="50" t="str">
        <x:v>38559</x:v>
      </x:c>
      <x:c r="D437" s="45" t="str">
        <x:v>Antea</x:v>
      </x:c>
      <x:c r="E437" s="45" t="str">
        <x:v>Abierta</x:v>
      </x:c>
      <x:c r="F437" s="51" t="d">
        <x:v>2014-10-27T00:00:00.000Z</x:v>
      </x:c>
      <x:c r="G437" s="45" t="str">
        <x:v>Querétaro</x:v>
      </x:c>
      <x:c r="H437" s="45" t="str">
        <x:v>Querétaro</x:v>
      </x:c>
      <x:c r="I437" s="52" t="n">
        <x:v>20.6749762</x:v>
      </x:c>
      <x:c r="J437" s="52" t="n">
        <x:v>-100.4364851</x:v>
      </x:c>
      <x:c r="K437" s="45" t="str">
        <x:v>Cafe</x:v>
      </x:c>
      <x:c r="L437" s="45" t="str">
        <x:v>Retail</x:v>
      </x:c>
      <x:c r="M437" s="45" t="str">
        <x:v>C2</x:v>
      </x:c>
      <x:c r="N437" s="45" t="str">
        <x:v>Sí</x:v>
      </x:c>
      <x:c r="O437" s="45" t="str">
        <x:v>Joel Pereda Rojas</x:v>
      </x:c>
      <x:c r="P437" s="45" t="str">
        <x:v>Ops y Directorio Alsea · octubre 2026</x:v>
      </x:c>
      <x:c r="Q437" s="45" t="str">
        <x:v>Puntos proporcionados</x:v>
      </x:c>
      <x:c r="R437" s="45" t="str">
        <x:v>Abierta</x:v>
      </x:c>
      <x:c r="S437" s="45" t="str"/>
      <x:c r="T437" s="45" t="n">
        <x:f>IF(AND(E437="Abierta",N437="Sí",ISNUMBER(I437),ISNUMBER(J437),ABS(I437)&lt;=90,ABS(J437)&lt;=180),1,0)</x:f>
        <x:v>1</x:v>
      </x:c>
    </x:row>
    <x:row r="438" ht="23" customHeight="1">
      <x:c r="A438" s="45" t="str">
        <x:v>Bajío</x:v>
      </x:c>
      <x:c r="B438" s="45" t="str">
        <x:v>Joel Pereda Rojas</x:v>
      </x:c>
      <x:c r="C438" s="50" t="str">
        <x:v>38629</x:v>
      </x:c>
      <x:c r="D438" s="45" t="str">
        <x:v>Town Center Juriquilla</x:v>
      </x:c>
      <x:c r="E438" s="45" t="str">
        <x:v>Abierta</x:v>
      </x:c>
      <x:c r="F438" s="51" t="d">
        <x:v>2015-12-18T00:00:00.000Z</x:v>
      </x:c>
      <x:c r="G438" s="45" t="str">
        <x:v>Querétaro</x:v>
      </x:c>
      <x:c r="H438" s="45" t="str">
        <x:v>Querétaro</x:v>
      </x:c>
      <x:c r="I438" s="52" t="n">
        <x:v>20.676216</x:v>
      </x:c>
      <x:c r="J438" s="52" t="n">
        <x:v>-100.4307</x:v>
      </x:c>
      <x:c r="K438" s="45" t="str">
        <x:v>Cafe</x:v>
      </x:c>
      <x:c r="L438" s="45" t="str">
        <x:v>Retail</x:v>
      </x:c>
      <x:c r="M438" s="45" t="str">
        <x:v>C1</x:v>
      </x:c>
      <x:c r="N438" s="45" t="str">
        <x:v>Sí</x:v>
      </x:c>
      <x:c r="O438" s="45" t="str">
        <x:v>Joel Pereda Rojas</x:v>
      </x:c>
      <x:c r="P438" s="45" t="str">
        <x:v>Ops y Directorio Alsea · octubre 2026</x:v>
      </x:c>
      <x:c r="Q438" s="45" t="str">
        <x:v>Puntos proporcionados</x:v>
      </x:c>
      <x:c r="R438" s="45" t="str">
        <x:v>Abierta</x:v>
      </x:c>
      <x:c r="S438" s="45" t="str"/>
      <x:c r="T438" s="45" t="n">
        <x:f>IF(AND(E438="Abierta",N438="Sí",ISNUMBER(I438),ISNUMBER(J438),ABS(I438)&lt;=90,ABS(J438)&lt;=180),1,0)</x:f>
        <x:v>1</x:v>
      </x:c>
    </x:row>
    <x:row r="439" ht="23" customHeight="1">
      <x:c r="A439" s="45" t="str">
        <x:v>Bajío</x:v>
      </x:c>
      <x:c r="B439" s="45" t="str">
        <x:v>Joel Pereda Rojas</x:v>
      </x:c>
      <x:c r="C439" s="50" t="str">
        <x:v>38750</x:v>
      </x:c>
      <x:c r="D439" s="45" t="str">
        <x:v>Antea II</x:v>
      </x:c>
      <x:c r="E439" s="45" t="str">
        <x:v>Abierta</x:v>
      </x:c>
      <x:c r="F439" s="51" t="d">
        <x:v>2015-01-12T00:00:00.000Z</x:v>
      </x:c>
      <x:c r="G439" s="45" t="str">
        <x:v>Querétaro</x:v>
      </x:c>
      <x:c r="H439" s="45" t="str">
        <x:v>Querétaro</x:v>
      </x:c>
      <x:c r="I439" s="52" t="n">
        <x:v>20.674985</x:v>
      </x:c>
      <x:c r="J439" s="52" t="n">
        <x:v>-100.436498</x:v>
      </x:c>
      <x:c r="K439" s="45" t="str">
        <x:v>Kiosko</x:v>
      </x:c>
      <x:c r="L439" s="45" t="str">
        <x:v>Retail</x:v>
      </x:c>
      <x:c r="M439" s="45" t="str">
        <x:v>C2</x:v>
      </x:c>
      <x:c r="N439" s="45" t="str">
        <x:v>Sí</x:v>
      </x:c>
      <x:c r="O439" s="45" t="str">
        <x:v>Joel Pereda Rojas</x:v>
      </x:c>
      <x:c r="P439" s="45" t="str">
        <x:v>Ops y Directorio Alsea · octubre 2026</x:v>
      </x:c>
      <x:c r="Q439" s="45" t="str">
        <x:v>Puntos proporcionados</x:v>
      </x:c>
      <x:c r="R439" s="45" t="str">
        <x:v>Abierta</x:v>
      </x:c>
      <x:c r="S439" s="45" t="str"/>
      <x:c r="T439" s="45" t="n">
        <x:f>IF(AND(E439="Abierta",N439="Sí",ISNUMBER(I439),ISNUMBER(J439),ABS(I439)&lt;=90,ABS(J439)&lt;=180),1,0)</x:f>
        <x:v>1</x:v>
      </x:c>
    </x:row>
    <x:row r="440" ht="23" customHeight="1">
      <x:c r="A440" s="45" t="str">
        <x:v>Bajío</x:v>
      </x:c>
      <x:c r="B440" s="45" t="str">
        <x:v>Joel Pereda Rojas</x:v>
      </x:c>
      <x:c r="C440" s="50" t="str">
        <x:v>38846</x:v>
      </x:c>
      <x:c r="D440" s="45" t="str">
        <x:v>Ubika Universidad</x:v>
      </x:c>
      <x:c r="E440" s="45" t="str">
        <x:v>Abierta</x:v>
      </x:c>
      <x:c r="F440" s="51" t="d">
        <x:v>2018-11-24T00:00:00.000Z</x:v>
      </x:c>
      <x:c r="G440" s="45" t="str">
        <x:v>Querétaro</x:v>
      </x:c>
      <x:c r="H440" s="45" t="str">
        <x:v>Querétaro</x:v>
      </x:c>
      <x:c r="I440" s="52" t="n">
        <x:v>20.5942277</x:v>
      </x:c>
      <x:c r="J440" s="52" t="n">
        <x:v>-100.4142997</x:v>
      </x:c>
      <x:c r="K440" s="45" t="str">
        <x:v>Cafe</x:v>
      </x:c>
      <x:c r="L440" s="45" t="str">
        <x:v>Retail</x:v>
      </x:c>
      <x:c r="M440" s="45" t="str">
        <x:v>C2</x:v>
      </x:c>
      <x:c r="N440" s="45" t="str">
        <x:v>Sí</x:v>
      </x:c>
      <x:c r="O440" s="45" t="str">
        <x:v>Joel Pereda Rojas</x:v>
      </x:c>
      <x:c r="P440" s="45" t="str">
        <x:v>Ops y Directorio Alsea · octubre 2026</x:v>
      </x:c>
      <x:c r="Q440" s="45" t="str">
        <x:v>Puntos proporcionados</x:v>
      </x:c>
      <x:c r="R440" s="45" t="str">
        <x:v>Abierta</x:v>
      </x:c>
      <x:c r="S440" s="45" t="str"/>
      <x:c r="T440" s="45" t="n">
        <x:f>IF(AND(E440="Abierta",N440="Sí",ISNUMBER(I440),ISNUMBER(J440),ABS(I440)&lt;=90,ABS(J440)&lt;=180),1,0)</x:f>
        <x:v>1</x:v>
      </x:c>
    </x:row>
    <x:row r="441" ht="23" customHeight="1">
      <x:c r="A441" s="45" t="str">
        <x:v>Bajío</x:v>
      </x:c>
      <x:c r="B441" s="45" t="str">
        <x:v>Joel Pereda Rojas</x:v>
      </x:c>
      <x:c r="C441" s="50" t="str">
        <x:v>38882</x:v>
      </x:c>
      <x:c r="D441" s="45" t="str">
        <x:v>Ubika Juriquilla</x:v>
      </x:c>
      <x:c r="E441" s="45" t="str">
        <x:v>Abierta</x:v>
      </x:c>
      <x:c r="F441" s="51" t="d">
        <x:v>2019-12-16T00:00:00.000Z</x:v>
      </x:c>
      <x:c r="G441" s="45" t="str">
        <x:v>Querétaro</x:v>
      </x:c>
      <x:c r="H441" s="45" t="str">
        <x:v>Querétaro</x:v>
      </x:c>
      <x:c r="I441" s="52" t="n">
        <x:v>20.690718</x:v>
      </x:c>
      <x:c r="J441" s="52" t="n">
        <x:v>-100.446497</x:v>
      </x:c>
      <x:c r="K441" s="45" t="str">
        <x:v>Cafe</x:v>
      </x:c>
      <x:c r="L441" s="45" t="str">
        <x:v>Neighborhood</x:v>
      </x:c>
      <x:c r="M441" s="45" t="str">
        <x:v>C2</x:v>
      </x:c>
      <x:c r="N441" s="45" t="str">
        <x:v>Sí</x:v>
      </x:c>
      <x:c r="O441" s="45" t="str">
        <x:v>Joel Pereda Rojas</x:v>
      </x:c>
      <x:c r="P441" s="45" t="str">
        <x:v>Ops y Directorio Alsea · octubre 2026</x:v>
      </x:c>
      <x:c r="Q441" s="45" t="str">
        <x:v>Puntos proporcionados</x:v>
      </x:c>
      <x:c r="R441" s="45" t="str">
        <x:v>Abierta</x:v>
      </x:c>
      <x:c r="S441" s="45" t="str"/>
      <x:c r="T441" s="45" t="n">
        <x:f>IF(AND(E441="Abierta",N441="Sí",ISNUMBER(I441),ISNUMBER(J441),ABS(I441)&lt;=90,ABS(J441)&lt;=180),1,0)</x:f>
        <x:v>1</x:v>
      </x:c>
    </x:row>
    <x:row r="442" ht="23" customHeight="1">
      <x:c r="A442" s="45" t="str">
        <x:v>Bajío</x:v>
      </x:c>
      <x:c r="B442" s="45" t="str">
        <x:v>Joel Pereda Rojas</x:v>
      </x:c>
      <x:c r="C442" s="50" t="str">
        <x:v>43055</x:v>
      </x:c>
      <x:c r="D442" s="45" t="str">
        <x:v>Paseo de la República</x:v>
      </x:c>
      <x:c r="E442" s="45" t="str">
        <x:v>Abierta</x:v>
      </x:c>
      <x:c r="F442" s="51" t="d">
        <x:v>2024-09-28T00:00:00.000Z</x:v>
      </x:c>
      <x:c r="G442" s="45" t="str">
        <x:v>Querétaro</x:v>
      </x:c>
      <x:c r="H442" s="45" t="str">
        <x:v>Querétaro</x:v>
      </x:c>
      <x:c r="I442" s="52" t="n">
        <x:v>20.663331</x:v>
      </x:c>
      <x:c r="J442" s="52" t="n">
        <x:v>-100.432547</x:v>
      </x:c>
      <x:c r="K442" s="45" t="str">
        <x:v>Drive_Thru</x:v>
      </x:c>
      <x:c r="L442" s="45" t="str">
        <x:v>Transfers</x:v>
      </x:c>
      <x:c r="M442" s="45" t="str">
        <x:v>C2</x:v>
      </x:c>
      <x:c r="N442" s="45" t="str">
        <x:v>Sí</x:v>
      </x:c>
      <x:c r="O442" s="45" t="str">
        <x:v>Joel Pereda Rojas</x:v>
      </x:c>
      <x:c r="P442" s="45" t="str">
        <x:v>Ops y Directorio Alsea · octubre 2026</x:v>
      </x:c>
      <x:c r="Q442" s="45" t="str">
        <x:v>Puntos proporcionados</x:v>
      </x:c>
      <x:c r="R442" s="45" t="str">
        <x:v>Abierta</x:v>
      </x:c>
      <x:c r="S442" s="45" t="str"/>
      <x:c r="T442" s="45" t="n">
        <x:f>IF(AND(E442="Abierta",N442="Sí",ISNUMBER(I442),ISNUMBER(J442),ABS(I442)&lt;=90,ABS(J442)&lt;=180),1,0)</x:f>
        <x:v>1</x:v>
      </x:c>
    </x:row>
    <x:row r="443" ht="23" customHeight="1">
      <x:c r="A443" s="45" t="str">
        <x:v>Bajío</x:v>
      </x:c>
      <x:c r="B443" s="45" t="str">
        <x:v>Joel Pereda Rojas</x:v>
      </x:c>
      <x:c r="C443" s="50" t="str">
        <x:v>43135</x:v>
      </x:c>
      <x:c r="D443" s="45" t="str">
        <x:v>Epic Norponiente</x:v>
      </x:c>
      <x:c r="E443" s="45" t="str">
        <x:v>Abierta</x:v>
      </x:c>
      <x:c r="F443" s="51" t="d">
        <x:v>2024-12-08T00:00:00.000Z</x:v>
      </x:c>
      <x:c r="G443" s="45" t="str">
        <x:v>Querétaro</x:v>
      </x:c>
      <x:c r="H443" s="45" t="str">
        <x:v>Querétaro</x:v>
      </x:c>
      <x:c r="I443" s="52" t="n">
        <x:v>20.611152</x:v>
      </x:c>
      <x:c r="J443" s="52" t="n">
        <x:v>-100.492095</x:v>
      </x:c>
      <x:c r="K443" s="45" t="str">
        <x:v>Cafe</x:v>
      </x:c>
      <x:c r="L443" s="45" t="str">
        <x:v>Retail</x:v>
      </x:c>
      <x:c r="M443" s="45" t="str">
        <x:v>C1</x:v>
      </x:c>
      <x:c r="N443" s="45" t="str">
        <x:v>Sí</x:v>
      </x:c>
      <x:c r="O443" s="45" t="str">
        <x:v>Joel Pereda Rojas</x:v>
      </x:c>
      <x:c r="P443" s="45" t="str">
        <x:v>Ops y Directorio Alsea · octubre 2026</x:v>
      </x:c>
      <x:c r="Q443" s="45" t="str">
        <x:v>Puntos proporcionados</x:v>
      </x:c>
      <x:c r="R443" s="45" t="str">
        <x:v>Abierta</x:v>
      </x:c>
      <x:c r="S443" s="45" t="str"/>
      <x:c r="T443" s="45" t="n">
        <x:f>IF(AND(E443="Abierta",N443="Sí",ISNUMBER(I443),ISNUMBER(J443),ABS(I443)&lt;=90,ABS(J443)&lt;=180),1,0)</x:f>
        <x:v>1</x:v>
      </x:c>
    </x:row>
    <x:row r="444" ht="23" customHeight="1">
      <x:c r="A444" s="45" t="str">
        <x:v>Bajío</x:v>
      </x:c>
      <x:c r="B444" s="45" t="str">
        <x:v>Jose Antonio Gutierrez Lopez</x:v>
      </x:c>
      <x:c r="C444" s="50" t="str">
        <x:v>38305</x:v>
      </x:c>
      <x:c r="D444" s="45" t="str">
        <x:v>Centro San Miguel de Allende</x:v>
      </x:c>
      <x:c r="E444" s="45" t="str">
        <x:v>Abierta</x:v>
      </x:c>
      <x:c r="F444" s="51" t="d">
        <x:v>2008-03-26T00:00:00.000Z</x:v>
      </x:c>
      <x:c r="G444" s="45" t="str">
        <x:v>San Miguel Allende</x:v>
      </x:c>
      <x:c r="H444" s="45" t="str">
        <x:v>Guanajuato</x:v>
      </x:c>
      <x:c r="I444" s="52" t="n">
        <x:v>20.9146208</x:v>
      </x:c>
      <x:c r="J444" s="52" t="n">
        <x:v>-100.7442649</x:v>
      </x:c>
      <x:c r="K444" s="45" t="str">
        <x:v>Cafe</x:v>
      </x:c>
      <x:c r="L444" s="45" t="str">
        <x:v>Tourism_and_Entertainment</x:v>
      </x:c>
      <x:c r="M444" s="45" t="str">
        <x:v>C4</x:v>
      </x:c>
      <x:c r="N444" s="45" t="str">
        <x:v>Sí</x:v>
      </x:c>
      <x:c r="O444" s="45" t="str">
        <x:v>Jose Antonio Gutierrez Lopez</x:v>
      </x:c>
      <x:c r="P444" s="45" t="str">
        <x:v>Ops y Directorio Alsea · octubre 2026</x:v>
      </x:c>
      <x:c r="Q444" s="45" t="str">
        <x:v>Puntos proporcionados</x:v>
      </x:c>
      <x:c r="R444" s="45" t="str">
        <x:v>Abierta</x:v>
      </x:c>
      <x:c r="S444" s="45" t="str"/>
      <x:c r="T444" s="45" t="n">
        <x:f>IF(AND(E444="Abierta",N444="Sí",ISNUMBER(I444),ISNUMBER(J444),ABS(I444)&lt;=90,ABS(J444)&lt;=180),1,0)</x:f>
        <x:v>1</x:v>
      </x:c>
    </x:row>
    <x:row r="445" ht="23" customHeight="1">
      <x:c r="A445" s="45" t="str">
        <x:v>Bajío</x:v>
      </x:c>
      <x:c r="B445" s="45" t="str">
        <x:v>Jose Antonio Gutierrez Lopez</x:v>
      </x:c>
      <x:c r="C445" s="50" t="str">
        <x:v>38860</x:v>
      </x:c>
      <x:c r="D445" s="45" t="str">
        <x:v>Paseo Queretaro</x:v>
      </x:c>
      <x:c r="E445" s="45" t="str">
        <x:v>Abierta</x:v>
      </x:c>
      <x:c r="F445" s="51" t="d">
        <x:v>2019-02-07T00:00:00.000Z</x:v>
      </x:c>
      <x:c r="G445" s="45" t="str">
        <x:v>Querétaro</x:v>
      </x:c>
      <x:c r="H445" s="45" t="str">
        <x:v>Querétaro</x:v>
      </x:c>
      <x:c r="I445" s="52" t="n">
        <x:v>20.631528</x:v>
      </x:c>
      <x:c r="J445" s="52" t="n">
        <x:v>-100.356275</x:v>
      </x:c>
      <x:c r="K445" s="45" t="str">
        <x:v>Cafe</x:v>
      </x:c>
      <x:c r="L445" s="45" t="str">
        <x:v>Retail</x:v>
      </x:c>
      <x:c r="M445" s="45" t="str">
        <x:v>C2</x:v>
      </x:c>
      <x:c r="N445" s="45" t="str">
        <x:v>Sí</x:v>
      </x:c>
      <x:c r="O445" s="45" t="str">
        <x:v>Jose Antonio Gutierrez Lopez</x:v>
      </x:c>
      <x:c r="P445" s="45" t="str">
        <x:v>Ops y Directorio Alsea · octubre 2026</x:v>
      </x:c>
      <x:c r="Q445" s="45" t="str">
        <x:v>Puntos proporcionados</x:v>
      </x:c>
      <x:c r="R445" s="45" t="str">
        <x:v>Abierta</x:v>
      </x:c>
      <x:c r="S445" s="45" t="str"/>
      <x:c r="T445" s="45" t="n">
        <x:f>IF(AND(E445="Abierta",N445="Sí",ISNUMBER(I445),ISNUMBER(J445),ABS(I445)&lt;=90,ABS(J445)&lt;=180),1,0)</x:f>
        <x:v>1</x:v>
      </x:c>
    </x:row>
    <x:row r="446" ht="23" customHeight="1">
      <x:c r="A446" s="45" t="str">
        <x:v>Bajío</x:v>
      </x:c>
      <x:c r="B446" s="45" t="str">
        <x:v>Jose Antonio Gutierrez Lopez</x:v>
      </x:c>
      <x:c r="C446" s="50" t="str">
        <x:v>38885</x:v>
      </x:c>
      <x:c r="D446" s="45" t="str">
        <x:v>AIQ</x:v>
      </x:c>
      <x:c r="E446" s="45" t="str">
        <x:v>Abierta</x:v>
      </x:c>
      <x:c r="F446" s="51" t="d">
        <x:v>2020-02-15T00:00:00.000Z</x:v>
      </x:c>
      <x:c r="G446" s="45" t="str">
        <x:v>Colon</x:v>
      </x:c>
      <x:c r="H446" s="45" t="str">
        <x:v>Querétaro</x:v>
      </x:c>
      <x:c r="I446" s="52" t="n">
        <x:v>20.622774</x:v>
      </x:c>
      <x:c r="J446" s="52" t="n">
        <x:v>-100.187602</x:v>
      </x:c>
      <x:c r="K446" s="45" t="str">
        <x:v>Cafe</x:v>
      </x:c>
      <x:c r="L446" s="45" t="str">
        <x:v>Travel_and_Channel</x:v>
      </x:c>
      <x:c r="M446" s="45" t="str">
        <x:v>C5</x:v>
      </x:c>
      <x:c r="N446" s="45" t="str">
        <x:v>Sí</x:v>
      </x:c>
      <x:c r="O446" s="45" t="str">
        <x:v>Jose Antonio Gutierrez Lopez</x:v>
      </x:c>
      <x:c r="P446" s="45" t="str">
        <x:v>Ops y Directorio Alsea · octubre 2026</x:v>
      </x:c>
      <x:c r="Q446" s="45" t="str">
        <x:v>Puntos proporcionados</x:v>
      </x:c>
      <x:c r="R446" s="45" t="str">
        <x:v>Abierta</x:v>
      </x:c>
      <x:c r="S446" s="45" t="str"/>
      <x:c r="T446" s="45" t="n">
        <x:f>IF(AND(E446="Abierta",N446="Sí",ISNUMBER(I446),ISNUMBER(J446),ABS(I446)&lt;=90,ABS(J446)&lt;=180),1,0)</x:f>
        <x:v>1</x:v>
      </x:c>
    </x:row>
    <x:row r="447" ht="23" customHeight="1">
      <x:c r="A447" s="45" t="str">
        <x:v>Bajío</x:v>
      </x:c>
      <x:c r="B447" s="45" t="str">
        <x:v>Jose Antonio Gutierrez Lopez</x:v>
      </x:c>
      <x:c r="C447" s="50" t="str">
        <x:v>38895</x:v>
      </x:c>
      <x:c r="D447" s="45" t="str">
        <x:v>Ubika El Refugio</x:v>
      </x:c>
      <x:c r="E447" s="45" t="str">
        <x:v>Abierta</x:v>
      </x:c>
      <x:c r="F447" s="51" t="d">
        <x:v>2021-06-22T00:00:00.000Z</x:v>
      </x:c>
      <x:c r="G447" s="45" t="str">
        <x:v>Santiago De Querétaro</x:v>
      </x:c>
      <x:c r="H447" s="45" t="str">
        <x:v>Querétaro</x:v>
      </x:c>
      <x:c r="I447" s="52" t="n">
        <x:v>20.6428683</x:v>
      </x:c>
      <x:c r="J447" s="52" t="n">
        <x:v>-100.3446182</x:v>
      </x:c>
      <x:c r="K447" s="45" t="str">
        <x:v>Drive_Thru</x:v>
      </x:c>
      <x:c r="L447" s="45" t="str">
        <x:v>Transfers</x:v>
      </x:c>
      <x:c r="M447" s="45" t="str">
        <x:v>C2</x:v>
      </x:c>
      <x:c r="N447" s="45" t="str">
        <x:v>Sí</x:v>
      </x:c>
      <x:c r="O447" s="45" t="str">
        <x:v>Jose Antonio Gutierrez Lopez</x:v>
      </x:c>
      <x:c r="P447" s="45" t="str">
        <x:v>Ops y Directorio Alsea · octubre 2026</x:v>
      </x:c>
      <x:c r="Q447" s="45" t="str">
        <x:v>Puntos proporcionados</x:v>
      </x:c>
      <x:c r="R447" s="45" t="str">
        <x:v>Abierta</x:v>
      </x:c>
      <x:c r="S447" s="45" t="str"/>
      <x:c r="T447" s="45" t="n">
        <x:f>IF(AND(E447="Abierta",N447="Sí",ISNUMBER(I447),ISNUMBER(J447),ABS(I447)&lt;=90,ABS(J447)&lt;=180),1,0)</x:f>
        <x:v>1</x:v>
      </x:c>
    </x:row>
    <x:row r="448" ht="23" customHeight="1">
      <x:c r="A448" s="45" t="str">
        <x:v>Bajío</x:v>
      </x:c>
      <x:c r="B448" s="45" t="str">
        <x:v>Jose Antonio Gutierrez Lopez</x:v>
      </x:c>
      <x:c r="C448" s="50" t="str">
        <x:v>38945</x:v>
      </x:c>
      <x:c r="D448" s="45" t="str">
        <x:v>Universidad Anahuac Querétaro</x:v>
      </x:c>
      <x:c r="E448" s="45" t="str">
        <x:v>Abierta</x:v>
      </x:c>
      <x:c r="F448" s="51" t="d">
        <x:v>2022-11-28T00:00:00.000Z</x:v>
      </x:c>
      <x:c r="G448" s="45" t="str">
        <x:v>El Marqués</x:v>
      </x:c>
      <x:c r="H448" s="45" t="str">
        <x:v>Querétaro</x:v>
      </x:c>
      <x:c r="I448" s="52" t="n">
        <x:v>20.6805022</x:v>
      </x:c>
      <x:c r="J448" s="52" t="n">
        <x:v>-100.3128923</x:v>
      </x:c>
      <x:c r="K448" s="45" t="str">
        <x:v>Cafe</x:v>
      </x:c>
      <x:c r="L448" s="45" t="str">
        <x:v>Institution</x:v>
      </x:c>
      <x:c r="M448" s="45" t="str">
        <x:v>C1</x:v>
      </x:c>
      <x:c r="N448" s="45" t="str">
        <x:v>Sí</x:v>
      </x:c>
      <x:c r="O448" s="45" t="str">
        <x:v>Jose Antonio Gutierrez Lopez</x:v>
      </x:c>
      <x:c r="P448" s="45" t="str">
        <x:v>Ops y Directorio Alsea · octubre 2026</x:v>
      </x:c>
      <x:c r="Q448" s="45" t="str">
        <x:v>Puntos proporcionados</x:v>
      </x:c>
      <x:c r="R448" s="45" t="str">
        <x:v>Abierta</x:v>
      </x:c>
      <x:c r="S448" s="45" t="str"/>
      <x:c r="T448" s="45" t="n">
        <x:f>IF(AND(E448="Abierta",N448="Sí",ISNUMBER(I448),ISNUMBER(J448),ABS(I448)&lt;=90,ABS(J448)&lt;=180),1,0)</x:f>
        <x:v>1</x:v>
      </x:c>
    </x:row>
    <x:row r="449" ht="23" customHeight="1">
      <x:c r="A449" s="45" t="str">
        <x:v>Bajío</x:v>
      </x:c>
      <x:c r="B449" s="45" t="str">
        <x:v>Jose Antonio Gutierrez Lopez</x:v>
      </x:c>
      <x:c r="C449" s="50" t="str">
        <x:v>43036</x:v>
      </x:c>
      <x:c r="D449" s="45" t="str">
        <x:v>Epic Center Zakia DT</x:v>
      </x:c>
      <x:c r="E449" s="45" t="str">
        <x:v>Abierta</x:v>
      </x:c>
      <x:c r="F449" s="51" t="d">
        <x:v>2024-12-23T00:00:00.000Z</x:v>
      </x:c>
      <x:c r="G449" s="45" t="str">
        <x:v>El Marqués</x:v>
      </x:c>
      <x:c r="H449" s="45" t="str">
        <x:v>Querétaro</x:v>
      </x:c>
      <x:c r="I449" s="52" t="n">
        <x:v>20.645512</x:v>
      </x:c>
      <x:c r="J449" s="52" t="n">
        <x:v>-100.309647</x:v>
      </x:c>
      <x:c r="K449" s="45" t="str">
        <x:v>Drive_Thru</x:v>
      </x:c>
      <x:c r="L449" s="45" t="str">
        <x:v>Retail</x:v>
      </x:c>
      <x:c r="M449" s="45" t="str">
        <x:v>C2</x:v>
      </x:c>
      <x:c r="N449" s="45" t="str">
        <x:v>Sí</x:v>
      </x:c>
      <x:c r="O449" s="45" t="str">
        <x:v>Jose Antonio Gutierrez Lopez</x:v>
      </x:c>
      <x:c r="P449" s="45" t="str">
        <x:v>Ops y Directorio Alsea · octubre 2026</x:v>
      </x:c>
      <x:c r="Q449" s="45" t="str">
        <x:v>Puntos proporcionados</x:v>
      </x:c>
      <x:c r="R449" s="45" t="str">
        <x:v>Abierta</x:v>
      </x:c>
      <x:c r="S449" s="45" t="str"/>
      <x:c r="T449" s="45" t="n">
        <x:f>IF(AND(E449="Abierta",N449="Sí",ISNUMBER(I449),ISNUMBER(J449),ABS(I449)&lt;=90,ABS(J449)&lt;=180),1,0)</x:f>
        <x:v>1</x:v>
      </x:c>
    </x:row>
    <x:row r="450" ht="23" customHeight="1">
      <x:c r="A450" s="45" t="str">
        <x:v>Bajío</x:v>
      </x:c>
      <x:c r="B450" s="45" t="str">
        <x:v>Jose Antonio Gutierrez Lopez</x:v>
      </x:c>
      <x:c r="C450" s="50" t="str">
        <x:v>43040</x:v>
      </x:c>
      <x:c r="D450" s="45" t="str">
        <x:v>Centro Zibatá</x:v>
      </x:c>
      <x:c r="E450" s="45" t="str">
        <x:v>Abierta</x:v>
      </x:c>
      <x:c r="F450" s="51" t="d">
        <x:v>2024-07-29T00:00:00.000Z</x:v>
      </x:c>
      <x:c r="G450" s="45" t="str">
        <x:v>El Marqués</x:v>
      </x:c>
      <x:c r="H450" s="45" t="str">
        <x:v>Querétaro</x:v>
      </x:c>
      <x:c r="I450" s="52" t="n">
        <x:v>20.6812282</x:v>
      </x:c>
      <x:c r="J450" s="52" t="n">
        <x:v>-100.340594</x:v>
      </x:c>
      <x:c r="K450" s="45" t="str">
        <x:v>Cafe</x:v>
      </x:c>
      <x:c r="L450" s="45" t="str">
        <x:v>Retail</x:v>
      </x:c>
      <x:c r="M450" s="45" t="str">
        <x:v>C2</x:v>
      </x:c>
      <x:c r="N450" s="45" t="str">
        <x:v>Sí</x:v>
      </x:c>
      <x:c r="O450" s="45" t="str">
        <x:v>Jose Antonio Gutierrez Lopez</x:v>
      </x:c>
      <x:c r="P450" s="45" t="str">
        <x:v>Ops y Directorio Alsea · octubre 2026</x:v>
      </x:c>
      <x:c r="Q450" s="45" t="str">
        <x:v>Puntos proporcionados</x:v>
      </x:c>
      <x:c r="R450" s="45" t="str">
        <x:v>Abierta</x:v>
      </x:c>
      <x:c r="S450" s="45" t="str"/>
      <x:c r="T450" s="45" t="n">
        <x:f>IF(AND(E450="Abierta",N450="Sí",ISNUMBER(I450),ISNUMBER(J450),ABS(I450)&lt;=90,ABS(J450)&lt;=180),1,0)</x:f>
        <x:v>1</x:v>
      </x:c>
    </x:row>
    <x:row r="451" ht="23" customHeight="1">
      <x:c r="A451" s="45" t="str">
        <x:v>Bajío</x:v>
      </x:c>
      <x:c r="B451" s="45" t="str">
        <x:v>Jose Antonio Gutierrez Lopez</x:v>
      </x:c>
      <x:c r="C451" s="50" t="str">
        <x:v>43125</x:v>
      </x:c>
      <x:c r="D451" s="45" t="str">
        <x:v>Portal Querétaro</x:v>
      </x:c>
      <x:c r="E451" s="45" t="str">
        <x:v>Abierta</x:v>
      </x:c>
      <x:c r="F451" s="51" t="d">
        <x:v>2025-01-31T00:00:00.000Z</x:v>
      </x:c>
      <x:c r="G451" s="45" t="str">
        <x:v>Querétaro</x:v>
      </x:c>
      <x:c r="H451" s="45" t="str">
        <x:v>Querétaro</x:v>
      </x:c>
      <x:c r="I451" s="52" t="n">
        <x:v>20.640755</x:v>
      </x:c>
      <x:c r="J451" s="52" t="n">
        <x:v>-100.416769</x:v>
      </x:c>
      <x:c r="K451" s="45" t="str">
        <x:v>Cafe</x:v>
      </x:c>
      <x:c r="L451" s="45" t="str">
        <x:v>Retail</x:v>
      </x:c>
      <x:c r="M451" s="45" t="str">
        <x:v>C2</x:v>
      </x:c>
      <x:c r="N451" s="45" t="str">
        <x:v>Sí</x:v>
      </x:c>
      <x:c r="O451" s="45" t="str">
        <x:v>Jose Antonio Gutierrez Lopez</x:v>
      </x:c>
      <x:c r="P451" s="45" t="str">
        <x:v>Ops y Directorio Alsea · octubre 2026</x:v>
      </x:c>
      <x:c r="Q451" s="45" t="str">
        <x:v>Puntos proporcionados</x:v>
      </x:c>
      <x:c r="R451" s="45" t="str">
        <x:v>Abierta</x:v>
      </x:c>
      <x:c r="S451" s="45" t="str"/>
      <x:c r="T451" s="45" t="n">
        <x:f>IF(AND(E451="Abierta",N451="Sí",ISNUMBER(I451),ISNUMBER(J451),ABS(I451)&lt;=90,ABS(J451)&lt;=180),1,0)</x:f>
        <x:v>1</x:v>
      </x:c>
    </x:row>
    <x:row r="452" ht="23" customHeight="1">
      <x:c r="A452" s="45" t="str">
        <x:v>Bajío</x:v>
      </x:c>
      <x:c r="B452" s="45" t="str">
        <x:v>Jose Antonio Gutierrez Lopez</x:v>
      </x:c>
      <x:c r="C452" s="50" t="str">
        <x:v>43149</x:v>
      </x:c>
      <x:c r="D452" s="45" t="str">
        <x:v>Ferroparque</x:v>
      </x:c>
      <x:c r="E452" s="45" t="str">
        <x:v>Abierta</x:v>
      </x:c>
      <x:c r="F452" s="51" t="d">
        <x:v>2025-06-30T00:00:00.000Z</x:v>
      </x:c>
      <x:c r="G452" s="45" t="str">
        <x:v>Colon</x:v>
      </x:c>
      <x:c r="H452" s="45" t="str">
        <x:v>Querétaro</x:v>
      </x:c>
      <x:c r="I452" s="52" t="n">
        <x:v>20.5802492</x:v>
      </x:c>
      <x:c r="J452" s="52" t="n">
        <x:v>-100.1981984</x:v>
      </x:c>
      <x:c r="K452" s="45" t="str">
        <x:v>Drive_Thru</x:v>
      </x:c>
      <x:c r="L452" s="45" t="str">
        <x:v>Retail</x:v>
      </x:c>
      <x:c r="M452" s="45" t="str">
        <x:v>C3</x:v>
      </x:c>
      <x:c r="N452" s="45" t="str">
        <x:v>Sí</x:v>
      </x:c>
      <x:c r="O452" s="45" t="str">
        <x:v>Jose Antonio Gutierrez Lopez</x:v>
      </x:c>
      <x:c r="P452" s="45" t="str">
        <x:v>Ops y Directorio Alsea · octubre 2026</x:v>
      </x:c>
      <x:c r="Q452" s="45" t="str">
        <x:v>Puntos proporcionados</x:v>
      </x:c>
      <x:c r="R452" s="45" t="str">
        <x:v>Abierta</x:v>
      </x:c>
      <x:c r="S452" s="45" t="str"/>
      <x:c r="T452" s="45" t="n">
        <x:f>IF(AND(E452="Abierta",N452="Sí",ISNUMBER(I452),ISNUMBER(J452),ABS(I452)&lt;=90,ABS(J452)&lt;=180),1,0)</x:f>
        <x:v>1</x:v>
      </x:c>
    </x:row>
    <x:row r="453" ht="23" customHeight="1">
      <x:c r="A453" s="45" t="str">
        <x:v>Bajío</x:v>
      </x:c>
      <x:c r="B453" s="45" t="str">
        <x:v>Jose Antonio Gutierrez Lopez</x:v>
      </x:c>
      <x:c r="C453" s="50" t="str">
        <x:v>43155</x:v>
      </x:c>
      <x:c r="D453" s="45" t="str">
        <x:v>Terrakia</x:v>
      </x:c>
      <x:c r="E453" s="45" t="str">
        <x:v>Abierta</x:v>
      </x:c>
      <x:c r="F453" s="51" t="d">
        <x:v>2025-07-18T00:00:00.000Z</x:v>
      </x:c>
      <x:c r="G453" s="45" t="str">
        <x:v>Colon</x:v>
      </x:c>
      <x:c r="H453" s="45" t="str">
        <x:v>Querétaro</x:v>
      </x:c>
      <x:c r="I453" s="52" t="n">
        <x:v>20.582164</x:v>
      </x:c>
      <x:c r="J453" s="52" t="n">
        <x:v>-100.1969715</x:v>
      </x:c>
      <x:c r="K453" s="45" t="str">
        <x:v>Drive_Thru</x:v>
      </x:c>
      <x:c r="L453" s="45" t="str">
        <x:v>Retail</x:v>
      </x:c>
      <x:c r="M453" s="45" t="str">
        <x:v>C3</x:v>
      </x:c>
      <x:c r="N453" s="45" t="str">
        <x:v>Sí</x:v>
      </x:c>
      <x:c r="O453" s="45" t="str">
        <x:v>Jose Antonio Gutierrez Lopez</x:v>
      </x:c>
      <x:c r="P453" s="45" t="str">
        <x:v>Ops y Directorio Alsea · octubre 2026</x:v>
      </x:c>
      <x:c r="Q453" s="45" t="str">
        <x:v>Puntos proporcionados</x:v>
      </x:c>
      <x:c r="R453" s="45" t="str">
        <x:v>Abierta</x:v>
      </x:c>
      <x:c r="S453" s="45" t="str"/>
      <x:c r="T453" s="45" t="n">
        <x:f>IF(AND(E453="Abierta",N453="Sí",ISNUMBER(I453),ISNUMBER(J453),ABS(I453)&lt;=90,ABS(J453)&lt;=180),1,0)</x:f>
        <x:v>1</x:v>
      </x:c>
    </x:row>
    <x:row r="454" ht="23" customHeight="1">
      <x:c r="A454" s="45" t="str">
        <x:v>Bajío</x:v>
      </x:c>
      <x:c r="B454" s="45" t="str">
        <x:v>Jose Antonio Gutierrez Lopez</x:v>
      </x:c>
      <x:c r="C454" s="50" t="str">
        <x:v>43200</x:v>
      </x:c>
      <x:c r="D454" s="45" t="str">
        <x:v>Lomas del Campanario Nte DT</x:v>
      </x:c>
      <x:c r="E454" s="45" t="str">
        <x:v>Próxima Apertura</x:v>
      </x:c>
      <x:c r="F454" s="51" t="d">
        <x:v>2026-10-11T00:00:00.000Z</x:v>
      </x:c>
      <x:c r="G454" s="45" t="str">
        <x:v>Querétaro</x:v>
      </x:c>
      <x:c r="H454" s="45" t="str">
        <x:v>Querétaro</x:v>
      </x:c>
      <x:c r="I454" s="52"/>
      <x:c r="J454" s="52"/>
      <x:c r="K454" s="45" t="str">
        <x:v>Drive_Thru</x:v>
      </x:c>
      <x:c r="L454" s="45" t="str">
        <x:v>Neighborhood</x:v>
      </x:c>
      <x:c r="M454" s="45" t="str">
        <x:v>C2</x:v>
      </x:c>
      <x:c r="N454" s="45" t="str">
        <x:v>Sí</x:v>
      </x:c>
      <x:c r="O454" s="45" t="str">
        <x:v>Jose Antonio Gutierrez Lopez</x:v>
      </x:c>
      <x:c r="P454" s="45" t="str">
        <x:v>Ops octubre 2026</x:v>
      </x:c>
      <x:c r="Q454" s="45" t="str">
        <x:v>Pendiente</x:v>
      </x:c>
      <x:c r="R454" s="45" t="str"/>
      <x:c r="S454" s="45" t="str">
        <x:v>Coordenadas pendientes. No se estima una ubicación.</x:v>
      </x:c>
      <x:c r="T454" s="45" t="n">
        <x:f>IF(AND(E454="Abierta",N454="Sí",ISNUMBER(I454),ISNUMBER(J454),ABS(I454)&lt;=90,ABS(J454)&lt;=180),1,0)</x:f>
        <x:v>0</x:v>
      </x:c>
    </x:row>
    <x:row r="455" ht="23" customHeight="1">
      <x:c r="A455" s="45" t="str">
        <x:v>Bajío</x:v>
      </x:c>
      <x:c r="B455" s="45" t="str">
        <x:v>Jose Antonio Gutierrez Lopez</x:v>
      </x:c>
      <x:c r="C455" s="50" t="str">
        <x:v>43213</x:v>
      </x:c>
      <x:c r="D455" s="45" t="str">
        <x:v>La Pilarica DT</x:v>
      </x:c>
      <x:c r="E455" s="45" t="str">
        <x:v>Próxima Apertura</x:v>
      </x:c>
      <x:c r="F455" s="51" t="d">
        <x:v>2026-10-11T00:00:00.000Z</x:v>
      </x:c>
      <x:c r="G455" s="45" t="str">
        <x:v>San Miguel Allende</x:v>
      </x:c>
      <x:c r="H455" s="45" t="str">
        <x:v>Guanajuato</x:v>
      </x:c>
      <x:c r="I455" s="52"/>
      <x:c r="J455" s="52"/>
      <x:c r="K455" s="45" t="str">
        <x:v>Drive_Thru</x:v>
      </x:c>
      <x:c r="L455" s="45" t="str">
        <x:v>Tourism_and_Entertainment</x:v>
      </x:c>
      <x:c r="M455" s="45" t="str">
        <x:v>C3</x:v>
      </x:c>
      <x:c r="N455" s="45" t="str">
        <x:v>Sí</x:v>
      </x:c>
      <x:c r="O455" s="45" t="str">
        <x:v>Jose Antonio Gutierrez Lopez</x:v>
      </x:c>
      <x:c r="P455" s="45" t="str">
        <x:v>Ops octubre 2026</x:v>
      </x:c>
      <x:c r="Q455" s="45" t="str">
        <x:v>Pendiente</x:v>
      </x:c>
      <x:c r="R455" s="45" t="str"/>
      <x:c r="S455" s="45" t="str">
        <x:v>Coordenadas pendientes. No se estima una ubicación.</x:v>
      </x:c>
      <x:c r="T455" s="45" t="n">
        <x:f>IF(AND(E455="Abierta",N455="Sí",ISNUMBER(I455),ISNUMBER(J455),ABS(I455)&lt;=90,ABS(J455)&lt;=180),1,0)</x:f>
        <x:v>0</x:v>
      </x:c>
    </x:row>
    <x:row r="456" ht="23" customHeight="1">
      <x:c r="A456" s="45" t="str">
        <x:v>Bajío</x:v>
      </x:c>
      <x:c r="B456" s="45" t="str">
        <x:v>Jose Antonio Gutierrez Lopez</x:v>
      </x:c>
      <x:c r="C456" s="50" t="str">
        <x:v>43220</x:v>
      </x:c>
      <x:c r="D456" s="45" t="str">
        <x:v>Circuito Universidades</x:v>
      </x:c>
      <x:c r="E456" s="45" t="str">
        <x:v>Abierta</x:v>
      </x:c>
      <x:c r="F456" s="51" t="d">
        <x:v>2026-09-26T00:00:00.000Z</x:v>
      </x:c>
      <x:c r="G456" s="45" t="str">
        <x:v>El Marqués</x:v>
      </x:c>
      <x:c r="H456" s="45" t="str">
        <x:v>Querétaro</x:v>
      </x:c>
      <x:c r="I456" s="52" t="n">
        <x:v>20.645774</x:v>
      </x:c>
      <x:c r="J456" s="52" t="n">
        <x:v>-100.340896</x:v>
      </x:c>
      <x:c r="K456" s="45" t="str">
        <x:v>Drive_Thru</x:v>
      </x:c>
      <x:c r="L456" s="45" t="str">
        <x:v>Retail</x:v>
      </x:c>
      <x:c r="M456" s="45" t="str">
        <x:v>C2</x:v>
      </x:c>
      <x:c r="N456" s="45" t="str">
        <x:v>Sí</x:v>
      </x:c>
      <x:c r="O456" s="45" t="str">
        <x:v>Jose Antonio Gutierrez Lopez</x:v>
      </x:c>
      <x:c r="P456" s="45" t="str">
        <x:v>Ops y Directorio Alsea · octubre 2026</x:v>
      </x:c>
      <x:c r="Q456" s="45" t="str">
        <x:v>Directorio Alsea octubre 2026</x:v>
      </x:c>
      <x:c r="R456" s="45" t="str">
        <x:v>Abierta</x:v>
      </x:c>
      <x:c r="S456" s="45" t="str"/>
      <x:c r="T456" s="45" t="n">
        <x:f>IF(AND(E456="Abierta",N456="Sí",ISNUMBER(I456),ISNUMBER(J456),ABS(I456)&lt;=90,ABS(J456)&lt;=180),1,0)</x:f>
        <x:v>1</x:v>
      </x:c>
    </x:row>
    <x:row r="457" ht="23" customHeight="1">
      <x:c r="A457" s="45" t="str">
        <x:v>Bajío</x:v>
      </x:c>
      <x:c r="B457" s="45" t="str">
        <x:v>Josue Joatan Gonzalez Anaya</x:v>
      </x:c>
      <x:c r="C457" s="50" t="str">
        <x:v>38245</x:v>
      </x:c>
      <x:c r="D457" s="45" t="str">
        <x:v>Plaza Zenttro</x:v>
      </x:c>
      <x:c r="E457" s="45" t="str">
        <x:v>Abierta</x:v>
      </x:c>
      <x:c r="F457" s="51" t="d">
        <x:v>2007-08-10T00:00:00.000Z</x:v>
      </x:c>
      <x:c r="G457" s="45" t="str">
        <x:v>León</x:v>
      </x:c>
      <x:c r="H457" s="45" t="str">
        <x:v>Guanajuato</x:v>
      </x:c>
      <x:c r="I457" s="52" t="n">
        <x:v>21.154499</x:v>
      </x:c>
      <x:c r="J457" s="52" t="n">
        <x:v>-101.688719</x:v>
      </x:c>
      <x:c r="K457" s="45" t="str">
        <x:v>Cafe</x:v>
      </x:c>
      <x:c r="L457" s="45" t="str">
        <x:v>Retail</x:v>
      </x:c>
      <x:c r="M457" s="45" t="str">
        <x:v>C2</x:v>
      </x:c>
      <x:c r="N457" s="45" t="str">
        <x:v>Sí</x:v>
      </x:c>
      <x:c r="O457" s="45" t="str">
        <x:v>Josue Joatan Gonzalez Anaya</x:v>
      </x:c>
      <x:c r="P457" s="45" t="str">
        <x:v>Ops y Directorio Alsea · octubre 2026</x:v>
      </x:c>
      <x:c r="Q457" s="45" t="str">
        <x:v>Puntos proporcionados</x:v>
      </x:c>
      <x:c r="R457" s="45" t="str">
        <x:v>Abierta</x:v>
      </x:c>
      <x:c r="S457" s="45" t="str"/>
      <x:c r="T457" s="45" t="n">
        <x:f>IF(AND(E457="Abierta",N457="Sí",ISNUMBER(I457),ISNUMBER(J457),ABS(I457)&lt;=90,ABS(J457)&lt;=180),1,0)</x:f>
        <x:v>1</x:v>
      </x:c>
    </x:row>
    <x:row r="458" ht="23" customHeight="1">
      <x:c r="A458" s="45" t="str">
        <x:v>Bajío</x:v>
      </x:c>
      <x:c r="B458" s="45" t="str">
        <x:v>Josue Joatan Gonzalez Anaya</x:v>
      </x:c>
      <x:c r="C458" s="50" t="str">
        <x:v>38247</x:v>
      </x:c>
      <x:c r="D458" s="45" t="str">
        <x:v>Plaza Mayor</x:v>
      </x:c>
      <x:c r="E458" s="45" t="str">
        <x:v>Abierta</x:v>
      </x:c>
      <x:c r="F458" s="51" t="d">
        <x:v>2007-08-28T00:00:00.000Z</x:v>
      </x:c>
      <x:c r="G458" s="45" t="str">
        <x:v>León</x:v>
      </x:c>
      <x:c r="H458" s="45" t="str">
        <x:v>Guanajuato</x:v>
      </x:c>
      <x:c r="I458" s="52" t="n">
        <x:v>21.1583766</x:v>
      </x:c>
      <x:c r="J458" s="52" t="n">
        <x:v>-101.6951281</x:v>
      </x:c>
      <x:c r="K458" s="45" t="str">
        <x:v>Cafe</x:v>
      </x:c>
      <x:c r="L458" s="45" t="str">
        <x:v>Retail</x:v>
      </x:c>
      <x:c r="M458" s="45" t="str">
        <x:v>C2</x:v>
      </x:c>
      <x:c r="N458" s="45" t="str">
        <x:v>Sí</x:v>
      </x:c>
      <x:c r="O458" s="45" t="str">
        <x:v>Josue Joatan Gonzalez Anaya</x:v>
      </x:c>
      <x:c r="P458" s="45" t="str">
        <x:v>Ops y Directorio Alsea · octubre 2026</x:v>
      </x:c>
      <x:c r="Q458" s="45" t="str">
        <x:v>Puntos proporcionados</x:v>
      </x:c>
      <x:c r="R458" s="45" t="str">
        <x:v>Abierta</x:v>
      </x:c>
      <x:c r="S458" s="45" t="str"/>
      <x:c r="T458" s="45" t="n">
        <x:f>IF(AND(E458="Abierta",N458="Sí",ISNUMBER(I458),ISNUMBER(J458),ABS(I458)&lt;=90,ABS(J458)&lt;=180),1,0)</x:f>
        <x:v>1</x:v>
      </x:c>
    </x:row>
    <x:row r="459" ht="23" customHeight="1">
      <x:c r="A459" s="45" t="str">
        <x:v>Bajío</x:v>
      </x:c>
      <x:c r="B459" s="45" t="str">
        <x:v>Josue Joatan Gonzalez Anaya</x:v>
      </x:c>
      <x:c r="C459" s="50" t="str">
        <x:v>38251</x:v>
      </x:c>
      <x:c r="D459" s="45" t="str">
        <x:v>Las Torres Leon</x:v>
      </x:c>
      <x:c r="E459" s="45" t="str">
        <x:v>Abierta</x:v>
      </x:c>
      <x:c r="F459" s="51" t="d">
        <x:v>2007-08-17T00:00:00.000Z</x:v>
      </x:c>
      <x:c r="G459" s="45" t="str">
        <x:v>León</x:v>
      </x:c>
      <x:c r="H459" s="45" t="str">
        <x:v>Guanajuato</x:v>
      </x:c>
      <x:c r="I459" s="52" t="n">
        <x:v>21.1541943</x:v>
      </x:c>
      <x:c r="J459" s="52" t="n">
        <x:v>-101.6980501</x:v>
      </x:c>
      <x:c r="K459" s="45" t="str">
        <x:v>Cafe</x:v>
      </x:c>
      <x:c r="L459" s="45" t="str">
        <x:v>Neighborhood</x:v>
      </x:c>
      <x:c r="M459" s="45" t="str">
        <x:v>C2</x:v>
      </x:c>
      <x:c r="N459" s="45" t="str">
        <x:v>Sí</x:v>
      </x:c>
      <x:c r="O459" s="45" t="str">
        <x:v>Josue Joatan Gonzalez Anaya</x:v>
      </x:c>
      <x:c r="P459" s="45" t="str">
        <x:v>Ops y Directorio Alsea · octubre 2026</x:v>
      </x:c>
      <x:c r="Q459" s="45" t="str">
        <x:v>Puntos proporcionados</x:v>
      </x:c>
      <x:c r="R459" s="45" t="str">
        <x:v>Abierta</x:v>
      </x:c>
      <x:c r="S459" s="45" t="str"/>
      <x:c r="T459" s="45" t="n">
        <x:f>IF(AND(E459="Abierta",N459="Sí",ISNUMBER(I459),ISNUMBER(J459),ABS(I459)&lt;=90,ABS(J459)&lt;=180),1,0)</x:f>
        <x:v>1</x:v>
      </x:c>
    </x:row>
    <x:row r="460" ht="23" customHeight="1">
      <x:c r="A460" s="45" t="str">
        <x:v>Bajío</x:v>
      </x:c>
      <x:c r="B460" s="45" t="str">
        <x:v>Josue Joatan Gonzalez Anaya</x:v>
      </x:c>
      <x:c r="C460" s="50" t="str">
        <x:v>38453</x:v>
      </x:c>
      <x:c r="D460" s="45" t="str">
        <x:v>Poliforum</x:v>
      </x:c>
      <x:c r="E460" s="45" t="str">
        <x:v>Abierta</x:v>
      </x:c>
      <x:c r="F460" s="51" t="d">
        <x:v>2012-05-09T00:00:00.000Z</x:v>
      </x:c>
      <x:c r="G460" s="45" t="str">
        <x:v>León</x:v>
      </x:c>
      <x:c r="H460" s="45" t="str">
        <x:v>Guanajuato</x:v>
      </x:c>
      <x:c r="I460" s="52" t="n">
        <x:v>21.1139408</x:v>
      </x:c>
      <x:c r="J460" s="52" t="n">
        <x:v>-101.6537613</x:v>
      </x:c>
      <x:c r="K460" s="45" t="str">
        <x:v>Cafe</x:v>
      </x:c>
      <x:c r="L460" s="45" t="str">
        <x:v>Office_Complex</x:v>
      </x:c>
      <x:c r="M460" s="45" t="str">
        <x:v>C2</x:v>
      </x:c>
      <x:c r="N460" s="45" t="str">
        <x:v>Sí</x:v>
      </x:c>
      <x:c r="O460" s="45" t="str">
        <x:v>Josue Joatan Gonzalez Anaya</x:v>
      </x:c>
      <x:c r="P460" s="45" t="str">
        <x:v>Ops y Directorio Alsea · octubre 2026</x:v>
      </x:c>
      <x:c r="Q460" s="45" t="str">
        <x:v>Puntos proporcionados</x:v>
      </x:c>
      <x:c r="R460" s="45" t="str">
        <x:v>Abierta</x:v>
      </x:c>
      <x:c r="S460" s="45" t="str"/>
      <x:c r="T460" s="45" t="n">
        <x:f>IF(AND(E460="Abierta",N460="Sí",ISNUMBER(I460),ISNUMBER(J460),ABS(I460)&lt;=90,ABS(J460)&lt;=180),1,0)</x:f>
        <x:v>1</x:v>
      </x:c>
    </x:row>
    <x:row r="461" ht="23" customHeight="1">
      <x:c r="A461" s="45" t="str">
        <x:v>Bajío</x:v>
      </x:c>
      <x:c r="B461" s="45" t="str">
        <x:v>Josue Joatan Gonzalez Anaya</x:v>
      </x:c>
      <x:c r="C461" s="50" t="str">
        <x:v>38552</x:v>
      </x:c>
      <x:c r="D461" s="45" t="str">
        <x:v>Plaza Mayor II</x:v>
      </x:c>
      <x:c r="E461" s="45" t="str">
        <x:v>Abierta</x:v>
      </x:c>
      <x:c r="F461" s="51" t="d">
        <x:v>2014-09-29T00:00:00.000Z</x:v>
      </x:c>
      <x:c r="G461" s="45" t="str">
        <x:v>León</x:v>
      </x:c>
      <x:c r="H461" s="45" t="str">
        <x:v>Guanajuato</x:v>
      </x:c>
      <x:c r="I461" s="52" t="n">
        <x:v>21.1568945</x:v>
      </x:c>
      <x:c r="J461" s="52" t="n">
        <x:v>-101.6959434</x:v>
      </x:c>
      <x:c r="K461" s="45" t="str">
        <x:v>Kiosko</x:v>
      </x:c>
      <x:c r="L461" s="45" t="str">
        <x:v>Retail</x:v>
      </x:c>
      <x:c r="M461" s="45" t="str">
        <x:v>C2</x:v>
      </x:c>
      <x:c r="N461" s="45" t="str">
        <x:v>Sí</x:v>
      </x:c>
      <x:c r="O461" s="45" t="str">
        <x:v>Josue Joatan Gonzalez Anaya</x:v>
      </x:c>
      <x:c r="P461" s="45" t="str">
        <x:v>Ops y Directorio Alsea · octubre 2026</x:v>
      </x:c>
      <x:c r="Q461" s="45" t="str">
        <x:v>Puntos proporcionados</x:v>
      </x:c>
      <x:c r="R461" s="45" t="str">
        <x:v>Abierta</x:v>
      </x:c>
      <x:c r="S461" s="45" t="str"/>
      <x:c r="T461" s="45" t="n">
        <x:f>IF(AND(E461="Abierta",N461="Sí",ISNUMBER(I461),ISNUMBER(J461),ABS(I461)&lt;=90,ABS(J461)&lt;=180),1,0)</x:f>
        <x:v>1</x:v>
      </x:c>
    </x:row>
    <x:row r="462" ht="23" customHeight="1">
      <x:c r="A462" s="45" t="str">
        <x:v>Bajío</x:v>
      </x:c>
      <x:c r="B462" s="45" t="str">
        <x:v>Josue Joatan Gonzalez Anaya</x:v>
      </x:c>
      <x:c r="C462" s="50" t="str">
        <x:v>38673</x:v>
      </x:c>
      <x:c r="D462" s="45" t="str">
        <x:v>Puerta Bajio</x:v>
      </x:c>
      <x:c r="E462" s="45" t="str">
        <x:v>Abierta</x:v>
      </x:c>
      <x:c r="F462" s="51" t="d">
        <x:v>2016-10-16T00:00:00.000Z</x:v>
      </x:c>
      <x:c r="G462" s="45" t="str">
        <x:v>León</x:v>
      </x:c>
      <x:c r="H462" s="45" t="str">
        <x:v>Guanajuato</x:v>
      </x:c>
      <x:c r="I462" s="52" t="n">
        <x:v>21.1649381</x:v>
      </x:c>
      <x:c r="J462" s="52" t="n">
        <x:v>-101.7618361</x:v>
      </x:c>
      <x:c r="K462" s="45" t="str">
        <x:v>Cafe</x:v>
      </x:c>
      <x:c r="L462" s="45" t="str">
        <x:v>Neighborhood</x:v>
      </x:c>
      <x:c r="M462" s="45" t="str">
        <x:v>C2</x:v>
      </x:c>
      <x:c r="N462" s="45" t="str">
        <x:v>Sí</x:v>
      </x:c>
      <x:c r="O462" s="45" t="str">
        <x:v>Josue Joatan Gonzalez Anaya</x:v>
      </x:c>
      <x:c r="P462" s="45" t="str">
        <x:v>Ops y Directorio Alsea · octubre 2026</x:v>
      </x:c>
      <x:c r="Q462" s="45" t="str">
        <x:v>Puntos proporcionados</x:v>
      </x:c>
      <x:c r="R462" s="45" t="str">
        <x:v>Abierta</x:v>
      </x:c>
      <x:c r="S462" s="45" t="str"/>
      <x:c r="T462" s="45" t="n">
        <x:f>IF(AND(E462="Abierta",N462="Sí",ISNUMBER(I462),ISNUMBER(J462),ABS(I462)&lt;=90,ABS(J462)&lt;=180),1,0)</x:f>
        <x:v>1</x:v>
      </x:c>
    </x:row>
    <x:row r="463" ht="23" customHeight="1">
      <x:c r="A463" s="45" t="str">
        <x:v>Bajío</x:v>
      </x:c>
      <x:c r="B463" s="45" t="str">
        <x:v>Josue Joatan Gonzalez Anaya</x:v>
      </x:c>
      <x:c r="C463" s="50" t="str">
        <x:v>38884</x:v>
      </x:c>
      <x:c r="D463" s="45" t="str">
        <x:v>Plaza Marina Leon</x:v>
      </x:c>
      <x:c r="E463" s="45" t="str">
        <x:v>Abierta</x:v>
      </x:c>
      <x:c r="F463" s="51" t="d">
        <x:v>2020-01-13T00:00:00.000Z</x:v>
      </x:c>
      <x:c r="G463" s="45" t="str">
        <x:v>León</x:v>
      </x:c>
      <x:c r="H463" s="45" t="str">
        <x:v>Guanajuato</x:v>
      </x:c>
      <x:c r="I463" s="52" t="n">
        <x:v>21.1710746</x:v>
      </x:c>
      <x:c r="J463" s="52" t="n">
        <x:v>-101.6790499</x:v>
      </x:c>
      <x:c r="K463" s="45" t="str">
        <x:v>Drive_Thru</x:v>
      </x:c>
      <x:c r="L463" s="45" t="str">
        <x:v>Retail</x:v>
      </x:c>
      <x:c r="M463" s="45" t="str">
        <x:v>C2</x:v>
      </x:c>
      <x:c r="N463" s="45" t="str">
        <x:v>Sí</x:v>
      </x:c>
      <x:c r="O463" s="45" t="str">
        <x:v>Josue Joatan Gonzalez Anaya</x:v>
      </x:c>
      <x:c r="P463" s="45" t="str">
        <x:v>Ops y Directorio Alsea · octubre 2026</x:v>
      </x:c>
      <x:c r="Q463" s="45" t="str">
        <x:v>Puntos proporcionados</x:v>
      </x:c>
      <x:c r="R463" s="45" t="str">
        <x:v>Abierta</x:v>
      </x:c>
      <x:c r="S463" s="45" t="str"/>
      <x:c r="T463" s="45" t="n">
        <x:f>IF(AND(E463="Abierta",N463="Sí",ISNUMBER(I463),ISNUMBER(J463),ABS(I463)&lt;=90,ABS(J463)&lt;=180),1,0)</x:f>
        <x:v>1</x:v>
      </x:c>
    </x:row>
    <x:row r="464" ht="23" customHeight="1">
      <x:c r="A464" s="45" t="str">
        <x:v>Bajío</x:v>
      </x:c>
      <x:c r="B464" s="45" t="str">
        <x:v>Josue Joatan Gonzalez Anaya</x:v>
      </x:c>
      <x:c r="C464" s="50" t="str">
        <x:v>38904</x:v>
      </x:c>
      <x:c r="D464" s="45" t="str">
        <x:v>Foro 4</x:v>
      </x:c>
      <x:c r="E464" s="45" t="str">
        <x:v>Abierta</x:v>
      </x:c>
      <x:c r="F464" s="51" t="d">
        <x:v>2022-03-31T00:00:00.000Z</x:v>
      </x:c>
      <x:c r="G464" s="45" t="str">
        <x:v>León</x:v>
      </x:c>
      <x:c r="H464" s="45" t="str">
        <x:v>Guanajuato</x:v>
      </x:c>
      <x:c r="I464" s="52" t="n">
        <x:v>21.164453</x:v>
      </x:c>
      <x:c r="J464" s="52" t="n">
        <x:v>-101.6927784</x:v>
      </x:c>
      <x:c r="K464" s="45" t="str">
        <x:v>Cafe</x:v>
      </x:c>
      <x:c r="L464" s="45" t="str">
        <x:v>Retail</x:v>
      </x:c>
      <x:c r="M464" s="45" t="str">
        <x:v>C2</x:v>
      </x:c>
      <x:c r="N464" s="45" t="str">
        <x:v>Sí</x:v>
      </x:c>
      <x:c r="O464" s="45" t="str">
        <x:v>Josue Joatan Gonzalez Anaya</x:v>
      </x:c>
      <x:c r="P464" s="45" t="str">
        <x:v>Ops y Directorio Alsea · octubre 2026</x:v>
      </x:c>
      <x:c r="Q464" s="45" t="str">
        <x:v>Puntos proporcionados</x:v>
      </x:c>
      <x:c r="R464" s="45" t="str">
        <x:v>Abierta</x:v>
      </x:c>
      <x:c r="S464" s="45" t="str"/>
      <x:c r="T464" s="45" t="n">
        <x:f>IF(AND(E464="Abierta",N464="Sí",ISNUMBER(I464),ISNUMBER(J464),ABS(I464)&lt;=90,ABS(J464)&lt;=180),1,0)</x:f>
        <x:v>1</x:v>
      </x:c>
    </x:row>
    <x:row r="465" ht="23" customHeight="1">
      <x:c r="A465" s="45" t="str">
        <x:v>Bajío</x:v>
      </x:c>
      <x:c r="B465" s="45" t="str">
        <x:v>Josue Joatan Gonzalez Anaya</x:v>
      </x:c>
      <x:c r="C465" s="50" t="str">
        <x:v>38940</x:v>
      </x:c>
      <x:c r="D465" s="45" t="str">
        <x:v>City Center León</x:v>
      </x:c>
      <x:c r="E465" s="45" t="str">
        <x:v>Cierre Temporal</x:v>
      </x:c>
      <x:c r="F465" s="51" t="d">
        <x:v>2024-05-20T00:00:00.000Z</x:v>
      </x:c>
      <x:c r="G465" s="45" t="str">
        <x:v>León</x:v>
      </x:c>
      <x:c r="H465" s="45" t="str">
        <x:v>Guanajuato</x:v>
      </x:c>
      <x:c r="I465" s="52" t="n">
        <x:v>21.17030573</x:v>
      </x:c>
      <x:c r="J465" s="52" t="n">
        <x:v>-101.6807574</x:v>
      </x:c>
      <x:c r="K465" s="45" t="str">
        <x:v>Cafe</x:v>
      </x:c>
      <x:c r="L465" s="45" t="str">
        <x:v>Retail</x:v>
      </x:c>
      <x:c r="M465" s="45" t="str">
        <x:v>C2</x:v>
      </x:c>
      <x:c r="N465" s="45" t="str">
        <x:v>No</x:v>
      </x:c>
      <x:c r="O465" s="45" t="str">
        <x:v>Josue Joatan Gonzalez Anaya</x:v>
      </x:c>
      <x:c r="P465" s="45" t="str">
        <x:v>Ops y Directorio Alsea · octubre 2026</x:v>
      </x:c>
      <x:c r="Q465" s="45" t="str">
        <x:v>Directorio Alsea octubre 2026</x:v>
      </x:c>
      <x:c r="R465" s="45" t="str">
        <x:v>Abierta</x:v>
      </x:c>
      <x:c r="S465" s="45" t="str">
        <x:v>Ops: Cierre Temporal. Alsea: Abierta. Se conserva el estatus operativo más específico.</x:v>
      </x:c>
      <x:c r="T465" s="45" t="n">
        <x:f>IF(AND(E465="Abierta",N465="Sí",ISNUMBER(I465),ISNUMBER(J465),ABS(I465)&lt;=90,ABS(J465)&lt;=180),1,0)</x:f>
        <x:v>0</x:v>
      </x:c>
    </x:row>
    <x:row r="466" ht="23" customHeight="1">
      <x:c r="A466" s="45" t="str">
        <x:v>Bajío</x:v>
      </x:c>
      <x:c r="B466" s="45" t="str">
        <x:v>Josue Joatan Gonzalez Anaya</x:v>
      </x:c>
      <x:c r="C466" s="50" t="str">
        <x:v>43027</x:v>
      </x:c>
      <x:c r="D466" s="45" t="str">
        <x:v>Paseo Insurgentes León DT</x:v>
      </x:c>
      <x:c r="E466" s="45" t="str">
        <x:v>Abierta</x:v>
      </x:c>
      <x:c r="F466" s="51" t="d">
        <x:v>2024-05-09T00:00:00.000Z</x:v>
      </x:c>
      <x:c r="G466" s="45" t="str">
        <x:v>León</x:v>
      </x:c>
      <x:c r="H466" s="45" t="str">
        <x:v>Guanajuato</x:v>
      </x:c>
      <x:c r="I466" s="52" t="n">
        <x:v>21.157631</x:v>
      </x:c>
      <x:c r="J466" s="52" t="n">
        <x:v>-101.722303</x:v>
      </x:c>
      <x:c r="K466" s="45" t="str">
        <x:v>Drive_Thru</x:v>
      </x:c>
      <x:c r="L466" s="45" t="str">
        <x:v>Transfers</x:v>
      </x:c>
      <x:c r="M466" s="45" t="str">
        <x:v>C2</x:v>
      </x:c>
      <x:c r="N466" s="45" t="str">
        <x:v>Sí</x:v>
      </x:c>
      <x:c r="O466" s="45" t="str">
        <x:v>Josue Joatan Gonzalez Anaya</x:v>
      </x:c>
      <x:c r="P466" s="45" t="str">
        <x:v>Ops y Directorio Alsea · octubre 2026</x:v>
      </x:c>
      <x:c r="Q466" s="45" t="str">
        <x:v>Puntos proporcionados</x:v>
      </x:c>
      <x:c r="R466" s="45" t="str">
        <x:v>Abierta</x:v>
      </x:c>
      <x:c r="S466" s="45" t="str"/>
      <x:c r="T466" s="45" t="n">
        <x:f>IF(AND(E466="Abierta",N466="Sí",ISNUMBER(I466),ISNUMBER(J466),ABS(I466)&lt;=90,ABS(J466)&lt;=180),1,0)</x:f>
        <x:v>1</x:v>
      </x:c>
    </x:row>
    <x:row r="467" ht="23" customHeight="1">
      <x:c r="A467" s="45" t="str">
        <x:v>Bajío</x:v>
      </x:c>
      <x:c r="B467" s="45" t="str">
        <x:v>Josue Joatan Gonzalez Anaya</x:v>
      </x:c>
      <x:c r="C467" s="50" t="str">
        <x:v>43032</x:v>
      </x:c>
      <x:c r="D467" s="45" t="str">
        <x:v>Paseo del Moral León</x:v>
      </x:c>
      <x:c r="E467" s="45" t="str">
        <x:v>Abierta</x:v>
      </x:c>
      <x:c r="F467" s="51" t="d">
        <x:v>2024-09-27T00:00:00.000Z</x:v>
      </x:c>
      <x:c r="G467" s="45" t="str">
        <x:v>León</x:v>
      </x:c>
      <x:c r="H467" s="45" t="str">
        <x:v>Guanajuato</x:v>
      </x:c>
      <x:c r="I467" s="52" t="n">
        <x:v>21.1466387</x:v>
      </x:c>
      <x:c r="J467" s="52" t="n">
        <x:v>-101.6904544</x:v>
      </x:c>
      <x:c r="K467" s="45" t="str">
        <x:v>Cafe</x:v>
      </x:c>
      <x:c r="L467" s="45" t="str">
        <x:v>Neighborhood</x:v>
      </x:c>
      <x:c r="M467" s="45" t="str">
        <x:v>C2</x:v>
      </x:c>
      <x:c r="N467" s="45" t="str">
        <x:v>Sí</x:v>
      </x:c>
      <x:c r="O467" s="45" t="str">
        <x:v>Josue Joatan Gonzalez Anaya</x:v>
      </x:c>
      <x:c r="P467" s="45" t="str">
        <x:v>Ops y Directorio Alsea · octubre 2026</x:v>
      </x:c>
      <x:c r="Q467" s="45" t="str">
        <x:v>Puntos proporcionados</x:v>
      </x:c>
      <x:c r="R467" s="45" t="str">
        <x:v>Abierta</x:v>
      </x:c>
      <x:c r="S467" s="45" t="str"/>
      <x:c r="T467" s="45" t="n">
        <x:f>IF(AND(E467="Abierta",N467="Sí",ISNUMBER(I467),ISNUMBER(J467),ABS(I467)&lt;=90,ABS(J467)&lt;=180),1,0)</x:f>
        <x:v>1</x:v>
      </x:c>
    </x:row>
    <x:row r="468" ht="23" customHeight="1">
      <x:c r="A468" s="45" t="str">
        <x:v>Bajío</x:v>
      </x:c>
      <x:c r="B468" s="45" t="str">
        <x:v>Josue Joatan Gonzalez Anaya</x:v>
      </x:c>
      <x:c r="C468" s="50" t="str">
        <x:v>43089</x:v>
      </x:c>
      <x:c r="D468" s="45" t="str">
        <x:v>López Mateos León DT</x:v>
      </x:c>
      <x:c r="E468" s="45" t="str">
        <x:v>Abierta</x:v>
      </x:c>
      <x:c r="F468" s="51" t="d">
        <x:v>2024-09-28T00:00:00.000Z</x:v>
      </x:c>
      <x:c r="G468" s="45" t="str">
        <x:v>León</x:v>
      </x:c>
      <x:c r="H468" s="45" t="str">
        <x:v>Guanajuato</x:v>
      </x:c>
      <x:c r="I468" s="52" t="n">
        <x:v>21.1189607</x:v>
      </x:c>
      <x:c r="J468" s="52" t="n">
        <x:v>-101.663216</x:v>
      </x:c>
      <x:c r="K468" s="45" t="str">
        <x:v>Drive_Thru</x:v>
      </x:c>
      <x:c r="L468" s="45" t="str">
        <x:v>Transfers</x:v>
      </x:c>
      <x:c r="M468" s="45" t="str">
        <x:v>C2</x:v>
      </x:c>
      <x:c r="N468" s="45" t="str">
        <x:v>Sí</x:v>
      </x:c>
      <x:c r="O468" s="45" t="str">
        <x:v>Josue Joatan Gonzalez Anaya</x:v>
      </x:c>
      <x:c r="P468" s="45" t="str">
        <x:v>Ops y Directorio Alsea · octubre 2026</x:v>
      </x:c>
      <x:c r="Q468" s="45" t="str">
        <x:v>Puntos proporcionados</x:v>
      </x:c>
      <x:c r="R468" s="45" t="str">
        <x:v>Abierta</x:v>
      </x:c>
      <x:c r="S468" s="45" t="str"/>
      <x:c r="T468" s="45" t="n">
        <x:f>IF(AND(E468="Abierta",N468="Sí",ISNUMBER(I468),ISNUMBER(J468),ABS(I468)&lt;=90,ABS(J468)&lt;=180),1,0)</x:f>
        <x:v>1</x:v>
      </x:c>
    </x:row>
    <x:row r="469" ht="23" customHeight="1">
      <x:c r="A469" s="45" t="str">
        <x:v>Bajío</x:v>
      </x:c>
      <x:c r="B469" s="45" t="str">
        <x:v>Josue Joatan Gonzalez Anaya</x:v>
      </x:c>
      <x:c r="C469" s="50" t="str">
        <x:v>43215</x:v>
      </x:c>
      <x:c r="D469" s="45" t="str">
        <x:v>Plaza Laureles León DT</x:v>
      </x:c>
      <x:c r="E469" s="45" t="str">
        <x:v>Abierta</x:v>
      </x:c>
      <x:c r="F469" s="51" t="d">
        <x:v>2026-09-27T00:00:00.000Z</x:v>
      </x:c>
      <x:c r="G469" s="45" t="str">
        <x:v>León</x:v>
      </x:c>
      <x:c r="H469" s="45" t="str">
        <x:v>Guanajuato</x:v>
      </x:c>
      <x:c r="I469" s="52" t="n">
        <x:v>21.10221204</x:v>
      </x:c>
      <x:c r="J469" s="52" t="n">
        <x:v>-101.7123985</x:v>
      </x:c>
      <x:c r="K469" s="45" t="str">
        <x:v>Drive_Thru</x:v>
      </x:c>
      <x:c r="L469" s="45" t="str">
        <x:v>Transfers</x:v>
      </x:c>
      <x:c r="M469" s="45" t="str">
        <x:v>C2</x:v>
      </x:c>
      <x:c r="N469" s="45" t="str">
        <x:v>Sí</x:v>
      </x:c>
      <x:c r="O469" s="45" t="str">
        <x:v>Josue Joatan Gonzalez Anaya</x:v>
      </x:c>
      <x:c r="P469" s="45" t="str">
        <x:v>Ops y Directorio Alsea · octubre 2026</x:v>
      </x:c>
      <x:c r="Q469" s="45" t="str">
        <x:v>Directorio Alsea octubre 2026</x:v>
      </x:c>
      <x:c r="R469" s="45" t="str">
        <x:v>Abierta</x:v>
      </x:c>
      <x:c r="S469" s="45" t="str"/>
      <x:c r="T469" s="45" t="n">
        <x:f>IF(AND(E469="Abierta",N469="Sí",ISNUMBER(I469),ISNUMBER(J469),ABS(I469)&lt;=90,ABS(J469)&lt;=180),1,0)</x:f>
        <x:v>1</x:v>
      </x:c>
    </x:row>
    <x:row r="470" ht="23" customHeight="1">
      <x:c r="A470" s="45" t="str">
        <x:v>Bajío</x:v>
      </x:c>
      <x:c r="B470" s="45" t="str">
        <x:v>Mauricio Sour Romero</x:v>
      </x:c>
      <x:c r="C470" s="50" t="str">
        <x:v>38250</x:v>
      </x:c>
      <x:c r="D470" s="45" t="str">
        <x:v>Galerias Queretaro</x:v>
      </x:c>
      <x:c r="E470" s="45" t="str">
        <x:v>Abierta</x:v>
      </x:c>
      <x:c r="F470" s="51" t="d">
        <x:v>2007-08-24T00:00:00.000Z</x:v>
      </x:c>
      <x:c r="G470" s="45" t="str">
        <x:v>Querétaro</x:v>
      </x:c>
      <x:c r="H470" s="45" t="str">
        <x:v>Querétaro</x:v>
      </x:c>
      <x:c r="I470" s="52" t="n">
        <x:v>20.577831</x:v>
      </x:c>
      <x:c r="J470" s="52" t="n">
        <x:v>-100.405285</x:v>
      </x:c>
      <x:c r="K470" s="45" t="str">
        <x:v>Cafe</x:v>
      </x:c>
      <x:c r="L470" s="45" t="str">
        <x:v>Retail</x:v>
      </x:c>
      <x:c r="M470" s="45" t="str">
        <x:v>C2</x:v>
      </x:c>
      <x:c r="N470" s="45" t="str">
        <x:v>Sí</x:v>
      </x:c>
      <x:c r="O470" s="45" t="str">
        <x:v>Mauricio Sour Romero</x:v>
      </x:c>
      <x:c r="P470" s="45" t="str">
        <x:v>Ops y Directorio Alsea · octubre 2026</x:v>
      </x:c>
      <x:c r="Q470" s="45" t="str">
        <x:v>Puntos proporcionados</x:v>
      </x:c>
      <x:c r="R470" s="45" t="str">
        <x:v>Abierta</x:v>
      </x:c>
      <x:c r="S470" s="45" t="str"/>
      <x:c r="T470" s="45" t="n">
        <x:f>IF(AND(E470="Abierta",N470="Sí",ISNUMBER(I470),ISNUMBER(J470),ABS(I470)&lt;=90,ABS(J470)&lt;=180),1,0)</x:f>
        <x:v>1</x:v>
      </x:c>
    </x:row>
    <x:row r="471" ht="23" customHeight="1">
      <x:c r="A471" s="45" t="str">
        <x:v>Bajío</x:v>
      </x:c>
      <x:c r="B471" s="45" t="str">
        <x:v>Mauricio Sour Romero</x:v>
      </x:c>
      <x:c r="C471" s="50" t="str">
        <x:v>38295</x:v>
      </x:c>
      <x:c r="D471" s="45" t="str">
        <x:v>Campestre Queretaro</x:v>
      </x:c>
      <x:c r="E471" s="45" t="str">
        <x:v>Abierta</x:v>
      </x:c>
      <x:c r="F471" s="51" t="d">
        <x:v>2007-12-15T00:00:00.000Z</x:v>
      </x:c>
      <x:c r="G471" s="45" t="str">
        <x:v>Corregidora</x:v>
      </x:c>
      <x:c r="H471" s="45" t="str">
        <x:v>Querétaro</x:v>
      </x:c>
      <x:c r="I471" s="52" t="n">
        <x:v>20.5699902</x:v>
      </x:c>
      <x:c r="J471" s="52" t="n">
        <x:v>-100.4086725</x:v>
      </x:c>
      <x:c r="K471" s="45" t="str">
        <x:v>Cafe</x:v>
      </x:c>
      <x:c r="L471" s="45" t="str">
        <x:v>Neighborhood</x:v>
      </x:c>
      <x:c r="M471" s="45" t="str">
        <x:v>C2</x:v>
      </x:c>
      <x:c r="N471" s="45" t="str">
        <x:v>Sí</x:v>
      </x:c>
      <x:c r="O471" s="45" t="str">
        <x:v>Mauricio Sour Romero</x:v>
      </x:c>
      <x:c r="P471" s="45" t="str">
        <x:v>Ops y Directorio Alsea · octubre 2026</x:v>
      </x:c>
      <x:c r="Q471" s="45" t="str">
        <x:v>Puntos proporcionados</x:v>
      </x:c>
      <x:c r="R471" s="45" t="str">
        <x:v>Abierta</x:v>
      </x:c>
      <x:c r="S471" s="45" t="str"/>
      <x:c r="T471" s="45" t="n">
        <x:f>IF(AND(E471="Abierta",N471="Sí",ISNUMBER(I471),ISNUMBER(J471),ABS(I471)&lt;=90,ABS(J471)&lt;=180),1,0)</x:f>
        <x:v>1</x:v>
      </x:c>
    </x:row>
    <x:row r="472" ht="23" customHeight="1">
      <x:c r="A472" s="45" t="str">
        <x:v>Bajío</x:v>
      </x:c>
      <x:c r="B472" s="45" t="str">
        <x:v>Mauricio Sour Romero</x:v>
      </x:c>
      <x:c r="C472" s="50" t="str">
        <x:v>38467</x:v>
      </x:c>
      <x:c r="D472" s="45" t="str">
        <x:v>Constituyentes Queretaro</x:v>
      </x:c>
      <x:c r="E472" s="45" t="str">
        <x:v>Abierta</x:v>
      </x:c>
      <x:c r="F472" s="51" t="d">
        <x:v>2012-10-11T00:00:00.000Z</x:v>
      </x:c>
      <x:c r="G472" s="45" t="str">
        <x:v>Querétaro</x:v>
      </x:c>
      <x:c r="H472" s="45" t="str">
        <x:v>Querétaro</x:v>
      </x:c>
      <x:c r="I472" s="52" t="n">
        <x:v>20.5840071</x:v>
      </x:c>
      <x:c r="J472" s="52" t="n">
        <x:v>-100.3932423</x:v>
      </x:c>
      <x:c r="K472" s="45" t="str">
        <x:v>Cafe</x:v>
      </x:c>
      <x:c r="L472" s="45" t="str">
        <x:v>Transfers</x:v>
      </x:c>
      <x:c r="M472" s="45" t="str">
        <x:v>C1</x:v>
      </x:c>
      <x:c r="N472" s="45" t="str">
        <x:v>Sí</x:v>
      </x:c>
      <x:c r="O472" s="45" t="str">
        <x:v>Mauricio Sour Romero</x:v>
      </x:c>
      <x:c r="P472" s="45" t="str">
        <x:v>Ops y Directorio Alsea · octubre 2026</x:v>
      </x:c>
      <x:c r="Q472" s="45" t="str">
        <x:v>Puntos proporcionados</x:v>
      </x:c>
      <x:c r="R472" s="45" t="str">
        <x:v>Abierta</x:v>
      </x:c>
      <x:c r="S472" s="45" t="str"/>
      <x:c r="T472" s="45" t="n">
        <x:f>IF(AND(E472="Abierta",N472="Sí",ISNUMBER(I472),ISNUMBER(J472),ABS(I472)&lt;=90,ABS(J472)&lt;=180),1,0)</x:f>
        <x:v>1</x:v>
      </x:c>
    </x:row>
    <x:row r="473" ht="23" customHeight="1">
      <x:c r="A473" s="45" t="str">
        <x:v>Bajío</x:v>
      </x:c>
      <x:c r="B473" s="45" t="str">
        <x:v>Mauricio Sour Romero</x:v>
      </x:c>
      <x:c r="C473" s="50" t="str">
        <x:v>38728</x:v>
      </x:c>
      <x:c r="D473" s="45" t="str">
        <x:v>Punto la Victoria</x:v>
      </x:c>
      <x:c r="E473" s="45" t="str">
        <x:v>Abierta</x:v>
      </x:c>
      <x:c r="F473" s="51" t="d">
        <x:v>2017-09-25T00:00:00.000Z</x:v>
      </x:c>
      <x:c r="G473" s="45" t="str">
        <x:v>Querétaro</x:v>
      </x:c>
      <x:c r="H473" s="45" t="str">
        <x:v>Querétaro</x:v>
      </x:c>
      <x:c r="I473" s="52" t="n">
        <x:v>20.585223</x:v>
      </x:c>
      <x:c r="J473" s="52" t="n">
        <x:v>-100.380347</x:v>
      </x:c>
      <x:c r="K473" s="45" t="str">
        <x:v>Cafe</x:v>
      </x:c>
      <x:c r="L473" s="45" t="str">
        <x:v>Retail</x:v>
      </x:c>
      <x:c r="M473" s="45" t="str">
        <x:v>C2</x:v>
      </x:c>
      <x:c r="N473" s="45" t="str">
        <x:v>Sí</x:v>
      </x:c>
      <x:c r="O473" s="45" t="str">
        <x:v>Mauricio Sour Romero</x:v>
      </x:c>
      <x:c r="P473" s="45" t="str">
        <x:v>Ops y Directorio Alsea · octubre 2026</x:v>
      </x:c>
      <x:c r="Q473" s="45" t="str">
        <x:v>Puntos proporcionados</x:v>
      </x:c>
      <x:c r="R473" s="45" t="str">
        <x:v>Abierta</x:v>
      </x:c>
      <x:c r="S473" s="45" t="str"/>
      <x:c r="T473" s="45" t="n">
        <x:f>IF(AND(E473="Abierta",N473="Sí",ISNUMBER(I473),ISNUMBER(J473),ABS(I473)&lt;=90,ABS(J473)&lt;=180),1,0)</x:f>
        <x:v>1</x:v>
      </x:c>
    </x:row>
    <x:row r="474" ht="23" customHeight="1">
      <x:c r="A474" s="45" t="str">
        <x:v>Bajío</x:v>
      </x:c>
      <x:c r="B474" s="45" t="str">
        <x:v>Mauricio Sour Romero</x:v>
      </x:c>
      <x:c r="C474" s="50" t="str">
        <x:v>38757</x:v>
      </x:c>
      <x:c r="D474" s="45" t="str">
        <x:v>Citadina Constituyentes</x:v>
      </x:c>
      <x:c r="E474" s="45" t="str">
        <x:v>Abierta</x:v>
      </x:c>
      <x:c r="F474" s="51" t="d">
        <x:v>2017-10-27T00:00:00.000Z</x:v>
      </x:c>
      <x:c r="G474" s="45" t="str">
        <x:v>Corregidora</x:v>
      </x:c>
      <x:c r="H474" s="45" t="str">
        <x:v>Querétaro</x:v>
      </x:c>
      <x:c r="I474" s="52" t="n">
        <x:v>20.5358982</x:v>
      </x:c>
      <x:c r="J474" s="52" t="n">
        <x:v>-100.4355745</x:v>
      </x:c>
      <x:c r="K474" s="45" t="str">
        <x:v>Drive_Thru</x:v>
      </x:c>
      <x:c r="L474" s="45" t="str">
        <x:v>Transfers</x:v>
      </x:c>
      <x:c r="M474" s="45" t="str">
        <x:v>C2</x:v>
      </x:c>
      <x:c r="N474" s="45" t="str">
        <x:v>Sí</x:v>
      </x:c>
      <x:c r="O474" s="45" t="str">
        <x:v>Mauricio Sour Romero</x:v>
      </x:c>
      <x:c r="P474" s="45" t="str">
        <x:v>Ops y Directorio Alsea · octubre 2026</x:v>
      </x:c>
      <x:c r="Q474" s="45" t="str">
        <x:v>Puntos proporcionados</x:v>
      </x:c>
      <x:c r="R474" s="45" t="str">
        <x:v>Abierta</x:v>
      </x:c>
      <x:c r="S474" s="45" t="str"/>
      <x:c r="T474" s="45" t="n">
        <x:f>IF(AND(E474="Abierta",N474="Sí",ISNUMBER(I474),ISNUMBER(J474),ABS(I474)&lt;=90,ABS(J474)&lt;=180),1,0)</x:f>
        <x:v>1</x:v>
      </x:c>
    </x:row>
    <x:row r="475" ht="23" customHeight="1">
      <x:c r="A475" s="45" t="str">
        <x:v>Bajío</x:v>
      </x:c>
      <x:c r="B475" s="45" t="str">
        <x:v>Mauricio Sour Romero</x:v>
      </x:c>
      <x:c r="C475" s="50" t="str">
        <x:v>38864</x:v>
      </x:c>
      <x:c r="D475" s="45" t="str">
        <x:v>Carretera Queretaro Celaya</x:v>
      </x:c>
      <x:c r="E475" s="45" t="str">
        <x:v>Abierta</x:v>
      </x:c>
      <x:c r="F475" s="51" t="d">
        <x:v>2019-04-30T00:00:00.000Z</x:v>
      </x:c>
      <x:c r="G475" s="45" t="str">
        <x:v>Corregidora</x:v>
      </x:c>
      <x:c r="H475" s="45" t="str">
        <x:v>Querétaro</x:v>
      </x:c>
      <x:c r="I475" s="52" t="n">
        <x:v>20.576082</x:v>
      </x:c>
      <x:c r="J475" s="52" t="n">
        <x:v>-100.444523</x:v>
      </x:c>
      <x:c r="K475" s="45" t="str">
        <x:v>Drive_Thru</x:v>
      </x:c>
      <x:c r="L475" s="45" t="str">
        <x:v>Transfers</x:v>
      </x:c>
      <x:c r="M475" s="45" t="str">
        <x:v>C3</x:v>
      </x:c>
      <x:c r="N475" s="45" t="str">
        <x:v>Sí</x:v>
      </x:c>
      <x:c r="O475" s="45" t="str">
        <x:v>Mauricio Sour Romero</x:v>
      </x:c>
      <x:c r="P475" s="45" t="str">
        <x:v>Ops y Directorio Alsea · octubre 2026</x:v>
      </x:c>
      <x:c r="Q475" s="45" t="str">
        <x:v>Puntos proporcionados</x:v>
      </x:c>
      <x:c r="R475" s="45" t="str">
        <x:v>Abierta</x:v>
      </x:c>
      <x:c r="S475" s="45" t="str"/>
      <x:c r="T475" s="45" t="n">
        <x:f>IF(AND(E475="Abierta",N475="Sí",ISNUMBER(I475),ISNUMBER(J475),ABS(I475)&lt;=90,ABS(J475)&lt;=180),1,0)</x:f>
        <x:v>1</x:v>
      </x:c>
    </x:row>
    <x:row r="476" ht="23" customHeight="1">
      <x:c r="A476" s="45" t="str">
        <x:v>Bajío</x:v>
      </x:c>
      <x:c r="B476" s="45" t="str">
        <x:v>Mauricio Sour Romero</x:v>
      </x:c>
      <x:c r="C476" s="50" t="str">
        <x:v>38871</x:v>
      </x:c>
      <x:c r="D476" s="45" t="str">
        <x:v>Estacion las Brujas II</x:v>
      </x:c>
      <x:c r="E476" s="45" t="str">
        <x:v>Abierta</x:v>
      </x:c>
      <x:c r="F476" s="51" t="d">
        <x:v>2019-07-29T00:00:00.000Z</x:v>
      </x:c>
      <x:c r="G476" s="45" t="str">
        <x:v>Celaya</x:v>
      </x:c>
      <x:c r="H476" s="45" t="str">
        <x:v>Guanajuato</x:v>
      </x:c>
      <x:c r="I476" s="52" t="n">
        <x:v>20.5319345</x:v>
      </x:c>
      <x:c r="J476" s="52" t="n">
        <x:v>-100.6511834</x:v>
      </x:c>
      <x:c r="K476" s="45" t="str">
        <x:v>Drive_Thru</x:v>
      </x:c>
      <x:c r="L476" s="45" t="str">
        <x:v>Transfers</x:v>
      </x:c>
      <x:c r="M476" s="45" t="str">
        <x:v>C3</x:v>
      </x:c>
      <x:c r="N476" s="45" t="str">
        <x:v>Sí</x:v>
      </x:c>
      <x:c r="O476" s="45" t="str">
        <x:v>Mauricio Sour Romero</x:v>
      </x:c>
      <x:c r="P476" s="45" t="str">
        <x:v>Ops y Directorio Alsea · octubre 2026</x:v>
      </x:c>
      <x:c r="Q476" s="45" t="str">
        <x:v>Puntos proporcionados</x:v>
      </x:c>
      <x:c r="R476" s="45" t="str">
        <x:v>Abierta</x:v>
      </x:c>
      <x:c r="S476" s="45" t="str"/>
      <x:c r="T476" s="45" t="n">
        <x:f>IF(AND(E476="Abierta",N476="Sí",ISNUMBER(I476),ISNUMBER(J476),ABS(I476)&lt;=90,ABS(J476)&lt;=180),1,0)</x:f>
        <x:v>1</x:v>
      </x:c>
    </x:row>
    <x:row r="477" ht="23" customHeight="1">
      <x:c r="A477" s="45" t="str">
        <x:v>Bajío</x:v>
      </x:c>
      <x:c r="B477" s="45" t="str">
        <x:v>Mauricio Sour Romero</x:v>
      </x:c>
      <x:c r="C477" s="50" t="str">
        <x:v>38886</x:v>
      </x:c>
      <x:c r="D477" s="45" t="str">
        <x:v>Estacion las Brujas I</x:v>
      </x:c>
      <x:c r="E477" s="45" t="str">
        <x:v>Abierta</x:v>
      </x:c>
      <x:c r="F477" s="51" t="d">
        <x:v>2020-06-15T00:00:00.000Z</x:v>
      </x:c>
      <x:c r="G477" s="45" t="str">
        <x:v>Celaya</x:v>
      </x:c>
      <x:c r="H477" s="45" t="str">
        <x:v>Guanajuato</x:v>
      </x:c>
      <x:c r="I477" s="52" t="n">
        <x:v>20.532574</x:v>
      </x:c>
      <x:c r="J477" s="52" t="n">
        <x:v>-100.647396</x:v>
      </x:c>
      <x:c r="K477" s="45" t="str">
        <x:v>Drive_Thru</x:v>
      </x:c>
      <x:c r="L477" s="45" t="str">
        <x:v>Transfers</x:v>
      </x:c>
      <x:c r="M477" s="45" t="str">
        <x:v>C3</x:v>
      </x:c>
      <x:c r="N477" s="45" t="str">
        <x:v>Sí</x:v>
      </x:c>
      <x:c r="O477" s="45" t="str">
        <x:v>Mauricio Sour Romero</x:v>
      </x:c>
      <x:c r="P477" s="45" t="str">
        <x:v>Ops y Directorio Alsea · octubre 2026</x:v>
      </x:c>
      <x:c r="Q477" s="45" t="str">
        <x:v>Puntos proporcionados</x:v>
      </x:c>
      <x:c r="R477" s="45" t="str">
        <x:v>Abierta</x:v>
      </x:c>
      <x:c r="S477" s="45" t="str"/>
      <x:c r="T477" s="45" t="n">
        <x:f>IF(AND(E477="Abierta",N477="Sí",ISNUMBER(I477),ISNUMBER(J477),ABS(I477)&lt;=90,ABS(J477)&lt;=180),1,0)</x:f>
        <x:v>1</x:v>
      </x:c>
    </x:row>
    <x:row r="478" ht="23" customHeight="1">
      <x:c r="A478" s="45" t="str">
        <x:v>Bajío</x:v>
      </x:c>
      <x:c r="B478" s="45" t="str">
        <x:v>Mauricio Sour Romero</x:v>
      </x:c>
      <x:c r="C478" s="50" t="str">
        <x:v>38916</x:v>
      </x:c>
      <x:c r="D478" s="45" t="str">
        <x:v>Chedraui Centro Sur</x:v>
      </x:c>
      <x:c r="E478" s="45" t="str">
        <x:v>Abierta</x:v>
      </x:c>
      <x:c r="F478" s="51" t="d">
        <x:v>2022-10-04T00:00:00.000Z</x:v>
      </x:c>
      <x:c r="G478" s="45" t="str">
        <x:v>Querétaro</x:v>
      </x:c>
      <x:c r="H478" s="45" t="str">
        <x:v>Querétaro</x:v>
      </x:c>
      <x:c r="I478" s="52" t="n">
        <x:v>20.570817</x:v>
      </x:c>
      <x:c r="J478" s="52" t="n">
        <x:v>-100.359825</x:v>
      </x:c>
      <x:c r="K478" s="45" t="str">
        <x:v>Cafe</x:v>
      </x:c>
      <x:c r="L478" s="45" t="str">
        <x:v>Retail</x:v>
      </x:c>
      <x:c r="M478" s="45" t="str">
        <x:v>C2</x:v>
      </x:c>
      <x:c r="N478" s="45" t="str">
        <x:v>Sí</x:v>
      </x:c>
      <x:c r="O478" s="45" t="str">
        <x:v>Mauricio Sour Romero</x:v>
      </x:c>
      <x:c r="P478" s="45" t="str">
        <x:v>Ops y Directorio Alsea · octubre 2026</x:v>
      </x:c>
      <x:c r="Q478" s="45" t="str">
        <x:v>Puntos proporcionados</x:v>
      </x:c>
      <x:c r="R478" s="45" t="str">
        <x:v>Abierta</x:v>
      </x:c>
      <x:c r="S478" s="45" t="str"/>
      <x:c r="T478" s="45" t="n">
        <x:f>IF(AND(E478="Abierta",N478="Sí",ISNUMBER(I478),ISNUMBER(J478),ABS(I478)&lt;=90,ABS(J478)&lt;=180),1,0)</x:f>
        <x:v>1</x:v>
      </x:c>
    </x:row>
    <x:row r="479" ht="23" customHeight="1">
      <x:c r="A479" s="45" t="str">
        <x:v>Bajío</x:v>
      </x:c>
      <x:c r="B479" s="45" t="str">
        <x:v>Mauricio Sour Romero</x:v>
      </x:c>
      <x:c r="C479" s="50" t="str">
        <x:v>38944</x:v>
      </x:c>
      <x:c r="D479" s="45" t="str">
        <x:v>Centro SurQro</x:v>
      </x:c>
      <x:c r="E479" s="45" t="str">
        <x:v>Abierta</x:v>
      </x:c>
      <x:c r="F479" s="51" t="d">
        <x:v>2023-08-25T00:00:00.000Z</x:v>
      </x:c>
      <x:c r="G479" s="45" t="str">
        <x:v>Querétaro</x:v>
      </x:c>
      <x:c r="H479" s="45" t="str">
        <x:v>Querétaro</x:v>
      </x:c>
      <x:c r="I479" s="52" t="n">
        <x:v>20.5632325</x:v>
      </x:c>
      <x:c r="J479" s="52" t="n">
        <x:v>-100.3561595</x:v>
      </x:c>
      <x:c r="K479" s="45" t="str">
        <x:v>Drive_Thru</x:v>
      </x:c>
      <x:c r="L479" s="45" t="str">
        <x:v>Transfers</x:v>
      </x:c>
      <x:c r="M479" s="45" t="str">
        <x:v>C2</x:v>
      </x:c>
      <x:c r="N479" s="45" t="str">
        <x:v>Sí</x:v>
      </x:c>
      <x:c r="O479" s="45" t="str">
        <x:v>Mauricio Sour Romero</x:v>
      </x:c>
      <x:c r="P479" s="45" t="str">
        <x:v>Ops y Directorio Alsea · octubre 2026</x:v>
      </x:c>
      <x:c r="Q479" s="45" t="str">
        <x:v>Puntos proporcionados</x:v>
      </x:c>
      <x:c r="R479" s="45" t="str">
        <x:v>Abierta</x:v>
      </x:c>
      <x:c r="S479" s="45" t="str"/>
      <x:c r="T479" s="45" t="n">
        <x:f>IF(AND(E479="Abierta",N479="Sí",ISNUMBER(I479),ISNUMBER(J479),ABS(I479)&lt;=90,ABS(J479)&lt;=180),1,0)</x:f>
        <x:v>1</x:v>
      </x:c>
    </x:row>
    <x:row r="480" ht="23" customHeight="1">
      <x:c r="A480" s="45" t="str">
        <x:v>Bajío</x:v>
      </x:c>
      <x:c r="B480" s="45" t="str">
        <x:v>Mauricio Sour Romero</x:v>
      </x:c>
      <x:c r="C480" s="50" t="str">
        <x:v>38976</x:v>
      </x:c>
      <x:c r="D480" s="45" t="str">
        <x:v>Hospital Angeles Centro Sur Qro</x:v>
      </x:c>
      <x:c r="E480" s="45" t="str">
        <x:v>Abierta</x:v>
      </x:c>
      <x:c r="F480" s="51" t="d">
        <x:v>2024-04-24T00:00:00.000Z</x:v>
      </x:c>
      <x:c r="G480" s="45" t="str">
        <x:v>Querétaro</x:v>
      </x:c>
      <x:c r="H480" s="45" t="str">
        <x:v>Querétaro</x:v>
      </x:c>
      <x:c r="I480" s="52" t="n">
        <x:v>20.563834</x:v>
      </x:c>
      <x:c r="J480" s="52" t="n">
        <x:v>-100.358792</x:v>
      </x:c>
      <x:c r="K480" s="45" t="str">
        <x:v>Cafe</x:v>
      </x:c>
      <x:c r="L480" s="45" t="str">
        <x:v>Institution</x:v>
      </x:c>
      <x:c r="M480" s="45" t="str">
        <x:v>C3</x:v>
      </x:c>
      <x:c r="N480" s="45" t="str">
        <x:v>Sí</x:v>
      </x:c>
      <x:c r="O480" s="45" t="str">
        <x:v>Mauricio Sour Romero</x:v>
      </x:c>
      <x:c r="P480" s="45" t="str">
        <x:v>Ops y Directorio Alsea · octubre 2026</x:v>
      </x:c>
      <x:c r="Q480" s="45" t="str">
        <x:v>Puntos proporcionados</x:v>
      </x:c>
      <x:c r="R480" s="45" t="str">
        <x:v>Abierta</x:v>
      </x:c>
      <x:c r="S480" s="45" t="str"/>
      <x:c r="T480" s="45" t="n">
        <x:f>IF(AND(E480="Abierta",N480="Sí",ISNUMBER(I480),ISNUMBER(J480),ABS(I480)&lt;=90,ABS(J480)&lt;=180),1,0)</x:f>
        <x:v>1</x:v>
      </x:c>
    </x:row>
    <x:row r="481" ht="23" customHeight="1">
      <x:c r="A481" s="45" t="str">
        <x:v>Bajío</x:v>
      </x:c>
      <x:c r="B481" s="45" t="str">
        <x:v>Mauricio Sour Romero</x:v>
      </x:c>
      <x:c r="C481" s="50" t="str">
        <x:v>43033</x:v>
      </x:c>
      <x:c r="D481" s="45" t="str">
        <x:v>Plaza Constituyentes</x:v>
      </x:c>
      <x:c r="E481" s="45" t="str">
        <x:v>Abierta</x:v>
      </x:c>
      <x:c r="F481" s="51" t="d">
        <x:v>2024-07-12T00:00:00.000Z</x:v>
      </x:c>
      <x:c r="G481" s="45" t="str">
        <x:v>Querétaro</x:v>
      </x:c>
      <x:c r="H481" s="45" t="str">
        <x:v>Querétaro</x:v>
      </x:c>
      <x:c r="I481" s="52" t="n">
        <x:v>20.550279</x:v>
      </x:c>
      <x:c r="J481" s="52" t="n">
        <x:v>-100.423154</x:v>
      </x:c>
      <x:c r="K481" s="45" t="str">
        <x:v>Cafe</x:v>
      </x:c>
      <x:c r="L481" s="45" t="str">
        <x:v>Retail</x:v>
      </x:c>
      <x:c r="M481" s="45" t="str">
        <x:v>C1</x:v>
      </x:c>
      <x:c r="N481" s="45" t="str">
        <x:v>Sí</x:v>
      </x:c>
      <x:c r="O481" s="45" t="str">
        <x:v>Mauricio Sour Romero</x:v>
      </x:c>
      <x:c r="P481" s="45" t="str">
        <x:v>Ops y Directorio Alsea · octubre 2026</x:v>
      </x:c>
      <x:c r="Q481" s="45" t="str">
        <x:v>Puntos proporcionados</x:v>
      </x:c>
      <x:c r="R481" s="45" t="str">
        <x:v>Abierta</x:v>
      </x:c>
      <x:c r="S481" s="45" t="str"/>
      <x:c r="T481" s="45" t="n">
        <x:f>IF(AND(E481="Abierta",N481="Sí",ISNUMBER(I481),ISNUMBER(J481),ABS(I481)&lt;=90,ABS(J481)&lt;=180),1,0)</x:f>
        <x:v>1</x:v>
      </x:c>
    </x:row>
    <x:row r="482" ht="23" customHeight="1">
      <x:c r="A482" s="45" t="str">
        <x:v>Bajío</x:v>
      </x:c>
      <x:c r="B482" s="45" t="str">
        <x:v>Mauricio Sour Romero</x:v>
      </x:c>
      <x:c r="C482" s="50" t="str">
        <x:v>43180</x:v>
      </x:c>
      <x:c r="D482" s="45" t="str">
        <x:v>Prolongación Zaragoza DT</x:v>
      </x:c>
      <x:c r="E482" s="45" t="str">
        <x:v>Abierta</x:v>
      </x:c>
      <x:c r="F482" s="51" t="d">
        <x:v>2026-03-08T00:00:00.000Z</x:v>
      </x:c>
      <x:c r="G482" s="45" t="str">
        <x:v>Querétaro</x:v>
      </x:c>
      <x:c r="H482" s="45" t="str">
        <x:v>Querétaro</x:v>
      </x:c>
      <x:c r="I482" s="52" t="n">
        <x:v>20.579456</x:v>
      </x:c>
      <x:c r="J482" s="52" t="n">
        <x:v>-100.413891</x:v>
      </x:c>
      <x:c r="K482" s="45" t="str">
        <x:v>Drive_Thru</x:v>
      </x:c>
      <x:c r="L482" s="45" t="str">
        <x:v>Transfers</x:v>
      </x:c>
      <x:c r="M482" s="45" t="str">
        <x:v>C2</x:v>
      </x:c>
      <x:c r="N482" s="45" t="str">
        <x:v>Sí</x:v>
      </x:c>
      <x:c r="O482" s="45" t="str">
        <x:v>Mauricio Sour Romero</x:v>
      </x:c>
      <x:c r="P482" s="45" t="str">
        <x:v>Ops y Directorio Alsea · octubre 2026</x:v>
      </x:c>
      <x:c r="Q482" s="45" t="str">
        <x:v>Puntos proporcionados</x:v>
      </x:c>
      <x:c r="R482" s="45" t="str">
        <x:v>Abierta</x:v>
      </x:c>
      <x:c r="S482" s="45" t="str"/>
      <x:c r="T482" s="45" t="n">
        <x:f>IF(AND(E482="Abierta",N482="Sí",ISNUMBER(I482),ISNUMBER(J482),ABS(I482)&lt;=90,ABS(J482)&lt;=180),1,0)</x:f>
        <x:v>1</x:v>
      </x:c>
    </x:row>
    <x:row r="483" ht="23" customHeight="1">
      <x:c r="A483" s="45" t="str">
        <x:v>Bajío</x:v>
      </x:c>
      <x:c r="B483" s="45" t="str">
        <x:v>Mauricio Sour Romero</x:v>
      </x:c>
      <x:c r="C483" s="50" t="str">
        <x:v>43199</x:v>
      </x:c>
      <x:c r="D483" s="45" t="str">
        <x:v>El Condado Qro</x:v>
      </x:c>
      <x:c r="E483" s="45" t="str">
        <x:v>Abierta</x:v>
      </x:c>
      <x:c r="F483" s="51" t="d">
        <x:v>2026-09-20T00:00:00.000Z</x:v>
      </x:c>
      <x:c r="G483" s="45" t="str">
        <x:v>El pueblito Qro</x:v>
      </x:c>
      <x:c r="H483" s="45" t="str">
        <x:v>Querétaro</x:v>
      </x:c>
      <x:c r="I483" s="52" t="n">
        <x:v>20.507651</x:v>
      </x:c>
      <x:c r="J483" s="52" t="n">
        <x:v>-100.40367</x:v>
      </x:c>
      <x:c r="K483" s="45" t="str">
        <x:v>Drive Thue</x:v>
      </x:c>
      <x:c r="L483" s="45" t="str">
        <x:v>Transfers</x:v>
      </x:c>
      <x:c r="M483" s="45" t="str">
        <x:v>C2</x:v>
      </x:c>
      <x:c r="N483" s="45" t="str">
        <x:v>Sí</x:v>
      </x:c>
      <x:c r="O483" s="45" t="str">
        <x:v>Mauricio Sour Romero</x:v>
      </x:c>
      <x:c r="P483" s="45" t="str">
        <x:v>Ops y Directorio Alsea · octubre 2026</x:v>
      </x:c>
      <x:c r="Q483" s="45" t="str">
        <x:v>Directorio Alsea octubre 2026</x:v>
      </x:c>
      <x:c r="R483" s="45" t="str">
        <x:v>Abierta</x:v>
      </x:c>
      <x:c r="S483" s="45" t="str"/>
      <x:c r="T483" s="45" t="n">
        <x:f>IF(AND(E483="Abierta",N483="Sí",ISNUMBER(I483),ISNUMBER(J483),ABS(I483)&lt;=90,ABS(J483)&lt;=180),1,0)</x:f>
        <x:v>1</x:v>
      </x:c>
    </x:row>
    <x:row r="484">
      <x:c r="A484"/>
      <x:c r="B484"/>
      <x:c r="C484"/>
      <x:c r="D484"/>
      <x:c r="E484"/>
      <x:c r="F484"/>
      <x:c r="G484"/>
      <x:c r="H484"/>
      <x:c r="I484"/>
      <x:c r="J484"/>
      <x:c r="K484"/>
      <x:c r="L484"/>
    </x:row>
    <x:row r="485">
      <x:c r="A485"/>
      <x:c r="B485"/>
      <x:c r="C485"/>
      <x:c r="D485"/>
      <x:c r="E485"/>
      <x:c r="F485"/>
      <x:c r="G485"/>
      <x:c r="H485"/>
      <x:c r="I485"/>
      <x:c r="J485"/>
      <x:c r="K485"/>
      <x:c r="L485"/>
    </x:row>
    <x:row r="486">
      <x:c r="A486"/>
      <x:c r="B486"/>
      <x:c r="C486"/>
      <x:c r="D486"/>
      <x:c r="E486"/>
      <x:c r="F486"/>
      <x:c r="G486"/>
      <x:c r="H486"/>
      <x:c r="I486"/>
      <x:c r="J486"/>
      <x:c r="K486"/>
      <x:c r="L486"/>
    </x:row>
    <x:row r="487">
      <x:c r="A487"/>
      <x:c r="B487"/>
      <x:c r="C487"/>
      <x:c r="D487"/>
      <x:c r="E487"/>
      <x:c r="F487"/>
      <x:c r="G487"/>
      <x:c r="H487"/>
      <x:c r="I487"/>
      <x:c r="J487"/>
      <x:c r="K487"/>
      <x:c r="L487"/>
    </x:row>
    <x:row r="488">
      <x:c r="A488"/>
      <x:c r="B488"/>
      <x:c r="C488"/>
      <x:c r="D488"/>
      <x:c r="E488"/>
      <x:c r="F488"/>
      <x:c r="G488"/>
      <x:c r="H488"/>
      <x:c r="I488"/>
      <x:c r="J488"/>
      <x:c r="K488"/>
      <x:c r="L488"/>
    </x:row>
    <x:row r="489">
      <x:c r="A489"/>
      <x:c r="B489"/>
      <x:c r="C489"/>
      <x:c r="D489"/>
      <x:c r="E489"/>
      <x:c r="F489"/>
      <x:c r="G489"/>
      <x:c r="H489"/>
      <x:c r="I489"/>
      <x:c r="J489"/>
      <x:c r="K489"/>
      <x:c r="L489"/>
    </x:row>
    <x:row r="490">
      <x:c r="A490"/>
      <x:c r="B490"/>
      <x:c r="C490"/>
      <x:c r="D490"/>
      <x:c r="E490"/>
      <x:c r="F490"/>
      <x:c r="G490"/>
      <x:c r="H490"/>
      <x:c r="I490"/>
      <x:c r="J490"/>
      <x:c r="K490"/>
      <x:c r="L490"/>
    </x:row>
    <x:row r="491">
      <x:c r="A491"/>
      <x:c r="B491"/>
      <x:c r="C491"/>
      <x:c r="D491"/>
      <x:c r="E491"/>
      <x:c r="F491"/>
      <x:c r="G491"/>
      <x:c r="H491"/>
      <x:c r="I491"/>
      <x:c r="J491"/>
      <x:c r="K491"/>
      <x:c r="L491"/>
    </x:row>
    <x:row r="492">
      <x:c r="A492"/>
      <x:c r="B492"/>
      <x:c r="C492"/>
      <x:c r="D492"/>
      <x:c r="E492"/>
      <x:c r="F492"/>
      <x:c r="G492"/>
      <x:c r="H492"/>
      <x:c r="I492"/>
      <x:c r="J492"/>
      <x:c r="K492"/>
      <x:c r="L492"/>
    </x:row>
    <x:row r="493">
      <x:c r="A493"/>
      <x:c r="B493"/>
      <x:c r="C493"/>
      <x:c r="D493"/>
      <x:c r="E493"/>
      <x:c r="F493"/>
      <x:c r="G493"/>
      <x:c r="H493"/>
      <x:c r="I493"/>
      <x:c r="J493"/>
      <x:c r="K493"/>
      <x:c r="L493"/>
    </x:row>
    <x:row r="494">
      <x:c r="A494"/>
      <x:c r="B494"/>
      <x:c r="C494"/>
      <x:c r="D494"/>
      <x:c r="E494"/>
      <x:c r="F494"/>
      <x:c r="G494"/>
      <x:c r="H494"/>
      <x:c r="I494"/>
      <x:c r="J494"/>
      <x:c r="K494"/>
      <x:c r="L494"/>
    </x:row>
    <x:row r="495">
      <x:c r="A495"/>
      <x:c r="B495"/>
      <x:c r="C495"/>
      <x:c r="D495"/>
      <x:c r="E495"/>
      <x:c r="F495"/>
      <x:c r="G495"/>
      <x:c r="H495"/>
      <x:c r="I495"/>
      <x:c r="J495"/>
      <x:c r="K495"/>
      <x:c r="L495"/>
    </x:row>
    <x:row r="496">
      <x:c r="A496"/>
      <x:c r="B496"/>
      <x:c r="C496"/>
      <x:c r="D496"/>
      <x:c r="E496"/>
      <x:c r="F496"/>
      <x:c r="G496"/>
      <x:c r="H496"/>
      <x:c r="I496"/>
      <x:c r="J496"/>
      <x:c r="K496"/>
      <x:c r="L496"/>
    </x:row>
    <x:row r="497">
      <x:c r="A497"/>
      <x:c r="B497"/>
      <x:c r="C497"/>
      <x:c r="D497"/>
      <x:c r="E497"/>
      <x:c r="F497"/>
      <x:c r="G497"/>
      <x:c r="H497"/>
      <x:c r="I497"/>
      <x:c r="J497"/>
      <x:c r="K497"/>
      <x:c r="L497"/>
    </x:row>
    <x:row r="498">
      <x:c r="A498"/>
      <x:c r="B498"/>
      <x:c r="C498"/>
      <x:c r="D498"/>
      <x:c r="E498"/>
      <x:c r="F498"/>
      <x:c r="G498"/>
      <x:c r="H498"/>
      <x:c r="I498"/>
      <x:c r="J498"/>
      <x:c r="K498"/>
      <x:c r="L498"/>
    </x:row>
    <x:row r="499">
      <x:c r="A499"/>
      <x:c r="B499"/>
      <x:c r="C499"/>
      <x:c r="D499"/>
      <x:c r="E499"/>
      <x:c r="F499"/>
      <x:c r="G499"/>
      <x:c r="H499"/>
      <x:c r="I499"/>
      <x:c r="J499"/>
      <x:c r="K499"/>
      <x:c r="L499"/>
    </x:row>
    <x:row r="500">
      <x:c r="A500"/>
      <x:c r="B500"/>
      <x:c r="C500"/>
      <x:c r="D500"/>
      <x:c r="E500"/>
      <x:c r="F500"/>
      <x:c r="G500"/>
      <x:c r="H500"/>
      <x:c r="I500"/>
      <x:c r="J500"/>
      <x:c r="K500"/>
      <x:c r="L500"/>
    </x:row>
    <x:row r="501">
      <x:c r="A501"/>
      <x:c r="B501"/>
      <x:c r="C501"/>
      <x:c r="D501"/>
      <x:c r="E501"/>
      <x:c r="F501"/>
      <x:c r="G501"/>
      <x:c r="H501"/>
      <x:c r="I501"/>
      <x:c r="J501"/>
      <x:c r="K501"/>
      <x:c r="L501"/>
    </x:row>
  </x:sheetData>
  <x:conditionalFormatting sqref="A2:A483">
    <x:cfRule type="expression" dxfId="30" priority="1">
      <x:formula>$A2="Centro Norte"</x:formula>
    </x:cfRule>
    <x:cfRule type="expression" dxfId="31" priority="2">
      <x:formula>$A2="Centro Sur"</x:formula>
    </x:cfRule>
    <x:cfRule type="expression" dxfId="32" priority="3">
      <x:formula>$A2="Centro Poniente"</x:formula>
    </x:cfRule>
    <x:cfRule type="expression" dxfId="33" priority="4">
      <x:formula>$A2="Centro Centro"</x:formula>
    </x:cfRule>
    <x:cfRule type="expression" dxfId="34" priority="5">
      <x:formula>$A2="Bajío"</x:formula>
    </x:cfRule>
  </x:conditionalFormatting>
  <x:dataValidations count="6">
    <x:dataValidation type="list" sqref="A2:A483">
      <x:formula1>'Catalogos'!$F$2:$F$6</x:formula1>
    </x:dataValidation>
    <x:dataValidation type="list" sqref="B2:B483">
      <x:formula1>OFFSET('Catalogos'!$B$2,MATCH($A2,'Catalogos'!$A$2:$A$41,0)-1,0,COUNTIFS('Catalogos'!$A$2:$A$41,$A2),1)</x:formula1>
    </x:dataValidation>
    <x:dataValidation type="list" sqref="E2:E483">
      <x:formula1>"Abierta,Próxima Apertura,Cierre Temporal,Cierre Definitivo,Por validar"</x:formula1>
    </x:dataValidation>
    <x:dataValidation type="list" sqref="N2:N483">
      <x:formula1>"Sí,No"</x:formula1>
    </x:dataValidation>
    <x:dataValidation type="decimal" operator="between" sqref="I2:I483">
      <x:formula1>-90</x:formula1>
      <x:formula2>90</x:formula2>
    </x:dataValidation>
    <x:dataValidation type="decimal" operator="between" sqref="J2:J483">
      <x:formula1>-180</x:formula1>
      <x:formula2>180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89ba108a30e94f7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1" width="8.1640625" customWidth="1"/>
    <x:col min="2" max="2" width="9.75" customWidth="1"/>
    <x:col min="3" max="3" width="8.6640625" customWidth="1"/>
    <x:col min="4" max="4" width="5.6640625" customWidth="1"/>
    <x:col min="5" max="5" width="7.25" customWidth="1"/>
    <x:col min="6" max="6" width="9.08203125" customWidth="1"/>
    <x:col min="7" max="7" width="8.5" customWidth="1"/>
    <x:col min="8" max="8" width="13" customWidth="1"/>
    <x:col min="9" max="9" width="7.9140625" customWidth="1"/>
    <x:col min="10" max="10" width="5.83203125" customWidth="1"/>
    <x:col min="11" max="11" width="4.58203125" customWidth="1"/>
    <x:col min="12" max="12" width="8.83203125" customWidth="1"/>
    <x:col min="13" max="13" width="6.6640625" customWidth="1"/>
    <x:col min="14" max="15" width="5.9140625" customWidth="1"/>
    <x:col min="16" max="16" width="8.6640625" customWidth="1"/>
    <x:col min="17" max="17" width="8.9140625" customWidth="1"/>
    <x:col min="18" max="18" width="10.4140625" customWidth="1"/>
    <x:col min="19" max="19" width="8.08203125" customWidth="1"/>
    <x:col min="20" max="20" width="7.75" customWidth="1"/>
  </x:cols>
  <x:sheetData>
    <x:row r="1" ht="42" customHeight="1">
      <x:c r="A1" s="3" t="s">
        <x:v>0</x:v>
      </x:c>
      <x:c r="B1" s="3" t="s">
        <x:v>1</x:v>
      </x:c>
      <x:c r="C1" s="3" t="s">
        <x:v>2</x:v>
      </x:c>
      <x:c r="D1" s="3" t="s">
        <x:v>3</x:v>
      </x:c>
      <x:c r="E1" s="3" t="s">
        <x:v>4</x:v>
      </x:c>
      <x:c r="F1" s="3" t="s">
        <x:v>5</x:v>
      </x:c>
      <x:c r="G1" s="3" t="s">
        <x:v>6</x:v>
      </x:c>
      <x:c r="H1" s="3" t="s">
        <x:v>7</x:v>
      </x:c>
      <x:c r="I1" s="3" t="s">
        <x:v>8</x:v>
      </x:c>
      <x:c r="J1" s="3" t="s">
        <x:v>9</x:v>
      </x:c>
      <x:c r="K1" s="3" t="s">
        <x:v>10</x:v>
      </x:c>
      <x:c r="L1" s="3" t="s">
        <x:v>11</x:v>
      </x:c>
      <x:c r="M1" s="3" t="s">
        <x:v>12</x:v>
      </x:c>
      <x:c r="N1" s="3" t="s">
        <x:v>13</x:v>
      </x:c>
      <x:c r="O1" s="3" t="s">
        <x:v>14</x:v>
      </x:c>
      <x:c r="P1" s="3" t="s">
        <x:v>15</x:v>
      </x:c>
      <x:c r="Q1" s="3" t="s">
        <x:v>16</x:v>
      </x:c>
      <x:c r="R1" s="3" t="s">
        <x:v>17</x:v>
      </x:c>
      <x:c r="S1" s="3" t="s">
        <x:v>18</x:v>
      </x:c>
      <x:c r="T1" s="3" t="s">
        <x:v>19</x:v>
      </x:c>
    </x:row>
    <x:row r="2">
      <x:c r="A2">
        <x:v>38115</x:v>
      </x:c>
      <x:c r="B2" s="21">
        <x:v>46142.75</x:v>
      </x:c>
      <x:c r="C2" s="18">
        <x:v>0.70099999999999996</x:v>
      </x:c>
      <x:c r="D2" s="20">
        <x:v>5.6</x:v>
      </x:c>
      <x:c r="E2" s="20">
        <x:v>12.7</x:v>
      </x:c>
      <x:c r="F2" s="18">
        <x:v>0.20499999999999999</x:v>
      </x:c>
      <x:c r="G2" s="18">
        <x:v>3.2000000000000001E-2</x:v>
      </x:c>
      <x:c r="H2" s="19">
        <x:v>3700000</x:v>
      </x:c>
      <x:c r="I2" s="18">
        <x:v>-0.124</x:v>
      </x:c>
      <x:c r="J2" s="20">
        <x:v>-25.7</x:v>
      </x:c>
      <x:c r="K2" s="20">
        <x:v>61.4</x:v>
      </x:c>
      <x:c r="L2" s="18">
        <x:v>0.53799999999999992</x:v>
      </x:c>
      <x:c r="M2" s="18">
        <x:v>0.59</x:v>
      </x:c>
      <x:c r="N2" s="18">
        <x:v>0.11900000000000001</x:v>
      </x:c>
      <x:c r="O2" s="18">
        <x:v>0.39600000000000002</x:v>
      </x:c>
      <x:c r="P2" s="18">
        <x:v>1.9E-2</x:v>
      </x:c>
      <x:c r="Q2" s="18">
        <x:v>0.121</x:v>
      </x:c>
      <x:c r="R2" s="18">
        <x:v>-4.2999999999999997E-2</x:v>
      </x:c>
    </x:row>
    <x:row r="3">
      <x:c r="A3">
        <x:v>38117</x:v>
      </x:c>
      <x:c r="B3" s="21">
        <x:v>46142.75</x:v>
      </x:c>
      <x:c r="C3" s="18">
        <x:v>0.39899999999999997</x:v>
      </x:c>
      <x:c r="D3" s="20">
        <x:v>4.5999999999999996</x:v>
      </x:c>
      <x:c r="E3" s="20">
        <x:v>10.6</x:v>
      </x:c>
      <x:c r="F3" s="18">
        <x:v>0.29699999999999999</x:v>
      </x:c>
      <x:c r="G3" s="18">
        <x:v>0.11199999999999999</x:v>
      </x:c>
      <x:c r="H3" s="19">
        <x:v>3300000</x:v>
      </x:c>
      <x:c r="I3" s="18">
        <x:v>-0.255</x:v>
      </x:c>
      <x:c r="J3" s="20">
        <x:v>-41.1</x:v>
      </x:c>
      <x:c r="K3" s="20">
        <x:v>71.400000000000006</x:v>
      </x:c>
      <x:c r="L3" s="18">
        <x:v>0.60699999999999998</x:v>
      </x:c>
      <x:c r="M3" s="18">
        <x:v>0.66</x:v>
      </x:c>
      <x:c r="N3" s="18">
        <x:v>8.8000000000000009E-2</x:v>
      </x:c>
      <x:c r="O3" s="18">
        <x:v>0.41899999999999998</x:v>
      </x:c>
      <x:c r="P3" s="18">
        <x:v>0.03</x:v>
      </x:c>
      <x:c r="Q3" s="18">
        <x:v>-0.16300000000000001</x:v>
      </x:c>
      <x:c r="R3" s="18">
        <x:v>-0.16</x:v>
      </x:c>
    </x:row>
    <x:row r="4">
      <x:c r="A4">
        <x:v>38119</x:v>
      </x:c>
      <x:c r="B4" s="21">
        <x:v>46142.75</x:v>
      </x:c>
      <x:c r="C4" s="18">
        <x:v>0.42899999999999999</x:v>
      </x:c>
      <x:c r="D4" s="20">
        <x:v>6.6</x:v>
      </x:c>
      <x:c r="E4" s="20">
        <x:v>15.3</x:v>
      </x:c>
      <x:c r="F4" s="18">
        <x:v>0.156</x:v>
      </x:c>
      <x:c r="G4" s="18">
        <x:v>6.0000000000000001E-3</x:v>
      </x:c>
      <x:c r="H4" s="19">
        <x:v>6000000</x:v>
      </x:c>
      <x:c r="I4" s="18">
        <x:v>-4.2999999999999997E-2</x:v>
      </x:c>
      <x:c r="J4" s="20">
        <x:v>-15.3</x:v>
      </x:c>
      <x:c r="K4" s="20">
        <x:v>61.5</x:v>
      </x:c>
      <x:c r="L4" s="18">
        <x:v>0.48599999999999999</x:v>
      </x:c>
      <x:c r="M4" s="18">
        <x:v>0.59</x:v>
      </x:c>
      <x:c r="N4" s="18">
        <x:v>0.128</x:v>
      </x:c>
      <x:c r="O4" s="18">
        <x:v>0.35600000000000004</x:v>
      </x:c>
      <x:c r="P4" s="18">
        <x:v>-2.4E-2</x:v>
      </x:c>
      <x:c r="Q4" s="18">
        <x:v>0.22800000000000001</x:v>
      </x:c>
      <x:c r="R4" s="18">
        <x:v>2.1000000000000001E-2</x:v>
      </x:c>
    </x:row>
    <x:row r="5">
      <x:c r="A5">
        <x:v>38136</x:v>
      </x:c>
      <x:c r="B5" s="21">
        <x:v>46142.75</x:v>
      </x:c>
      <x:c r="C5" s="18">
        <x:v>0.42799999999999999</x:v>
      </x:c>
      <x:c r="D5" s="20">
        <x:v>5.3</x:v>
      </x:c>
      <x:c r="E5" s="20">
        <x:v>14.9</x:v>
      </x:c>
      <x:c r="F5" s="18">
        <x:v>0.16</x:v>
      </x:c>
      <x:c r="G5" s="18">
        <x:v>-2.1000000000000001E-2</x:v>
      </x:c>
      <x:c r="H5" s="19">
        <x:v>5500000</x:v>
      </x:c>
      <x:c r="I5" s="18">
        <x:v>1.6E-2</x:v>
      </x:c>
      <x:c r="J5" s="20">
        <x:v>-12.5</x:v>
      </x:c>
      <x:c r="K5" s="20">
        <x:v>74.5</x:v>
      </x:c>
      <x:c r="L5" s="18">
        <x:v>0.51400000000000001</x:v>
      </x:c>
      <x:c r="M5" s="18">
        <x:v>0.63</x:v>
      </x:c>
      <x:c r="N5" s="18">
        <x:v>9.8000000000000004E-2</x:v>
      </x:c>
      <x:c r="O5" s="18">
        <x:v>0.35499999999999998</x:v>
      </x:c>
      <x:c r="P5" s="18">
        <x:v>-1.3999999999999999E-2</x:v>
      </x:c>
      <x:c r="Q5" s="18">
        <x:v>0.184</x:v>
      </x:c>
      <x:c r="R5" s="18">
        <x:v>0.16800000000000001</x:v>
      </x:c>
    </x:row>
    <x:row r="6">
      <x:c r="A6">
        <x:v>38142</x:v>
      </x:c>
      <x:c r="B6" s="21">
        <x:v>46142.75</x:v>
      </x:c>
      <x:c r="C6" s="18">
        <x:v>0.10300000000000001</x:v>
      </x:c>
      <x:c r="D6" s="20">
        <x:v>5.5</x:v>
      </x:c>
      <x:c r="E6" s="20">
        <x:v>13.1</x:v>
      </x:c>
      <x:c r="F6" s="18">
        <x:v>0.17600000000000002</x:v>
      </x:c>
      <x:c r="G6" s="18">
        <x:v>1.1000000000000001E-2</x:v>
      </x:c>
      <x:c r="H6" s="19">
        <x:v>5200000</x:v>
      </x:c>
      <x:c r="I6" s="18">
        <x:v>-0.10800000000000001</x:v>
      </x:c>
      <x:c r="J6" s="20">
        <x:v>-18.399999999999999</x:v>
      </x:c>
      <x:c r="K6" s="20">
        <x:v>67.3</x:v>
      </x:c>
      <x:c r="L6" s="18">
        <x:v>0.495</x:v>
      </x:c>
      <x:c r="M6" s="18">
        <x:v>0.56999999999999995</x:v>
      </x:c>
      <x:c r="N6" s="18">
        <x:v>0.13600000000000001</x:v>
      </x:c>
      <x:c r="O6" s="18">
        <x:v>0.35600000000000004</x:v>
      </x:c>
      <x:c r="P6" s="18">
        <x:v>-0.01</x:v>
      </x:c>
      <x:c r="Q6" s="18">
        <x:v>0.20300000000000001</x:v>
      </x:c>
      <x:c r="R6" s="18">
        <x:v>-8.0000000000000002E-3</x:v>
      </x:c>
    </x:row>
    <x:row r="7">
      <x:c r="A7">
        <x:v>38149</x:v>
      </x:c>
      <x:c r="B7" s="21">
        <x:v>46142.75</x:v>
      </x:c>
      <x:c r="C7" s="18">
        <x:v>6.0999999999999999E-2</x:v>
      </x:c>
      <x:c r="D7" s="20">
        <x:v>5.9</x:v>
      </x:c>
      <x:c r="E7" s="20">
        <x:v>14.6</x:v>
      </x:c>
      <x:c r="F7" s="18">
        <x:v>0.17100000000000001</x:v>
      </x:c>
      <x:c r="G7" s="18">
        <x:v>5.0000000000000001E-3</x:v>
      </x:c>
      <x:c r="H7" s="19">
        <x:v>5400000</x:v>
      </x:c>
      <x:c r="I7" s="18">
        <x:v>-6.8000000000000005E-2</x:v>
      </x:c>
      <x:c r="J7" s="20">
        <x:v>-9.6</x:v>
      </x:c>
      <x:c r="K7" s="20">
        <x:v>71.3</x:v>
      </x:c>
      <x:c r="L7" s="18">
        <x:v>0.58799999999999997</x:v>
      </x:c>
      <x:c r="M7" s="18">
        <x:v>0.61</x:v>
      </x:c>
      <x:c r="N7" s="18">
        <x:v>0.12</x:v>
      </x:c>
      <x:c r="O7" s="18">
        <x:v>0.35299999999999998</x:v>
      </x:c>
      <x:c r="P7" s="18">
        <x:v>-1.7000000000000001E-2</x:v>
      </x:c>
      <x:c r="Q7" s="18">
        <x:v>0.20100000000000001</x:v>
      </x:c>
      <x:c r="R7" s="18">
        <x:v>2.7999999999999997E-2</x:v>
      </x:c>
    </x:row>
    <x:row r="8">
      <x:c r="A8">
        <x:v>38176</x:v>
      </x:c>
      <x:c r="B8" s="21">
        <x:v>46142.75</x:v>
      </x:c>
      <x:c r="C8" s="18">
        <x:v>0.43200000000000005</x:v>
      </x:c>
      <x:c r="D8" s="20">
        <x:v>4.3</x:v>
      </x:c>
      <x:c r="E8" s="20">
        <x:v>10.8</x:v>
      </x:c>
      <x:c r="F8" s="18">
        <x:v>0.23800000000000002</x:v>
      </x:c>
      <x:c r="G8" s="18">
        <x:v>9.1999999999999998E-2</x:v>
      </x:c>
      <x:c r="H8" s="19">
        <x:v>4700000</x:v>
      </x:c>
      <x:c r="I8" s="18">
        <x:v>-0.54200000000000004</x:v>
      </x:c>
      <x:c r="J8" s="20">
        <x:v>-270.7</x:v>
      </x:c>
      <x:c r="K8" s="20">
        <x:v>63</x:v>
      </x:c>
      <x:c r="L8" s="18">
        <x:v>0.52</x:v>
      </x:c>
      <x:c r="M8" s="18">
        <x:v>0.62</x:v>
      </x:c>
      <x:c r="N8" s="18">
        <x:v>0.18</x:v>
      </x:c>
      <x:c r="O8" s="18">
        <x:v>0.371</x:v>
      </x:c>
      <x:c r="P8" s="18">
        <x:v>1.9E-2</x:v>
      </x:c>
      <x:c r="Q8" s="18">
        <x:v>6.9999999999999993E-3</x:v>
      </x:c>
      <x:c r="R8" s="18">
        <x:v>-0.27300000000000002</x:v>
      </x:c>
      <x:c r="S8" t="s">
        <x:v>20</x:v>
      </x:c>
      <x:c r="T8" t="s">
        <x:v>21</x:v>
      </x:c>
    </x:row>
    <x:row r="9">
      <x:c r="A9">
        <x:v>38186</x:v>
      </x:c>
      <x:c r="B9" s="21">
        <x:v>46142.75</x:v>
      </x:c>
      <x:c r="C9" s="18">
        <x:v>0.66299999999999992</x:v>
      </x:c>
      <x:c r="D9" s="20">
        <x:v>5.9</x:v>
      </x:c>
      <x:c r="E9" s="20">
        <x:v>14.2</x:v>
      </x:c>
      <x:c r="F9" s="18">
        <x:v>0.159</x:v>
      </x:c>
      <x:c r="G9" s="18">
        <x:v>-1.1000000000000001E-2</x:v>
      </x:c>
      <x:c r="H9" s="19">
        <x:v>5300000</x:v>
      </x:c>
      <x:c r="I9" s="18">
        <x:v>-8.3000000000000004E-2</x:v>
      </x:c>
      <x:c r="J9" s="20">
        <x:v>-13.3</x:v>
      </x:c>
      <x:c r="K9" s="20">
        <x:v>82.8</x:v>
      </x:c>
      <x:c r="L9" s="18">
        <x:v>0.59899999999999998</x:v>
      </x:c>
      <x:c r="M9" s="18">
        <x:v>0.72</x:v>
      </x:c>
      <x:c r="N9" s="18">
        <x:v>0.10800000000000001</x:v>
      </x:c>
      <x:c r="O9" s="18">
        <x:v>0.36200000000000004</x:v>
      </x:c>
      <x:c r="P9" s="18">
        <x:v>-2E-3</x:v>
      </x:c>
      <x:c r="Q9" s="18">
        <x:v>0.16399999999999998</x:v>
      </x:c>
      <x:c r="R9" s="18">
        <x:v>0.02</x:v>
      </x:c>
    </x:row>
    <x:row r="10">
      <x:c r="A10">
        <x:v>38197</x:v>
      </x:c>
      <x:c r="B10" s="21">
        <x:v>46142.75</x:v>
      </x:c>
      <x:c r="C10" s="18">
        <x:v>0.20100000000000001</x:v>
      </x:c>
      <x:c r="D10" s="20">
        <x:v>5.9</x:v>
      </x:c>
      <x:c r="E10" s="20">
        <x:v>14.9</x:v>
      </x:c>
      <x:c r="F10" s="18">
        <x:v>0.15</x:v>
      </x:c>
      <x:c r="G10" s="18">
        <x:v>-0.06</x:v>
      </x:c>
      <x:c r="H10" s="19">
        <x:v>8100000</x:v>
      </x:c>
      <x:c r="I10" s="18">
        <x:v>0.33600000000000002</x:v>
      </x:c>
      <x:c r="J10" s="20">
        <x:v>-35.1</x:v>
      </x:c>
      <x:c r="K10" s="20">
        <x:v>65.599999999999994</x:v>
      </x:c>
      <x:c r="L10" s="18">
        <x:v>0.51400000000000001</x:v>
      </x:c>
      <x:c r="M10" s="18">
        <x:v>0.59</x:v>
      </x:c>
      <x:c r="N10" s="18">
        <x:v>0.111</x:v>
      </x:c>
      <x:c r="O10" s="18">
        <x:v>0.34899999999999998</x:v>
      </x:c>
      <x:c r="P10" s="18">
        <x:v>6.0000000000000001E-3</x:v>
      </x:c>
      <x:c r="Q10" s="18">
        <x:v>0.22699999999999998</x:v>
      </x:c>
      <x:c r="R10" s="18">
        <x:v>3.7999999999999999E-2</x:v>
      </x:c>
    </x:row>
    <x:row r="11">
      <x:c r="A11">
        <x:v>38205</x:v>
      </x:c>
      <x:c r="B11" s="21">
        <x:v>46142.75</x:v>
      </x:c>
      <x:c r="C11" s="18">
        <x:v>0.41499999999999998</x:v>
      </x:c>
      <x:c r="D11" s="20">
        <x:v>7.2</x:v>
      </x:c>
      <x:c r="E11" s="20">
        <x:v>17.100000000000001</x:v>
      </x:c>
      <x:c r="F11" s="18">
        <x:v>0.13200000000000001</x:v>
      </x:c>
      <x:c r="G11" s="18">
        <x:v>3.0000000000000001E-3</x:v>
      </x:c>
      <x:c r="H11" s="19">
        <x:v>9200000</x:v>
      </x:c>
      <x:c r="I11" s="18">
        <x:v>-8.1000000000000003E-2</x:v>
      </x:c>
      <x:c r="J11" s="20">
        <x:v>-37.700000000000003</x:v>
      </x:c>
      <x:c r="K11" s="20">
        <x:v>62.1</x:v>
      </x:c>
      <x:c r="L11" s="18">
        <x:v>0.44500000000000001</x:v>
      </x:c>
      <x:c r="M11" s="18">
        <x:v>0.53</x:v>
      </x:c>
      <x:c r="N11" s="18">
        <x:v>0.11199999999999999</x:v>
      </x:c>
      <x:c r="O11" s="18">
        <x:v>0.35799999999999998</x:v>
      </x:c>
      <x:c r="P11" s="18">
        <x:v>1.8000000000000002E-2</x:v>
      </x:c>
      <x:c r="Q11" s="18">
        <x:v>0.25700000000000001</x:v>
      </x:c>
      <x:c r="R11" s="18">
        <x:v>-2.8999999999999998E-2</x:v>
      </x:c>
    </x:row>
    <x:row r="12">
      <x:c r="A12">
        <x:v>38207</x:v>
      </x:c>
      <x:c r="B12" s="21">
        <x:v>46142.75</x:v>
      </x:c>
      <x:c r="C12" s="18">
        <x:v>0.33899999999999997</x:v>
      </x:c>
      <x:c r="D12" s="20">
        <x:v>8.6</x:v>
      </x:c>
      <x:c r="E12" s="20">
        <x:v>18.2</x:v>
      </x:c>
      <x:c r="F12" s="18">
        <x:v>0.19</x:v>
      </x:c>
      <x:c r="G12" s="18">
        <x:v>-3.0000000000000001E-3</x:v>
      </x:c>
      <x:c r="H12" s="19">
        <x:v>3900000</x:v>
      </x:c>
      <x:c r="I12" s="18">
        <x:v>5.7000000000000002E-2</x:v>
      </x:c>
      <x:c r="J12" s="20">
        <x:v>-3.4</x:v>
      </x:c>
      <x:c r="K12" s="20">
        <x:v>79.7</x:v>
      </x:c>
      <x:c r="L12" s="18">
        <x:v>0.55200000000000005</x:v>
      </x:c>
      <x:c r="M12" s="18">
        <x:v>0.65</x:v>
      </x:c>
      <x:c r="N12" s="18">
        <x:v>2.2000000000000002E-2</x:v>
      </x:c>
      <x:c r="O12" s="18">
        <x:v>0.35499999999999998</x:v>
      </x:c>
      <x:c r="P12" s="18">
        <x:v>3.0000000000000001E-3</x:v>
      </x:c>
      <x:c r="Q12" s="18">
        <x:v>0.193</x:v>
      </x:c>
      <x:c r="R12" s="18">
        <x:v>0.04</x:v>
      </x:c>
    </x:row>
    <x:row r="13">
      <x:c r="A13">
        <x:v>38230</x:v>
      </x:c>
      <x:c r="B13" s="21">
        <x:v>46142.75</x:v>
      </x:c>
      <x:c r="C13" s="18">
        <x:v>0.42700000000000005</x:v>
      </x:c>
      <x:c r="D13" s="20">
        <x:v>7.7</x:v>
      </x:c>
      <x:c r="E13" s="20">
        <x:v>14.1</x:v>
      </x:c>
      <x:c r="F13" s="18">
        <x:v>0.18600000000000003</x:v>
      </x:c>
      <x:c r="G13" s="18">
        <x:v>-2.3E-2</x:v>
      </x:c>
      <x:c r="H13" s="19">
        <x:v>4600000</x:v>
      </x:c>
      <x:c r="I13" s="18">
        <x:v>0.115</x:v>
      </x:c>
      <x:c r="J13" s="20">
        <x:v>12.2</x:v>
      </x:c>
      <x:c r="K13" s="20">
        <x:v>66.7</x:v>
      </x:c>
      <x:c r="L13" s="18">
        <x:v>0.55299999999999994</x:v>
      </x:c>
      <x:c r="M13" s="18">
        <x:v>0.67</x:v>
      </x:c>
      <x:c r="N13" s="18">
        <x:v>9.6999999999999989E-2</x:v>
      </x:c>
      <x:c r="O13" s="18">
        <x:v>0.34700000000000003</x:v>
      </x:c>
      <x:c r="P13" s="18">
        <x:v>-0.04</x:v>
      </x:c>
      <x:c r="Q13" s="18">
        <x:v>0.25800000000000001</x:v>
      </x:c>
      <x:c r="R13" s="18">
        <x:v>0.11699999999999999</x:v>
      </x:c>
    </x:row>
    <x:row r="14">
      <x:c r="A14">
        <x:v>38266</x:v>
      </x:c>
      <x:c r="B14" s="21">
        <x:v>46142.75</x:v>
      </x:c>
      <x:c r="C14" s="18">
        <x:v>0.46</x:v>
      </x:c>
      <x:c r="D14" s="20">
        <x:v>6.5</x:v>
      </x:c>
      <x:c r="E14" s="20">
        <x:v>16.7</x:v>
      </x:c>
      <x:c r="F14" s="18">
        <x:v>0.17199999999999999</x:v>
      </x:c>
      <x:c r="G14" s="18">
        <x:v>8.0000000000000002E-3</x:v>
      </x:c>
      <x:c r="H14" s="19">
        <x:v>5200000</x:v>
      </x:c>
      <x:c r="I14" s="18">
        <x:v>-0.11599999999999999</x:v>
      </x:c>
      <x:c r="J14" s="20">
        <x:v>-36.5</x:v>
      </x:c>
      <x:c r="K14" s="20">
        <x:v>61.1</x:v>
      </x:c>
      <x:c r="L14" s="18">
        <x:v>0.47100000000000003</x:v>
      </x:c>
      <x:c r="M14" s="18">
        <x:v>0.6</x:v>
      </x:c>
      <x:c r="N14" s="18">
        <x:v>0.19899999999999998</x:v>
      </x:c>
      <x:c r="O14" s="18">
        <x:v>0.41899999999999998</x:v>
      </x:c>
      <x:c r="P14" s="18">
        <x:v>5.2000000000000005E-2</x:v>
      </x:c>
      <x:c r="Q14" s="18">
        <x:v>0.11699999999999999</x:v>
      </x:c>
      <x:c r="R14" s="18">
        <x:v>-6.3E-2</x:v>
      </x:c>
    </x:row>
    <x:row r="15">
      <x:c r="A15">
        <x:v>38270</x:v>
      </x:c>
      <x:c r="B15" s="21">
        <x:v>46142.75</x:v>
      </x:c>
      <x:c r="C15" s="18">
        <x:v>0.27200000000000002</x:v>
      </x:c>
      <x:c r="D15" s="20">
        <x:v>5.7</x:v>
      </x:c>
      <x:c r="E15" s="20">
        <x:v>14</x:v>
      </x:c>
      <x:c r="F15" s="18">
        <x:v>0.19</x:v>
      </x:c>
      <x:c r="G15" s="18">
        <x:v>0.01</x:v>
      </x:c>
      <x:c r="H15" s="19">
        <x:v>4300000</x:v>
      </x:c>
      <x:c r="I15" s="18">
        <x:v>-8.5999999999999993E-2</x:v>
      </x:c>
      <x:c r="J15" s="20">
        <x:v>-14.5</x:v>
      </x:c>
      <x:c r="K15" s="20">
        <x:v>84.1</x:v>
      </x:c>
      <x:c r="L15" s="18">
        <x:v>0.50900000000000001</x:v>
      </x:c>
      <x:c r="M15" s="18">
        <x:v>0.71</x:v>
      </x:c>
      <x:c r="N15" s="18">
        <x:v>0.159</x:v>
      </x:c>
      <x:c r="O15" s="18">
        <x:v>0.36399999999999999</x:v>
      </x:c>
      <x:c r="P15" s="18">
        <x:v>1.7000000000000001E-2</x:v>
      </x:c>
      <x:c r="Q15" s="18">
        <x:v>9.6999999999999989E-2</x:v>
      </x:c>
      <x:c r="R15" s="18">
        <x:v>-2.5000000000000001E-2</x:v>
      </x:c>
    </x:row>
    <x:row r="16">
      <x:c r="A16">
        <x:v>38333</x:v>
      </x:c>
      <x:c r="B16" s="21">
        <x:v>46142.75</x:v>
      </x:c>
      <x:c r="C16" s="18">
        <x:v>0.217</x:v>
      </x:c>
      <x:c r="D16" s="20">
        <x:v>6.8</x:v>
      </x:c>
      <x:c r="E16" s="20">
        <x:v>17.399999999999999</x:v>
      </x:c>
      <x:c r="F16" s="18">
        <x:v>0.13500000000000001</x:v>
      </x:c>
      <x:c r="G16" s="18">
        <x:v>-1E-3</x:v>
      </x:c>
      <x:c r="H16" s="19">
        <x:v>9400000</x:v>
      </x:c>
      <x:c r="I16" s="18">
        <x:v>-8.5000000000000006E-2</x:v>
      </x:c>
      <x:c r="J16" s="20">
        <x:v>-37.200000000000003</x:v>
      </x:c>
      <x:c r="K16" s="20">
        <x:v>62.6</x:v>
      </x:c>
      <x:c r="L16" s="18">
        <x:v>0.46399999999999997</x:v>
      </x:c>
      <x:c r="M16" s="18">
        <x:v>0.6</x:v>
      </x:c>
      <x:c r="N16" s="18">
        <x:v>0.111</x:v>
      </x:c>
      <x:c r="O16" s="18">
        <x:v>0.34899999999999998</x:v>
      </x:c>
      <x:c r="P16" s="18">
        <x:v>-9.0000000000000011E-3</x:v>
      </x:c>
      <x:c r="Q16" s="18">
        <x:v>0.253</x:v>
      </x:c>
      <x:c r="R16" s="18">
        <x:v>-3.0000000000000001E-3</x:v>
      </x:c>
    </x:row>
    <x:row r="17">
      <x:c r="A17">
        <x:v>38339</x:v>
      </x:c>
      <x:c r="B17" s="21">
        <x:v>46142.75</x:v>
      </x:c>
      <x:c r="C17" s="18">
        <x:v>0.29600000000000004</x:v>
      </x:c>
      <x:c r="D17" s="20">
        <x:v>5.9</x:v>
      </x:c>
      <x:c r="E17" s="20">
        <x:v>15.2</x:v>
      </x:c>
      <x:c r="F17" s="18">
        <x:v>0.13699999999999998</x:v>
      </x:c>
      <x:c r="G17" s="18">
        <x:v>0.01</x:v>
      </x:c>
      <x:c r="H17" s="19">
        <x:v>8300000.0000000009</x:v>
      </x:c>
      <x:c r="I17" s="18">
        <x:v>-8.3000000000000004E-2</x:v>
      </x:c>
      <x:c r="J17" s="20">
        <x:v>-25.1</x:v>
      </x:c>
      <x:c r="K17" s="20">
        <x:v>71.2</x:v>
      </x:c>
      <x:c r="L17" s="18">
        <x:v>0.53600000000000003</x:v>
      </x:c>
      <x:c r="M17" s="18">
        <x:v>0.66</x:v>
      </x:c>
      <x:c r="N17" s="18">
        <x:v>0.11900000000000001</x:v>
      </x:c>
      <x:c r="O17" s="18">
        <x:v>0.35299999999999998</x:v>
      </x:c>
      <x:c r="P17" s="18">
        <x:v>9.0000000000000011E-3</x:v>
      </x:c>
      <x:c r="Q17" s="18">
        <x:v>0.254</x:v>
      </x:c>
      <x:c r="R17" s="18">
        <x:v>-1.3000000000000001E-2</x:v>
      </x:c>
    </x:row>
    <x:row r="18">
      <x:c r="A18">
        <x:v>38363</x:v>
      </x:c>
      <x:c r="B18" s="21">
        <x:v>46142.75</x:v>
      </x:c>
      <x:c r="C18" s="18">
        <x:v>0.50700000000000001</x:v>
      </x:c>
      <x:c r="D18" s="20">
        <x:v>6.5</x:v>
      </x:c>
      <x:c r="E18" s="20">
        <x:v>15.5</x:v>
      </x:c>
      <x:c r="F18" s="18">
        <x:v>0.156</x:v>
      </x:c>
      <x:c r="G18" s="18">
        <x:v>1.4999999999999999E-2</x:v>
      </x:c>
      <x:c r="H18" s="19">
        <x:v>7900000</x:v>
      </x:c>
      <x:c r="I18" s="18">
        <x:v>-3.6000000000000004E-2</x:v>
      </x:c>
      <x:c r="J18" s="20">
        <x:v>9.6999999999999993</x:v>
      </x:c>
      <x:c r="K18" s="20">
        <x:v>66</x:v>
      </x:c>
      <x:c r="L18" s="18">
        <x:v>0.41700000000000004</x:v>
      </x:c>
      <x:c r="M18" s="18">
        <x:v>0.5</x:v>
      </x:c>
      <x:c r="N18" s="18">
        <x:v>9.9000000000000005E-2</x:v>
      </x:c>
      <x:c r="O18" s="18">
        <x:v>0.34200000000000003</x:v>
      </x:c>
      <x:c r="P18" s="18">
        <x:v>-8.0000000000000002E-3</x:v>
      </x:c>
      <x:c r="Q18" s="18">
        <x:v>0.255</x:v>
      </x:c>
      <x:c r="R18" s="18">
        <x:v>-6.9999999999999993E-3</x:v>
      </x:c>
    </x:row>
    <x:row r="19">
      <x:c r="A19">
        <x:v>38368</x:v>
      </x:c>
      <x:c r="B19" s="21">
        <x:v>46142.75</x:v>
      </x:c>
      <x:c r="C19" s="18">
        <x:v>0.32899999999999996</x:v>
      </x:c>
      <x:c r="D19" s="20">
        <x:v>6.7</x:v>
      </x:c>
      <x:c r="E19" s="20">
        <x:v>16.100000000000001</x:v>
      </x:c>
      <x:c r="F19" s="18">
        <x:v>0.14300000000000002</x:v>
      </x:c>
      <x:c r="G19" s="18">
        <x:v>1.3999999999999999E-2</x:v>
      </x:c>
      <x:c r="H19" s="19">
        <x:v>8300000.0000000009</x:v>
      </x:c>
      <x:c r="I19" s="18">
        <x:v>-0.10199999999999999</x:v>
      </x:c>
      <x:c r="J19" s="20">
        <x:v>1.7</x:v>
      </x:c>
      <x:c r="K19" s="20">
        <x:v>68.5</x:v>
      </x:c>
      <x:c r="L19" s="18">
        <x:v>0.47399999999999998</x:v>
      </x:c>
      <x:c r="M19" s="18">
        <x:v>0.62</x:v>
      </x:c>
      <x:c r="N19" s="18">
        <x:v>7.400000000000001E-2</x:v>
      </x:c>
      <x:c r="O19" s="18">
        <x:v>0.34700000000000003</x:v>
      </x:c>
      <x:c r="P19" s="18">
        <x:v>-6.9999999999999993E-3</x:v>
      </x:c>
      <x:c r="Q19" s="18">
        <x:v>0.27200000000000002</x:v>
      </x:c>
      <x:c r="R19" s="18">
        <x:v>-2.1000000000000001E-2</x:v>
      </x:c>
    </x:row>
    <x:row r="20">
      <x:c r="A20">
        <x:v>38371</x:v>
      </x:c>
      <x:c r="B20" s="21">
        <x:v>46142.75</x:v>
      </x:c>
      <x:c r="C20" s="18">
        <x:v>0.28199999999999997</x:v>
      </x:c>
      <x:c r="D20" s="20">
        <x:v>7.1</x:v>
      </x:c>
      <x:c r="E20" s="20">
        <x:v>18</x:v>
      </x:c>
      <x:c r="F20" s="18">
        <x:v>0.121</x:v>
      </x:c>
      <x:c r="G20" s="18">
        <x:v>-3.3000000000000002E-2</x:v>
      </x:c>
      <x:c r="H20" s="19">
        <x:v>16600000.000000002</x:v>
      </x:c>
      <x:c r="I20" s="18">
        <x:v>0.182</x:v>
      </x:c>
      <x:c r="J20" s="20">
        <x:v>-51.4</x:v>
      </x:c>
      <x:c r="K20" s="20">
        <x:v>64.3</x:v>
      </x:c>
      <x:c r="L20" s="18">
        <x:v>0.44500000000000001</x:v>
      </x:c>
      <x:c r="M20" s="18">
        <x:v>0.57999999999999996</x:v>
      </x:c>
      <x:c r="N20" s="18">
        <x:v>0.14300000000000002</x:v>
      </x:c>
      <x:c r="O20" s="18">
        <x:v>0.376</x:v>
      </x:c>
      <x:c r="P20" s="18">
        <x:v>3.1E-2</x:v>
      </x:c>
      <x:c r="Q20" s="18">
        <x:v>0.254</x:v>
      </x:c>
      <x:c r="R20" s="18">
        <x:v>3.7999999999999999E-2</x:v>
      </x:c>
      <x:c r="S20" t="s">
        <x:v>22</x:v>
      </x:c>
      <x:c r="T20" t="s">
        <x:v>20</x:v>
      </x:c>
    </x:row>
    <x:row r="21">
      <x:c r="A21">
        <x:v>38374</x:v>
      </x:c>
      <x:c r="B21" s="21">
        <x:v>46142.75</x:v>
      </x:c>
      <x:c r="C21" s="18">
        <x:v>0.17800000000000002</x:v>
      </x:c>
      <x:c r="D21" s="20">
        <x:v>5.2</x:v>
      </x:c>
      <x:c r="E21" s="20">
        <x:v>12.5</x:v>
      </x:c>
      <x:c r="F21" s="18">
        <x:v>0.188</x:v>
      </x:c>
      <x:c r="G21" s="18">
        <x:v>2.4E-2</x:v>
      </x:c>
      <x:c r="H21" s="19">
        <x:v>4099999.9999999995</x:v>
      </x:c>
      <x:c r="I21" s="18">
        <x:v>-0.109</x:v>
      </x:c>
      <x:c r="J21" s="20">
        <x:v>-10.199999999999999</x:v>
      </x:c>
      <x:c r="K21" s="20">
        <x:v>68.099999999999994</x:v>
      </x:c>
      <x:c r="L21" s="18">
        <x:v>0.56600000000000006</x:v>
      </x:c>
      <x:c r="M21" s="18">
        <x:v>0.65</x:v>
      </x:c>
      <x:c r="N21" s="18">
        <x:v>0.121</x:v>
      </x:c>
      <x:c r="O21" s="18">
        <x:v>0.37</x:v>
      </x:c>
      <x:c r="P21" s="18">
        <x:v>-1.3000000000000001E-2</x:v>
      </x:c>
      <x:c r="Q21" s="18">
        <x:v>0.16800000000000001</x:v>
      </x:c>
      <x:c r="R21" s="18">
        <x:v>-5.0000000000000001E-3</x:v>
      </x:c>
    </x:row>
    <x:row r="22">
      <x:c r="A22">
        <x:v>38394</x:v>
      </x:c>
      <x:c r="B22" s="21">
        <x:v>46142.75</x:v>
      </x:c>
      <x:c r="C22" s="18">
        <x:v>2.3E-2</x:v>
      </x:c>
      <x:c r="D22" s="20">
        <x:v>5.8</x:v>
      </x:c>
      <x:c r="E22" s="20">
        <x:v>12.7</x:v>
      </x:c>
      <x:c r="F22" s="18">
        <x:v>0.19</x:v>
      </x:c>
      <x:c r="G22" s="18">
        <x:v>4.0000000000000001E-3</x:v>
      </x:c>
      <x:c r="H22" s="19">
        <x:v>4300000</x:v>
      </x:c>
      <x:c r="I22" s="18">
        <x:v>-7.6999999999999999E-2</x:v>
      </x:c>
      <x:c r="J22" s="20">
        <x:v>-20.5</x:v>
      </x:c>
      <x:c r="K22" s="20">
        <x:v>77.7</x:v>
      </x:c>
      <x:c r="L22" s="18">
        <x:v>0.51400000000000001</x:v>
      </x:c>
      <x:c r="M22" s="18">
        <x:v>0.63</x:v>
      </x:c>
      <x:c r="N22" s="18">
        <x:v>0.107</x:v>
      </x:c>
      <x:c r="O22" s="18">
        <x:v>0.40100000000000002</x:v>
      </x:c>
      <x:c r="P22" s="18">
        <x:v>1.2E-2</x:v>
      </x:c>
      <x:c r="Q22" s="18">
        <x:v>0.114</x:v>
      </x:c>
      <x:c r="R22" s="18">
        <x:v>-2.4E-2</x:v>
      </x:c>
    </x:row>
    <x:row r="23">
      <x:c r="A23">
        <x:v>38401</x:v>
      </x:c>
      <x:c r="B23" s="21">
        <x:v>46142.75</x:v>
      </x:c>
      <x:c r="C23" s="18">
        <x:v>0.32700000000000001</x:v>
      </x:c>
      <x:c r="D23" s="20">
        <x:v>5.7</x:v>
      </x:c>
      <x:c r="E23" s="20">
        <x:v>14.9</x:v>
      </x:c>
      <x:c r="F23" s="18">
        <x:v>0.16200000000000001</x:v>
      </x:c>
      <x:c r="G23" s="18">
        <x:v>1.3000000000000001E-2</x:v>
      </x:c>
      <x:c r="H23" s="19">
        <x:v>4400000</x:v>
      </x:c>
      <x:c r="I23" s="18">
        <x:v>-8.8000000000000009E-2</x:v>
      </x:c>
      <x:c r="J23" s="20">
        <x:v>-18.5</x:v>
      </x:c>
      <x:c r="K23" s="20">
        <x:v>89.9</x:v>
      </x:c>
      <x:c r="L23" s="18">
        <x:v>0.69700000000000006</x:v>
      </x:c>
      <x:c r="M23" s="18">
        <x:v>0.75</x:v>
      </x:c>
      <x:c r="N23" s="18">
        <x:v>0.14599999999999999</x:v>
      </x:c>
      <x:c r="O23" s="18">
        <x:v>0.36700000000000005</x:v>
      </x:c>
      <x:c r="P23" s="18">
        <x:v>-8.0000000000000002E-3</x:v>
      </x:c>
      <x:c r="Q23" s="18">
        <x:v>0.16399999999999998</x:v>
      </x:c>
      <x:c r="R23" s="18">
        <x:v>-3.7000000000000005E-2</x:v>
      </x:c>
    </x:row>
    <x:row r="24">
      <x:c r="A24">
        <x:v>38411</x:v>
      </x:c>
      <x:c r="B24" s="21">
        <x:v>46142.75</x:v>
      </x:c>
      <x:c r="C24" s="18">
        <x:v>0.17100000000000001</x:v>
      </x:c>
      <x:c r="D24" s="20">
        <x:v>6.3</x:v>
      </x:c>
      <x:c r="E24" s="20">
        <x:v>16.3</x:v>
      </x:c>
      <x:c r="F24" s="18">
        <x:v>0.14099999999999999</x:v>
      </x:c>
      <x:c r="G24" s="18">
        <x:v>1.3999999999999999E-2</x:v>
      </x:c>
      <x:c r="H24" s="19">
        <x:v>8500000</x:v>
      </x:c>
      <x:c r="I24" s="18">
        <x:v>-0.14099999999999999</x:v>
      </x:c>
      <x:c r="J24" s="20">
        <x:v>-55.2</x:v>
      </x:c>
      <x:c r="K24" s="20">
        <x:v>69.7</x:v>
      </x:c>
      <x:c r="L24" s="18">
        <x:v>0.55299999999999994</x:v>
      </x:c>
      <x:c r="M24" s="18">
        <x:v>0.64</x:v>
      </x:c>
      <x:c r="N24" s="18">
        <x:v>0.21199999999999999</x:v>
      </x:c>
      <x:c r="O24" s="18">
        <x:v>0.36799999999999999</x:v>
      </x:c>
      <x:c r="P24" s="18">
        <x:v>2.4E-2</x:v>
      </x:c>
      <x:c r="Q24" s="18">
        <x:v>0.22600000000000001</x:v>
      </x:c>
      <x:c r="R24" s="18">
        <x:v>-5.5E-2</x:v>
      </x:c>
    </x:row>
    <x:row r="25">
      <x:c r="A25">
        <x:v>38427</x:v>
      </x:c>
      <x:c r="B25" s="21">
        <x:v>46142.75</x:v>
      </x:c>
      <x:c r="C25" s="18">
        <x:v>0.247</x:v>
      </x:c>
      <x:c r="D25" s="20">
        <x:v>6</x:v>
      </x:c>
      <x:c r="E25" s="20">
        <x:v>14.4</x:v>
      </x:c>
      <x:c r="F25" s="18">
        <x:v>0.161</x:v>
      </x:c>
      <x:c r="G25" s="18">
        <x:v>2.2000000000000002E-2</x:v>
      </x:c>
      <x:c r="H25" s="19">
        <x:v>8199999.9999999991</x:v>
      </x:c>
      <x:c r="I25" s="18">
        <x:v>-0.109</x:v>
      </x:c>
      <x:c r="J25" s="20">
        <x:v>-7.2</x:v>
      </x:c>
      <x:c r="K25" s="20">
        <x:v>74.099999999999994</x:v>
      </x:c>
      <x:c r="L25" s="18">
        <x:v>0.46299999999999997</x:v>
      </x:c>
      <x:c r="M25" s="18">
        <x:v>0.66</x:v>
      </x:c>
      <x:c r="N25" s="18">
        <x:v>0.05</x:v>
      </x:c>
      <x:c r="O25" s="18">
        <x:v>0.33799999999999997</x:v>
      </x:c>
      <x:c r="P25" s="18">
        <x:v>-2.7999999999999997E-2</x:v>
      </x:c>
      <x:c r="Q25" s="18">
        <x:v>0.251</x:v>
      </x:c>
      <x:c r="R25" s="18">
        <x:v>5.5999999999999994E-2</x:v>
      </x:c>
    </x:row>
    <x:row r="26">
      <x:c r="A26">
        <x:v>38431</x:v>
      </x:c>
      <x:c r="B26" s="21">
        <x:v>46142.75</x:v>
      </x:c>
      <x:c r="C26" s="18">
        <x:v>0.42100000000000004</x:v>
      </x:c>
      <x:c r="D26" s="20">
        <x:v>7</x:v>
      </x:c>
      <x:c r="E26" s="20">
        <x:v>17</x:v>
      </x:c>
      <x:c r="F26" s="18">
        <x:v>0.14899999999999999</x:v>
      </x:c>
      <x:c r="G26" s="18">
        <x:v>-1.4999999999999999E-2</x:v>
      </x:c>
      <x:c r="H26" s="19">
        <x:v>6400000</x:v>
      </x:c>
      <x:c r="I26" s="18">
        <x:v>5.0000000000000001E-3</x:v>
      </x:c>
      <x:c r="J26" s="20">
        <x:v>-20.8</x:v>
      </x:c>
      <x:c r="K26" s="20">
        <x:v>71.099999999999994</x:v>
      </x:c>
      <x:c r="L26" s="18">
        <x:v>0.46500000000000002</x:v>
      </x:c>
      <x:c r="M26" s="18">
        <x:v>0.66</x:v>
      </x:c>
      <x:c r="N26" s="18">
        <x:v>7.9000000000000001E-2</x:v>
      </x:c>
      <x:c r="O26" s="18">
        <x:v>0.39600000000000002</x:v>
      </x:c>
      <x:c r="P26" s="18">
        <x:v>3.5000000000000003E-2</x:v>
      </x:c>
      <x:c r="Q26" s="18">
        <x:v>0.129</x:v>
      </x:c>
      <x:c r="R26" s="18">
        <x:v>-3.4000000000000002E-2</x:v>
      </x:c>
    </x:row>
    <x:row r="27">
      <x:c r="A27">
        <x:v>38442</x:v>
      </x:c>
      <x:c r="B27" s="21">
        <x:v>46142.75</x:v>
      </x:c>
      <x:c r="C27" s="18">
        <x:v>0.55799999999999994</x:v>
      </x:c>
      <x:c r="D27" s="20">
        <x:v>5.9</x:v>
      </x:c>
      <x:c r="E27" s="20">
        <x:v>15.1</x:v>
      </x:c>
      <x:c r="F27" s="18">
        <x:v>0.14300000000000002</x:v>
      </x:c>
      <x:c r="G27" s="18">
        <x:v>6.9999999999999993E-3</x:v>
      </x:c>
      <x:c r="H27" s="19">
        <x:v>8600000</x:v>
      </x:c>
      <x:c r="I27" s="18">
        <x:v>-2E-3</x:v>
      </x:c>
      <x:c r="J27" s="20">
        <x:v>-28.2</x:v>
      </x:c>
      <x:c r="K27" s="20">
        <x:v>78.8</x:v>
      </x:c>
      <x:c r="L27" s="18">
        <x:v>0.59399999999999997</x:v>
      </x:c>
      <x:c r="M27" s="18">
        <x:v>0.71</x:v>
      </x:c>
      <x:c r="N27" s="18">
        <x:v>0.1</x:v>
      </x:c>
      <x:c r="O27" s="18">
        <x:v>0.35</x:v>
      </x:c>
      <x:c r="P27" s="18">
        <x:v>-2.4E-2</x:v>
      </x:c>
      <x:c r="Q27" s="18">
        <x:v>0.26100000000000001</x:v>
      </x:c>
      <x:c r="R27" s="18">
        <x:v>0.03</x:v>
      </x:c>
    </x:row>
    <x:row r="28">
      <x:c r="A28">
        <x:v>38456</x:v>
      </x:c>
      <x:c r="B28" s="21">
        <x:v>46142.75</x:v>
      </x:c>
      <x:c r="C28" s="18">
        <x:v>0.33200000000000002</x:v>
      </x:c>
      <x:c r="D28" s="20">
        <x:v>6</x:v>
      </x:c>
      <x:c r="E28" s="20">
        <x:v>15.8</x:v>
      </x:c>
      <x:c r="F28" s="18">
        <x:v>0.14599999999999999</x:v>
      </x:c>
      <x:c r="G28" s="18">
        <x:v>-1.3999999999999999E-2</x:v>
      </x:c>
      <x:c r="H28" s="19">
        <x:v>6300000</x:v>
      </x:c>
      <x:c r="I28" s="18">
        <x:v>2.4E-2</x:v>
      </x:c>
      <x:c r="J28" s="20">
        <x:v>-27.1</x:v>
      </x:c>
      <x:c r="K28" s="20">
        <x:v>75.2</x:v>
      </x:c>
      <x:c r="L28" s="18">
        <x:v>0.57700000000000007</x:v>
      </x:c>
      <x:c r="M28" s="18">
        <x:v>0.73</x:v>
      </x:c>
      <x:c r="N28" s="18">
        <x:v>0.17100000000000001</x:v>
      </x:c>
      <x:c r="O28" s="18">
        <x:v>0.35100000000000003</x:v>
      </x:c>
      <x:c r="P28" s="18">
        <x:v>-2E-3</x:v>
      </x:c>
      <x:c r="Q28" s="18">
        <x:v>0.26</x:v>
      </x:c>
      <x:c r="R28" s="18">
        <x:v>2.7999999999999997E-2</x:v>
      </x:c>
    </x:row>
    <x:row r="29">
      <x:c r="A29">
        <x:v>38458</x:v>
      </x:c>
      <x:c r="B29" s="21">
        <x:v>46142.75</x:v>
      </x:c>
      <x:c r="C29" s="18">
        <x:v>0.33100000000000002</x:v>
      </x:c>
      <x:c r="D29" s="20">
        <x:v>7.8</x:v>
      </x:c>
      <x:c r="E29" s="20">
        <x:v>16.7</x:v>
      </x:c>
      <x:c r="F29" s="18">
        <x:v>0.14000000000000001</x:v>
      </x:c>
      <x:c r="G29" s="18">
        <x:v>-4.0000000000000001E-3</x:v>
      </x:c>
      <x:c r="H29" s="19">
        <x:v>6700000</x:v>
      </x:c>
      <x:c r="I29" s="18">
        <x:v>0</x:v>
      </x:c>
      <x:c r="J29" s="20">
        <x:v>-17.100000000000001</x:v>
      </x:c>
      <x:c r="K29" s="20">
        <x:v>58.5</x:v>
      </x:c>
      <x:c r="L29" s="18">
        <x:v>0.44299999999999995</x:v>
      </x:c>
      <x:c r="M29" s="18">
        <x:v>0.57999999999999996</x:v>
      </x:c>
      <x:c r="N29" s="18">
        <x:v>4.0999999999999995E-2</x:v>
      </x:c>
      <x:c r="O29" s="18">
        <x:v>0.37799999999999995</x:v>
      </x:c>
      <x:c r="P29" s="18">
        <x:v>2.7000000000000003E-2</x:v>
      </x:c>
      <x:c r="Q29" s="18">
        <x:v>0.22899999999999998</x:v>
      </x:c>
      <x:c r="R29" s="18">
        <x:v>-2.6000000000000002E-2</x:v>
      </x:c>
    </x:row>
    <x:row r="30">
      <x:c r="A30">
        <x:v>38460</x:v>
      </x:c>
      <x:c r="B30" s="21">
        <x:v>46142.75</x:v>
      </x:c>
      <x:c r="C30" s="18">
        <x:v>0.14199999999999999</x:v>
      </x:c>
      <x:c r="D30" s="20">
        <x:v>5.3</x:v>
      </x:c>
      <x:c r="E30" s="20">
        <x:v>13.4</x:v>
      </x:c>
      <x:c r="F30" s="18">
        <x:v>0.161</x:v>
      </x:c>
      <x:c r="G30" s="18">
        <x:v>-8.0000000000000002E-3</x:v>
      </x:c>
      <x:c r="H30" s="19">
        <x:v>5600000</x:v>
      </x:c>
      <x:c r="I30" s="18">
        <x:v>-2E-3</x:v>
      </x:c>
      <x:c r="J30" s="20">
        <x:v>-7.7</x:v>
      </x:c>
      <x:c r="K30" s="20">
        <x:v>80.099999999999994</x:v>
      </x:c>
      <x:c r="L30" s="18">
        <x:v>0.61099999999999999</x:v>
      </x:c>
      <x:c r="M30" s="18">
        <x:v>0.64</x:v>
      </x:c>
      <x:c r="N30" s="18">
        <x:v>7.2999999999999995E-2</x:v>
      </x:c>
      <x:c r="O30" s="18">
        <x:v>0.36599999999999999</x:v>
      </x:c>
      <x:c r="P30" s="18">
        <x:v>2E-3</x:v>
      </x:c>
      <x:c r="Q30" s="18">
        <x:v>0.158</x:v>
      </x:c>
      <x:c r="R30" s="18">
        <x:v>2.2000000000000002E-2</x:v>
      </x:c>
    </x:row>
    <x:row r="31">
      <x:c r="A31">
        <x:v>38475</x:v>
      </x:c>
      <x:c r="B31" s="21">
        <x:v>46142.75</x:v>
      </x:c>
      <x:c r="C31" s="18">
        <x:v>0.70299999999999996</x:v>
      </x:c>
      <x:c r="D31" s="20">
        <x:v>7</x:v>
      </x:c>
      <x:c r="E31" s="20">
        <x:v>16.899999999999999</x:v>
      </x:c>
      <x:c r="F31" s="18">
        <x:v>0.157</x:v>
      </x:c>
      <x:c r="G31" s="18">
        <x:v>5.0000000000000001E-3</x:v>
      </x:c>
      <x:c r="H31" s="19">
        <x:v>7800000</x:v>
      </x:c>
      <x:c r="I31" s="18">
        <x:v>-5.5E-2</x:v>
      </x:c>
      <x:c r="J31" s="20">
        <x:v>-1.4</x:v>
      </x:c>
      <x:c r="K31" s="20">
        <x:v>65.8</x:v>
      </x:c>
      <x:c r="L31" s="18">
        <x:v>0.48399999999999999</x:v>
      </x:c>
      <x:c r="M31" s="18">
        <x:v>0.56000000000000005</x:v>
      </x:c>
      <x:c r="N31" s="18">
        <x:v>0.113</x:v>
      </x:c>
      <x:c r="O31" s="18">
        <x:v>0.37799999999999995</x:v>
      </x:c>
      <x:c r="P31" s="18">
        <x:v>-6.0000000000000001E-3</x:v>
      </x:c>
      <x:c r="Q31" s="18">
        <x:v>0.23100000000000001</x:v>
      </x:c>
      <x:c r="R31" s="18">
        <x:v>-6.0000000000000001E-3</x:v>
      </x:c>
    </x:row>
    <x:row r="32">
      <x:c r="A32">
        <x:v>38507</x:v>
      </x:c>
      <x:c r="B32" s="21">
        <x:v>46142.75</x:v>
      </x:c>
      <x:c r="C32" s="18">
        <x:v>0.55899999999999994</x:v>
      </x:c>
      <x:c r="D32" s="20">
        <x:v>4.9000000000000004</x:v>
      </x:c>
      <x:c r="E32" s="20">
        <x:v>11.7</x:v>
      </x:c>
      <x:c r="F32" s="18">
        <x:v>0.24100000000000002</x:v>
      </x:c>
      <x:c r="G32" s="18">
        <x:v>5.5999999999999994E-2</x:v>
      </x:c>
      <x:c r="H32" s="19">
        <x:v>3500000</x:v>
      </x:c>
      <x:c r="I32" s="18">
        <x:v>-0.08</x:v>
      </x:c>
      <x:c r="J32" s="20">
        <x:v>-19.8</x:v>
      </x:c>
      <x:c r="K32" s="20">
        <x:v>71.8</x:v>
      </x:c>
      <x:c r="L32" s="18">
        <x:v>0.61</x:v>
      </x:c>
      <x:c r="M32" s="18">
        <x:v>0.57999999999999996</x:v>
      </x:c>
      <x:c r="N32" s="18">
        <x:v>0.11800000000000001</x:v>
      </x:c>
      <x:c r="O32" s="18">
        <x:v>0.38799999999999996</x:v>
      </x:c>
      <x:c r="P32" s="18">
        <x:v>1.1000000000000001E-2</x:v>
      </x:c>
      <x:c r="Q32" s="18">
        <x:v>7.0999999999999994E-2</x:v>
      </x:c>
      <x:c r="R32" s="18">
        <x:v>-0.06</x:v>
      </x:c>
    </x:row>
    <x:row r="33">
      <x:c r="A33">
        <x:v>38515</x:v>
      </x:c>
      <x:c r="B33" s="21">
        <x:v>46142.75</x:v>
      </x:c>
      <x:c r="C33" s="18">
        <x:v>0.34299999999999997</x:v>
      </x:c>
      <x:c r="D33" s="20">
        <x:v>6</x:v>
      </x:c>
      <x:c r="E33" s="20">
        <x:v>16.100000000000001</x:v>
      </x:c>
      <x:c r="F33" s="18">
        <x:v>0.15</x:v>
      </x:c>
      <x:c r="G33" s="18">
        <x:v>-1.6E-2</x:v>
      </x:c>
      <x:c r="H33" s="19">
        <x:v>7200000</x:v>
      </x:c>
      <x:c r="I33" s="18">
        <x:v>3.4000000000000002E-2</x:v>
      </x:c>
      <x:c r="J33" s="20">
        <x:v>2.5</x:v>
      </x:c>
      <x:c r="K33" s="20">
        <x:v>74.2</x:v>
      </x:c>
      <x:c r="L33" s="18">
        <x:v>0.56799999999999995</x:v>
      </x:c>
      <x:c r="M33" s="18">
        <x:v>0.59</x:v>
      </x:c>
      <x:c r="N33" s="18">
        <x:v>0.124</x:v>
      </x:c>
      <x:c r="O33" s="18">
        <x:v>0.374</x:v>
      </x:c>
      <x:c r="P33" s="18">
        <x:v>-1.3999999999999999E-2</x:v>
      </x:c>
      <x:c r="Q33" s="18">
        <x:v>0.20300000000000001</x:v>
      </x:c>
      <x:c r="R33" s="18">
        <x:v>2.6000000000000002E-2</x:v>
      </x:c>
    </x:row>
    <x:row r="34">
      <x:c r="A34">
        <x:v>38527</x:v>
      </x:c>
      <x:c r="B34" s="21">
        <x:v>46142.75</x:v>
      </x:c>
      <x:c r="C34" s="18">
        <x:v>0.3</x:v>
      </x:c>
      <x:c r="D34" s="20">
        <x:v>6.8</x:v>
      </x:c>
      <x:c r="E34" s="20">
        <x:v>16.7</x:v>
      </x:c>
      <x:c r="F34" s="18">
        <x:v>0.129</x:v>
      </x:c>
      <x:c r="G34" s="18">
        <x:v>-6.5000000000000002E-2</x:v>
      </x:c>
      <x:c r="H34" s="19">
        <x:v>12700000</x:v>
      </x:c>
      <x:c r="I34" s="18">
        <x:v>0.41899999999999998</x:v>
      </x:c>
      <x:c r="J34" s="20">
        <x:v>-4.5</x:v>
      </x:c>
      <x:c r="K34" s="20">
        <x:v>52.5</x:v>
      </x:c>
      <x:c r="L34" s="18">
        <x:v>0.39200000000000002</x:v>
      </x:c>
      <x:c r="M34" s="18">
        <x:v>0.47</x:v>
      </x:c>
      <x:c r="N34" s="18">
        <x:v>7.9000000000000001E-2</x:v>
      </x:c>
      <x:c r="O34" s="18">
        <x:v>0.35499999999999998</x:v>
      </x:c>
      <x:c r="P34" s="18">
        <x:v>0.02</x:v>
      </x:c>
      <x:c r="Q34" s="18">
        <x:v>0.29799999999999999</x:v>
      </x:c>
      <x:c r="R34" s="18">
        <x:v>4.5999999999999999E-2</x:v>
      </x:c>
      <x:c r="S34" t="s">
        <x:v>23</x:v>
      </x:c>
      <x:c r="T34" t="s">
        <x:v>24</x:v>
      </x:c>
    </x:row>
    <x:row r="35">
      <x:c r="A35">
        <x:v>38529</x:v>
      </x:c>
      <x:c r="B35" s="21">
        <x:v>46142.75</x:v>
      </x:c>
      <x:c r="C35" s="18">
        <x:v>0.29499999999999998</x:v>
      </x:c>
      <x:c r="D35" s="20">
        <x:v>6.5</x:v>
      </x:c>
      <x:c r="E35" s="20">
        <x:v>16.7</x:v>
      </x:c>
      <x:c r="F35" s="18">
        <x:v>0.13900000000000001</x:v>
      </x:c>
      <x:c r="G35" s="18">
        <x:v>-2E-3</x:v>
      </x:c>
      <x:c r="H35" s="19">
        <x:v>7600000</x:v>
      </x:c>
      <x:c r="I35" s="18">
        <x:v>-7.9000000000000001E-2</x:v>
      </x:c>
      <x:c r="J35" s="20">
        <x:v>-25.4</x:v>
      </x:c>
      <x:c r="K35" s="20">
        <x:v>67.8</x:v>
      </x:c>
      <x:c r="L35" s="18">
        <x:v>0.49099999999999999</x:v>
      </x:c>
      <x:c r="M35" s="18">
        <x:v>0.57999999999999996</x:v>
      </x:c>
      <x:c r="N35" s="18">
        <x:v>6.0999999999999999E-2</x:v>
      </x:c>
      <x:c r="O35" s="18">
        <x:v>0.377</x:v>
      </x:c>
      <x:c r="P35" s="18">
        <x:v>0.01</x:v>
      </x:c>
      <x:c r="Q35" s="18">
        <x:v>0.25700000000000001</x:v>
      </x:c>
      <x:c r="R35" s="18">
        <x:v>-6.0000000000000001E-3</x:v>
      </x:c>
    </x:row>
    <x:row r="36">
      <x:c r="A36">
        <x:v>38535</x:v>
      </x:c>
      <x:c r="B36" s="21">
        <x:v>46142.75</x:v>
      </x:c>
      <x:c r="C36" s="18">
        <x:v>0.82</x:v>
      </x:c>
      <x:c r="D36" s="20">
        <x:v>6.6</x:v>
      </x:c>
      <x:c r="E36" s="20">
        <x:v>15.7</x:v>
      </x:c>
      <x:c r="F36" s="18">
        <x:v>0.14000000000000001</x:v>
      </x:c>
      <x:c r="G36" s="18">
        <x:v>6.9999999999999993E-3</x:v>
      </x:c>
      <x:c r="H36" s="19">
        <x:v>14000000</x:v>
      </x:c>
      <x:c r="I36" s="18">
        <x:v>-0.05</x:v>
      </x:c>
      <x:c r="J36" s="20">
        <x:v>22.3</x:v>
      </x:c>
      <x:c r="K36" s="20">
        <x:v>51.2</x:v>
      </x:c>
      <x:c r="L36" s="18">
        <x:v>0.47700000000000004</x:v>
      </x:c>
      <x:c r="M36" s="18">
        <x:v>0.5</x:v>
      </x:c>
      <x:c r="N36" s="18">
        <x:v>0.127</x:v>
      </x:c>
      <x:c r="O36" s="18">
        <x:v>0.33</x:v>
      </x:c>
      <x:c r="P36" s="18">
        <x:v>-3.9E-2</x:v>
      </x:c>
      <x:c r="Q36" s="18">
        <x:v>0.312</x:v>
      </x:c>
      <x:c r="R36" s="18">
        <x:v>2.5000000000000001E-2</x:v>
      </x:c>
      <x:c r="S36" t="s">
        <x:v>25</x:v>
      </x:c>
      <x:c r="T36" t="s">
        <x:v>26</x:v>
      </x:c>
    </x:row>
    <x:row r="37">
      <x:c r="A37">
        <x:v>38546</x:v>
      </x:c>
      <x:c r="B37" s="21">
        <x:v>46142.75</x:v>
      </x:c>
      <x:c r="C37" s="18">
        <x:v>0.23</x:v>
      </x:c>
      <x:c r="D37" s="20">
        <x:v>6.8</x:v>
      </x:c>
      <x:c r="E37" s="20">
        <x:v>16.3</x:v>
      </x:c>
      <x:c r="F37" s="18">
        <x:v>0.14400000000000002</x:v>
      </x:c>
      <x:c r="G37" s="18">
        <x:v>0</x:v>
      </x:c>
      <x:c r="H37" s="19">
        <x:v>8500000</x:v>
      </x:c>
      <x:c r="I37" s="18">
        <x:v>-3.7000000000000005E-2</x:v>
      </x:c>
      <x:c r="J37" s="20">
        <x:v>-42</x:v>
      </x:c>
      <x:c r="K37" s="20">
        <x:v>67.2</x:v>
      </x:c>
      <x:c r="L37" s="18">
        <x:v>0.52600000000000002</x:v>
      </x:c>
      <x:c r="M37" s="18">
        <x:v>0.56999999999999995</x:v>
      </x:c>
      <x:c r="N37" s="18">
        <x:v>0.13</x:v>
      </x:c>
      <x:c r="O37" s="18">
        <x:v>0.35600000000000004</x:v>
      </x:c>
      <x:c r="P37" s="18">
        <x:v>-2.2000000000000002E-2</x:v>
      </x:c>
      <x:c r="Q37" s="18">
        <x:v>0.24199999999999999</x:v>
      </x:c>
      <x:c r="R37" s="18">
        <x:v>0.10099999999999999</x:v>
      </x:c>
    </x:row>
    <x:row r="38">
      <x:c r="A38">
        <x:v>38561</x:v>
      </x:c>
      <x:c r="B38" s="21">
        <x:v>46142.75</x:v>
      </x:c>
      <x:c r="C38" s="18">
        <x:v>0.498</x:v>
      </x:c>
      <x:c r="D38" s="20">
        <x:v>7.1</x:v>
      </x:c>
      <x:c r="E38" s="20">
        <x:v>15.6</x:v>
      </x:c>
      <x:c r="F38" s="18">
        <x:v>0.14199999999999999</x:v>
      </x:c>
      <x:c r="G38" s="18">
        <x:v>5.0000000000000001E-3</x:v>
      </x:c>
      <x:c r="H38" s="19">
        <x:v>9000000</x:v>
      </x:c>
      <x:c r="I38" s="18">
        <x:v>-7.2000000000000008E-2</x:v>
      </x:c>
      <x:c r="J38" s="20">
        <x:v>-29.9</x:v>
      </x:c>
      <x:c r="K38" s="20">
        <x:v>59.9</x:v>
      </x:c>
      <x:c r="L38" s="18">
        <x:v>0.44799999999999995</x:v>
      </x:c>
      <x:c r="M38" s="18">
        <x:v>0.56000000000000005</x:v>
      </x:c>
      <x:c r="N38" s="18">
        <x:v>5.7999999999999996E-2</x:v>
      </x:c>
      <x:c r="O38" s="18">
        <x:v>0.34899999999999998</x:v>
      </x:c>
      <x:c r="P38" s="18">
        <x:v>-4.0000000000000001E-3</x:v>
      </x:c>
      <x:c r="Q38" s="18">
        <x:v>0.24100000000000002</x:v>
      </x:c>
      <x:c r="R38" s="18">
        <x:v>3.0000000000000001E-3</x:v>
      </x:c>
    </x:row>
    <x:row r="39">
      <x:c r="A39">
        <x:v>38590</x:v>
      </x:c>
      <x:c r="B39" s="21">
        <x:v>46142.75</x:v>
      </x:c>
      <x:c r="C39" s="18">
        <x:v>0.26899999999999996</x:v>
      </x:c>
      <x:c r="D39" s="20">
        <x:v>6.4</x:v>
      </x:c>
      <x:c r="E39" s="20">
        <x:v>14.5</x:v>
      </x:c>
      <x:c r="F39" s="18">
        <x:v>0.14400000000000002</x:v>
      </x:c>
      <x:c r="G39" s="18">
        <x:v>9.0000000000000011E-3</x:v>
      </x:c>
      <x:c r="H39" s="19">
        <x:v>7600000</x:v>
      </x:c>
      <x:c r="I39" s="18">
        <x:v>-0.121</x:v>
      </x:c>
      <x:c r="J39" s="20">
        <x:v>-8.4</x:v>
      </x:c>
      <x:c r="K39" s="20">
        <x:v>67.3</x:v>
      </x:c>
      <x:c r="L39" s="18">
        <x:v>0.51500000000000001</x:v>
      </x:c>
      <x:c r="M39" s="18">
        <x:v>0.59</x:v>
      </x:c>
      <x:c r="N39" s="18">
        <x:v>7.5999999999999998E-2</x:v>
      </x:c>
      <x:c r="O39" s="18">
        <x:v>0.33899999999999997</x:v>
      </x:c>
      <x:c r="P39" s="18">
        <x:v>-1.2E-2</x:v>
      </x:c>
      <x:c r="Q39" s="18">
        <x:v>0.25600000000000001</x:v>
      </x:c>
      <x:c r="R39" s="18">
        <x:v>-5.0000000000000001E-3</x:v>
      </x:c>
    </x:row>
    <x:row r="40">
      <x:c r="A40">
        <x:v>38604</x:v>
      </x:c>
      <x:c r="B40" s="21">
        <x:v>46142.75</x:v>
      </x:c>
      <x:c r="C40" s="18">
        <x:v>0.23699999999999999</x:v>
      </x:c>
      <x:c r="D40" s="20">
        <x:v>5.8</x:v>
      </x:c>
      <x:c r="E40" s="20">
        <x:v>15.2</x:v>
      </x:c>
      <x:c r="F40" s="18">
        <x:v>0.14499999999999999</x:v>
      </x:c>
      <x:c r="G40" s="18">
        <x:v>1.7000000000000001E-2</x:v>
      </x:c>
      <x:c r="H40" s="19">
        <x:v>8100000</x:v>
      </x:c>
      <x:c r="I40" s="18">
        <x:v>-0.16899999999999998</x:v>
      </x:c>
      <x:c r="J40" s="20">
        <x:v>-55.8</x:v>
      </x:c>
      <x:c r="K40" s="20">
        <x:v>81.400000000000006</x:v>
      </x:c>
      <x:c r="L40" s="18">
        <x:v>0.64</x:v>
      </x:c>
      <x:c r="M40" s="18">
        <x:v>0.65</x:v>
      </x:c>
      <x:c r="N40" s="18">
        <x:v>8.5999999999999993E-2</x:v>
      </x:c>
      <x:c r="O40" s="18">
        <x:v>0.36299999999999999</x:v>
      </x:c>
      <x:c r="P40" s="18">
        <x:v>-2E-3</x:v>
      </x:c>
      <x:c r="Q40" s="18">
        <x:v>0.22399999999999998</x:v>
      </x:c>
      <x:c r="R40" s="18">
        <x:v>-4.7E-2</x:v>
      </x:c>
    </x:row>
    <x:row r="41">
      <x:c r="A41">
        <x:v>38606</x:v>
      </x:c>
      <x:c r="B41" s="21">
        <x:v>46142.75</x:v>
      </x:c>
      <x:c r="C41" s="18">
        <x:v>0.27600000000000002</x:v>
      </x:c>
      <x:c r="D41" s="20">
        <x:v>6.8</x:v>
      </x:c>
      <x:c r="E41" s="20">
        <x:v>16.399999999999999</x:v>
      </x:c>
      <x:c r="F41" s="18">
        <x:v>0.14400000000000002</x:v>
      </x:c>
      <x:c r="G41" s="18">
        <x:v>-2E-3</x:v>
      </x:c>
      <x:c r="H41" s="19">
        <x:v>9300000</x:v>
      </x:c>
      <x:c r="I41" s="18">
        <x:v>1E-3</x:v>
      </x:c>
      <x:c r="J41" s="20">
        <x:v>36.6</x:v>
      </x:c>
      <x:c r="K41" s="20">
        <x:v>72.099999999999994</x:v>
      </x:c>
      <x:c r="L41" s="18">
        <x:v>0.46899999999999997</x:v>
      </x:c>
      <x:c r="M41" s="18">
        <x:v>0.65</x:v>
      </x:c>
      <x:c r="N41" s="18">
        <x:v>7.2999999999999995E-2</x:v>
      </x:c>
      <x:c r="O41" s="18">
        <x:v>0.371</x:v>
      </x:c>
      <x:c r="P41" s="18">
        <x:v>-3.0000000000000001E-3</x:v>
      </x:c>
      <x:c r="Q41" s="18">
        <x:v>0.24199999999999999</x:v>
      </x:c>
      <x:c r="R41" s="18">
        <x:v>2E-3</x:v>
      </x:c>
    </x:row>
    <x:row r="42">
      <x:c r="A42">
        <x:v>38651</x:v>
      </x:c>
      <x:c r="B42" s="21">
        <x:v>46142.75</x:v>
      </x:c>
      <x:c r="C42" s="18">
        <x:v>0.27600000000000002</x:v>
      </x:c>
      <x:c r="D42" s="20">
        <x:v>6.6</x:v>
      </x:c>
      <x:c r="E42" s="20">
        <x:v>15.9</x:v>
      </x:c>
      <x:c r="F42" s="18">
        <x:v>0.13900000000000001</x:v>
      </x:c>
      <x:c r="G42" s="18">
        <x:v>-6.0000000000000001E-3</x:v>
      </x:c>
      <x:c r="H42" s="19">
        <x:v>9200000</x:v>
      </x:c>
      <x:c r="I42" s="18">
        <x:v>-0.06</x:v>
      </x:c>
      <x:c r="J42" s="20">
        <x:v>-19.600000000000001</x:v>
      </x:c>
      <x:c r="K42" s="20">
        <x:v>70</x:v>
      </x:c>
      <x:c r="L42" s="18">
        <x:v>0.48200000000000004</x:v>
      </x:c>
      <x:c r="M42" s="18">
        <x:v>0.55000000000000004</x:v>
      </x:c>
      <x:c r="N42" s="18">
        <x:v>8.5000000000000006E-2</x:v>
      </x:c>
      <x:c r="O42" s="18">
        <x:v>0.375</x:v>
      </x:c>
      <x:c r="P42" s="18">
        <x:v>3.7999999999999999E-2</x:v>
      </x:c>
      <x:c r="Q42" s="18">
        <x:v>0.23399999999999999</x:v>
      </x:c>
      <x:c r="R42" s="18">
        <x:v>-4.2000000000000003E-2</x:v>
      </x:c>
    </x:row>
    <x:row r="43">
      <x:c r="A43">
        <x:v>38656</x:v>
      </x:c>
      <x:c r="B43" s="21">
        <x:v>46142.75</x:v>
      </x:c>
      <x:c r="C43" s="18">
        <x:v>0.47200000000000003</x:v>
      </x:c>
      <x:c r="D43" s="20">
        <x:v>5.3</x:v>
      </x:c>
      <x:c r="E43" s="20">
        <x:v>12.8</x:v>
      </x:c>
      <x:c r="F43" s="18">
        <x:v>0.16399999999999998</x:v>
      </x:c>
      <x:c r="G43" s="18">
        <x:v>1.9E-2</x:v>
      </x:c>
      <x:c r="H43" s="19">
        <x:v>10300000</x:v>
      </x:c>
      <x:c r="I43" s="18">
        <x:v>-0.17100000000000001</x:v>
      </x:c>
      <x:c r="J43" s="20">
        <x:v>-140.80000000000001</x:v>
      </x:c>
      <x:c r="K43" s="20">
        <x:v>73.7</x:v>
      </x:c>
      <x:c r="L43" s="18">
        <x:v>0.56399999999999995</x:v>
      </x:c>
      <x:c r="M43" s="18">
        <x:v>0.62</x:v>
      </x:c>
      <x:c r="N43" s="18">
        <x:v>0.14800000000000002</x:v>
      </x:c>
      <x:c r="O43" s="18">
        <x:v>0.34899999999999998</x:v>
      </x:c>
      <x:c r="P43" s="18">
        <x:v>-9.0000000000000011E-3</x:v>
      </x:c>
      <x:c r="Q43" s="18">
        <x:v>0.20100000000000001</x:v>
      </x:c>
      <x:c r="R43" s="18">
        <x:v>-0.05</x:v>
      </x:c>
      <x:c r="S43" t="s">
        <x:v>27</x:v>
      </x:c>
      <x:c r="T43" t="s">
        <x:v>28</x:v>
      </x:c>
    </x:row>
    <x:row r="44">
      <x:c r="A44">
        <x:v>38661</x:v>
      </x:c>
      <x:c r="B44" s="21">
        <x:v>46142.75</x:v>
      </x:c>
      <x:c r="C44" s="18">
        <x:v>0.23499999999999999</x:v>
      </x:c>
      <x:c r="D44" s="20">
        <x:v>6</x:v>
      </x:c>
      <x:c r="E44" s="20">
        <x:v>14.9</x:v>
      </x:c>
      <x:c r="F44" s="18">
        <x:v>0.156</x:v>
      </x:c>
      <x:c r="G44" s="18">
        <x:v>-6.0000000000000001E-3</x:v>
      </x:c>
      <x:c r="H44" s="19">
        <x:v>6000000</x:v>
      </x:c>
      <x:c r="I44" s="18">
        <x:v>-2.7000000000000003E-2</x:v>
      </x:c>
      <x:c r="J44" s="20">
        <x:v>-24</x:v>
      </x:c>
      <x:c r="K44" s="20">
        <x:v>65.5</x:v>
      </x:c>
      <x:c r="L44" s="18">
        <x:v>0.55200000000000005</x:v>
      </x:c>
      <x:c r="M44" s="18">
        <x:v>0.66</x:v>
      </x:c>
      <x:c r="N44" s="18">
        <x:v>0.155</x:v>
      </x:c>
      <x:c r="O44" s="18">
        <x:v>0.35899999999999999</x:v>
      </x:c>
      <x:c r="P44" s="18">
        <x:v>3.0000000000000001E-3</x:v>
      </x:c>
      <x:c r="Q44" s="18">
        <x:v>0.17699999999999999</x:v>
      </x:c>
      <x:c r="R44" s="18">
        <x:v>-3.0000000000000001E-3</x:v>
      </x:c>
    </x:row>
    <x:row r="45">
      <x:c r="A45">
        <x:v>38674</x:v>
      </x:c>
      <x:c r="B45" s="21">
        <x:v>46142.75</x:v>
      </x:c>
      <x:c r="C45" s="18">
        <x:v>0.55299999999999994</x:v>
      </x:c>
      <x:c r="D45" s="20">
        <x:v>5.8</x:v>
      </x:c>
      <x:c r="E45" s="20">
        <x:v>13.9</x:v>
      </x:c>
      <x:c r="F45" s="18">
        <x:v>0.184</x:v>
      </x:c>
      <x:c r="G45" s="18">
        <x:v>2.5000000000000001E-2</x:v>
      </x:c>
      <x:c r="H45" s="19">
        <x:v>4900000</x:v>
      </x:c>
      <x:c r="I45" s="18">
        <x:v>-0.17600000000000002</x:v>
      </x:c>
      <x:c r="J45" s="20">
        <x:v>-52.4</x:v>
      </x:c>
      <x:c r="K45" s="20">
        <x:v>70.8</x:v>
      </x:c>
      <x:c r="L45" s="18">
        <x:v>0.45500000000000002</x:v>
      </x:c>
      <x:c r="M45" s="18">
        <x:v>0.61</x:v>
      </x:c>
      <x:c r="N45" s="18">
        <x:v>0.13400000000000001</x:v>
      </x:c>
      <x:c r="O45" s="18">
        <x:v>0.37</x:v>
      </x:c>
      <x:c r="P45" s="18">
        <x:v>1.1000000000000001E-2</x:v>
      </x:c>
      <x:c r="Q45" s="18">
        <x:v>0.18</x:v>
      </x:c>
      <x:c r="R45" s="18">
        <x:v>-3.7999999999999999E-2</x:v>
      </x:c>
    </x:row>
    <x:row r="46">
      <x:c r="A46">
        <x:v>38677</x:v>
      </x:c>
      <x:c r="B46" s="21">
        <x:v>46142.75</x:v>
      </x:c>
      <x:c r="C46" s="18">
        <x:v>0.23399999999999999</x:v>
      </x:c>
      <x:c r="D46" s="20">
        <x:v>7.5</x:v>
      </x:c>
      <x:c r="E46" s="20">
        <x:v>17.600000000000001</x:v>
      </x:c>
      <x:c r="F46" s="18">
        <x:v>0.152</x:v>
      </x:c>
      <x:c r="G46" s="18">
        <x:v>1.8000000000000002E-2</x:v>
      </x:c>
      <x:c r="H46" s="19">
        <x:v>7000000</x:v>
      </x:c>
      <x:c r="I46" s="18">
        <x:v>-0.13800000000000001</x:v>
      </x:c>
      <x:c r="J46" s="20">
        <x:v>-29.4</x:v>
      </x:c>
      <x:c r="K46" s="20">
        <x:v>74.599999999999994</x:v>
      </x:c>
      <x:c r="L46" s="18">
        <x:v>0.66099999999999992</x:v>
      </x:c>
      <x:c r="M46" s="18">
        <x:v>0.64</x:v>
      </x:c>
      <x:c r="N46" s="18">
        <x:v>0.17399999999999999</x:v>
      </x:c>
      <x:c r="O46" s="18">
        <x:v>0.40100000000000002</x:v>
      </x:c>
      <x:c r="P46" s="18">
        <x:v>2.1000000000000001E-2</x:v>
      </x:c>
      <x:c r="Q46" s="18">
        <x:v>0.17499999999999999</x:v>
      </x:c>
      <x:c r="R46" s="18">
        <x:v>-4.8000000000000001E-2</x:v>
      </x:c>
    </x:row>
    <x:row r="47">
      <x:c r="A47">
        <x:v>38694</x:v>
      </x:c>
      <x:c r="B47" s="21">
        <x:v>46142.75</x:v>
      </x:c>
      <x:c r="C47" s="18">
        <x:v>0.16200000000000001</x:v>
      </x:c>
      <x:c r="D47" s="20">
        <x:v>5.9</x:v>
      </x:c>
      <x:c r="E47" s="20">
        <x:v>14.7</x:v>
      </x:c>
      <x:c r="F47" s="18">
        <x:v>0.14099999999999999</x:v>
      </x:c>
      <x:c r="G47" s="18">
        <x:v>1E-3</x:v>
      </x:c>
      <x:c r="H47" s="19">
        <x:v>7900000</x:v>
      </x:c>
      <x:c r="I47" s="18">
        <x:v>0.03</x:v>
      </x:c>
      <x:c r="J47" s="20">
        <x:v>-7.8</x:v>
      </x:c>
      <x:c r="K47" s="20">
        <x:v>70.3</x:v>
      </x:c>
      <x:c r="L47" s="18">
        <x:v>0.51400000000000001</x:v>
      </x:c>
      <x:c r="M47" s="18">
        <x:v>0.66</x:v>
      </x:c>
      <x:c r="N47" s="18">
        <x:v>3.3000000000000002E-2</x:v>
      </x:c>
      <x:c r="O47" s="18">
        <x:v>0.35</x:v>
      </x:c>
      <x:c r="P47" s="18">
        <x:v>-1.1000000000000001E-2</x:v>
      </x:c>
      <x:c r="Q47" s="18">
        <x:v>0.21199999999999999</x:v>
      </x:c>
      <x:c r="R47" s="18">
        <x:v>2.7000000000000003E-2</x:v>
      </x:c>
    </x:row>
    <x:row r="48">
      <x:c r="A48">
        <x:v>38695</x:v>
      </x:c>
      <x:c r="B48" s="21">
        <x:v>46142.75</x:v>
      </x:c>
      <x:c r="C48" s="18">
        <x:v>0.375</x:v>
      </x:c>
      <x:c r="D48" s="20">
        <x:v>7.6</x:v>
      </x:c>
      <x:c r="E48" s="20">
        <x:v>15.3</x:v>
      </x:c>
      <x:c r="F48" s="18">
        <x:v>0.14499999999999999</x:v>
      </x:c>
      <x:c r="G48" s="18">
        <x:v>-8.0000000000000002E-3</x:v>
      </x:c>
      <x:c r="H48" s="19">
        <x:v>7800000</x:v>
      </x:c>
      <x:c r="I48" s="18">
        <x:v>-5.0999999999999997E-2</x:v>
      </x:c>
      <x:c r="J48" s="20">
        <x:v>6.5</x:v>
      </x:c>
      <x:c r="K48" s="20">
        <x:v>56.7</x:v>
      </x:c>
      <x:c r="L48" s="18">
        <x:v>0.39399999999999996</x:v>
      </x:c>
      <x:c r="M48" s="18">
        <x:v>0.54</x:v>
      </x:c>
      <x:c r="N48" s="18">
        <x:v>6.3E-2</x:v>
      </x:c>
      <x:c r="O48" s="18">
        <x:v>0.379</x:v>
      </x:c>
      <x:c r="P48" s="18">
        <x:v>-1E-3</x:v>
      </x:c>
      <x:c r="Q48" s="18">
        <x:v>0.21600000000000003</x:v>
      </x:c>
      <x:c r="R48" s="18">
        <x:v>3.0000000000000001E-3</x:v>
      </x:c>
    </x:row>
    <x:row r="49">
      <x:c r="A49">
        <x:v>38719</x:v>
      </x:c>
      <x:c r="B49" s="21">
        <x:v>46142.75</x:v>
      </x:c>
      <x:c r="C49" s="18">
        <x:v>0.185</x:v>
      </x:c>
      <x:c r="D49" s="20">
        <x:v>6.6</x:v>
      </x:c>
      <x:c r="E49" s="20">
        <x:v>15.9</x:v>
      </x:c>
      <x:c r="F49" s="18">
        <x:v>0.156</x:v>
      </x:c>
      <x:c r="G49" s="18">
        <x:v>-3.0000000000000001E-3</x:v>
      </x:c>
      <x:c r="H49" s="19">
        <x:v>6200000</x:v>
      </x:c>
      <x:c r="I49" s="18">
        <x:v>-6.0999999999999999E-2</x:v>
      </x:c>
      <x:c r="J49" s="20">
        <x:v>-22.9</x:v>
      </x:c>
      <x:c r="K49" s="20">
        <x:v>79</x:v>
      </x:c>
      <x:c r="L49" s="18">
        <x:v>0.6</x:v>
      </x:c>
      <x:c r="M49" s="18">
        <x:v>0.72</x:v>
      </x:c>
      <x:c r="N49" s="18">
        <x:v>0.16200000000000001</x:v>
      </x:c>
      <x:c r="O49" s="18">
        <x:v>0.39600000000000002</x:v>
      </x:c>
      <x:c r="P49" s="18">
        <x:v>2.1000000000000001E-2</x:v>
      </x:c>
      <x:c r="Q49" s="18">
        <x:v>0.19399999999999998</x:v>
      </x:c>
      <x:c r="R49" s="18">
        <x:v>-2.3E-2</x:v>
      </x:c>
    </x:row>
    <x:row r="50">
      <x:c r="A50">
        <x:v>38770</x:v>
      </x:c>
      <x:c r="B50" s="21">
        <x:v>46142.75</x:v>
      </x:c>
      <x:c r="C50" s="18">
        <x:v>0.127</x:v>
      </x:c>
      <x:c r="D50" s="20">
        <x:v>5.7</x:v>
      </x:c>
      <x:c r="E50" s="20">
        <x:v>13.7</x:v>
      </x:c>
      <x:c r="F50" s="18">
        <x:v>0.20800000000000002</x:v>
      </x:c>
      <x:c r="G50" s="18">
        <x:v>2.1000000000000001E-2</x:v>
      </x:c>
      <x:c r="H50" s="19">
        <x:v>4200000</x:v>
      </x:c>
      <x:c r="I50" s="18">
        <x:v>-0.16</x:v>
      </x:c>
      <x:c r="J50" s="20">
        <x:v>-19</x:v>
      </x:c>
      <x:c r="K50" s="20">
        <x:v>81.7</x:v>
      </x:c>
      <x:c r="L50" s="18">
        <x:v>0.56600000000000006</x:v>
      </x:c>
      <x:c r="M50" s="18">
        <x:v>0.64</x:v>
      </x:c>
      <x:c r="N50" s="18">
        <x:v>6.7000000000000004E-2</x:v>
      </x:c>
      <x:c r="O50" s="18">
        <x:v>0.39500000000000002</x:v>
      </x:c>
      <x:c r="P50" s="18">
        <x:v>6.0000000000000001E-3</x:v>
      </x:c>
      <x:c r="Q50" s="18">
        <x:v>0.13300000000000001</x:v>
      </x:c>
      <x:c r="R50" s="18">
        <x:v>-2.8999999999999998E-2</x:v>
      </x:c>
    </x:row>
    <x:row r="51">
      <x:c r="A51">
        <x:v>38792</x:v>
      </x:c>
      <x:c r="B51" s="21">
        <x:v>46142.75</x:v>
      </x:c>
      <x:c r="C51" s="18">
        <x:v>0.66400000000000003</x:v>
      </x:c>
      <x:c r="D51" s="20">
        <x:v>5.8</x:v>
      </x:c>
      <x:c r="E51" s="20">
        <x:v>13.2</x:v>
      </x:c>
      <x:c r="F51" s="18">
        <x:v>0.17899999999999999</x:v>
      </x:c>
      <x:c r="G51" s="18">
        <x:v>-5.0000000000000001E-3</x:v>
      </x:c>
      <x:c r="H51" s="19">
        <x:v>4800000</x:v>
      </x:c>
      <x:c r="I51" s="18">
        <x:v>-8.8000000000000009E-2</x:v>
      </x:c>
      <x:c r="J51" s="20">
        <x:v>-27</x:v>
      </x:c>
      <x:c r="K51" s="20">
        <x:v>68.099999999999994</x:v>
      </x:c>
      <x:c r="L51" s="18">
        <x:v>0.54</x:v>
      </x:c>
      <x:c r="M51" s="18">
        <x:v>0.63</x:v>
      </x:c>
      <x:c r="N51" s="18">
        <x:v>7.9000000000000001E-2</x:v>
      </x:c>
      <x:c r="O51" s="18">
        <x:v>0.40200000000000002</x:v>
      </x:c>
      <x:c r="P51" s="18">
        <x:v>9.0000000000000011E-3</x:v>
      </x:c>
      <x:c r="Q51" s="18">
        <x:v>0.14400000000000002</x:v>
      </x:c>
      <x:c r="R51" s="18">
        <x:v>1.3000000000000001E-2</x:v>
      </x:c>
    </x:row>
    <x:row r="52">
      <x:c r="A52">
        <x:v>38811</x:v>
      </x:c>
      <x:c r="B52" s="21">
        <x:v>46142.75</x:v>
      </x:c>
      <x:c r="C52" s="18">
        <x:v>0.41100000000000003</x:v>
      </x:c>
      <x:c r="D52" s="20">
        <x:v>9.6</x:v>
      </x:c>
      <x:c r="E52" s="20">
        <x:v>24.2</x:v>
      </x:c>
      <x:c r="F52" s="18">
        <x:v>0.129</x:v>
      </x:c>
      <x:c r="G52" s="18">
        <x:v>-2E-3</x:v>
      </x:c>
      <x:c r="H52" s="19">
        <x:v>7900000</x:v>
      </x:c>
      <x:c r="I52" s="18">
        <x:v>-8.6999999999999994E-2</x:v>
      </x:c>
      <x:c r="J52" s="20">
        <x:v>-38.200000000000003</x:v>
      </x:c>
      <x:c r="K52" s="20">
        <x:v>58.6</x:v>
      </x:c>
      <x:c r="L52" s="18">
        <x:v>0.40899999999999997</x:v>
      </x:c>
      <x:c r="M52" s="18">
        <x:v>0.56999999999999995</x:v>
      </x:c>
      <x:c r="N52" s="18">
        <x:v>0.13900000000000001</x:v>
      </x:c>
      <x:c r="O52" s="18">
        <x:v>0.376</x:v>
      </x:c>
      <x:c r="P52" s="18">
        <x:v>4.4999999999999998E-2</x:v>
      </x:c>
      <x:c r="Q52" s="18">
        <x:v>0.23499999999999999</x:v>
      </x:c>
      <x:c r="R52" s="18">
        <x:v>-4.4000000000000004E-2</x:v>
      </x:c>
    </x:row>
    <x:row r="53">
      <x:c r="A53">
        <x:v>38837</x:v>
      </x:c>
      <x:c r="B53" s="21">
        <x:v>46142.75</x:v>
      </x:c>
      <x:c r="C53" s="18">
        <x:v>0.14400000000000002</x:v>
      </x:c>
      <x:c r="D53" s="20">
        <x:v>7.5</x:v>
      </x:c>
      <x:c r="E53" s="20">
        <x:v>17.600000000000001</x:v>
      </x:c>
      <x:c r="F53" s="18">
        <x:v>0.14699999999999999</x:v>
      </x:c>
      <x:c r="G53" s="18">
        <x:v>1.2E-2</x:v>
      </x:c>
      <x:c r="H53" s="19">
        <x:v>6200000</x:v>
      </x:c>
      <x:c r="I53" s="18">
        <x:v>-8.3000000000000004E-2</x:v>
      </x:c>
      <x:c r="J53" s="20">
        <x:v>-23.5</x:v>
      </x:c>
      <x:c r="K53" s="20">
        <x:v>68.8</x:v>
      </x:c>
      <x:c r="L53" s="18">
        <x:v>0.51100000000000001</x:v>
      </x:c>
      <x:c r="M53" s="18">
        <x:v>0.61</x:v>
      </x:c>
      <x:c r="N53" s="18">
        <x:v>0.17899999999999999</x:v>
      </x:c>
      <x:c r="O53" s="18">
        <x:v>0.35899999999999999</x:v>
      </x:c>
      <x:c r="P53" s="18">
        <x:v>1.9E-2</x:v>
      </x:c>
      <x:c r="Q53" s="18">
        <x:v>0.20100000000000001</x:v>
      </x:c>
      <x:c r="R53" s="18">
        <x:v>-2.4E-2</x:v>
      </x:c>
    </x:row>
    <x:row r="54">
      <x:c r="A54">
        <x:v>38845</x:v>
      </x:c>
      <x:c r="B54" s="21">
        <x:v>46142.75</x:v>
      </x:c>
      <x:c r="C54" s="18">
        <x:v>0.64400000000000002</x:v>
      </x:c>
      <x:c r="D54" s="20">
        <x:v>6.1</x:v>
      </x:c>
      <x:c r="E54" s="20">
        <x:v>13.4</x:v>
      </x:c>
      <x:c r="F54" s="18">
        <x:v>0.182</x:v>
      </x:c>
      <x:c r="G54" s="18">
        <x:v>1.1000000000000001E-2</x:v>
      </x:c>
      <x:c r="H54" s="19">
        <x:v>4400000</x:v>
      </x:c>
      <x:c r="I54" s="18">
        <x:v>-0.153</x:v>
      </x:c>
      <x:c r="J54" s="20">
        <x:v>112.1</x:v>
      </x:c>
      <x:c r="K54" s="20">
        <x:v>73.400000000000006</x:v>
      </x:c>
      <x:c r="L54" s="18">
        <x:v>0.48599999999999999</x:v>
      </x:c>
      <x:c r="M54" s="18">
        <x:v>0.56000000000000005</x:v>
      </x:c>
      <x:c r="N54" s="18">
        <x:v>6.9000000000000006E-2</x:v>
      </x:c>
      <x:c r="O54" s="18">
        <x:v>0.373</x:v>
      </x:c>
      <x:c r="P54" s="18">
        <x:v>1.4999999999999999E-2</x:v>
      </x:c>
      <x:c r="Q54" s="18">
        <x:v>0.193</x:v>
      </x:c>
      <x:c r="R54" s="18">
        <x:v>-3.7999999999999999E-2</x:v>
      </x:c>
    </x:row>
    <x:row r="55">
      <x:c r="A55">
        <x:v>38859</x:v>
      </x:c>
      <x:c r="B55" s="21">
        <x:v>46142.75</x:v>
      </x:c>
      <x:c r="C55" s="18">
        <x:v>0.317</x:v>
      </x:c>
      <x:c r="D55" s="20">
        <x:v>5.5</x:v>
      </x:c>
      <x:c r="E55" s="20">
        <x:v>13.1</x:v>
      </x:c>
      <x:c r="F55" s="18">
        <x:v>0.17300000000000001</x:v>
      </x:c>
      <x:c r="G55" s="18">
        <x:v>3.5000000000000003E-2</x:v>
      </x:c>
      <x:c r="H55" s="19">
        <x:v>6500000</x:v>
      </x:c>
      <x:c r="I55" s="18">
        <x:v>-0.214</x:v>
      </x:c>
      <x:c r="J55" s="20">
        <x:v>-28.7</x:v>
      </x:c>
      <x:c r="K55" s="20">
        <x:v>62.5</x:v>
      </x:c>
      <x:c r="L55" s="18">
        <x:v>0.45</x:v>
      </x:c>
      <x:c r="M55" s="18">
        <x:v>0.56000000000000005</x:v>
      </x:c>
      <x:c r="N55" s="18">
        <x:v>4.5999999999999999E-2</x:v>
      </x:c>
      <x:c r="O55" s="18">
        <x:v>0.35899999999999999</x:v>
      </x:c>
      <x:c r="P55" s="18">
        <x:v>-1.1000000000000001E-2</x:v>
      </x:c>
      <x:c r="Q55" s="18">
        <x:v>0.129</x:v>
      </x:c>
      <x:c r="R55" s="18">
        <x:v>-3.2000000000000001E-2</x:v>
      </x:c>
    </x:row>
    <x:row r="56">
      <x:c r="A56">
        <x:v>38862</x:v>
      </x:c>
      <x:c r="B56" s="21">
        <x:v>46142.75</x:v>
      </x:c>
      <x:c r="C56" s="18">
        <x:v>0.314</x:v>
      </x:c>
      <x:c r="D56" s="20">
        <x:v>7.3</x:v>
      </x:c>
      <x:c r="E56" s="20">
        <x:v>18.5</x:v>
      </x:c>
      <x:c r="F56" s="18">
        <x:v>0.13699999999999998</x:v>
      </x:c>
      <x:c r="G56" s="18">
        <x:v>6.9999999999999993E-3</x:v>
      </x:c>
      <x:c r="H56" s="19">
        <x:v>8199999.9999999991</x:v>
      </x:c>
      <x:c r="I56" s="18">
        <x:v>-7.5999999999999998E-2</x:v>
      </x:c>
      <x:c r="J56" s="20">
        <x:v>-28.9</x:v>
      </x:c>
      <x:c r="K56" s="20">
        <x:v>69.8</x:v>
      </x:c>
      <x:c r="L56" s="18">
        <x:v>0.47399999999999998</x:v>
      </x:c>
      <x:c r="M56" s="18">
        <x:v>0.65</x:v>
      </x:c>
      <x:c r="N56" s="18">
        <x:v>0.127</x:v>
      </x:c>
      <x:c r="O56" s="18">
        <x:v>0.36299999999999999</x:v>
      </x:c>
      <x:c r="P56" s="18">
        <x:v>4.0000000000000001E-3</x:v>
      </x:c>
      <x:c r="Q56" s="18">
        <x:v>0.24299999999999999</x:v>
      </x:c>
      <x:c r="R56" s="18">
        <x:v>-2.7000000000000003E-2</x:v>
      </x:c>
    </x:row>
    <x:row r="57">
      <x:c r="A57">
        <x:v>38894</x:v>
      </x:c>
      <x:c r="B57" s="21">
        <x:v>46142.75</x:v>
      </x:c>
      <x:c r="C57" s="18">
        <x:v>0.191</x:v>
      </x:c>
      <x:c r="D57" s="20">
        <x:v>6.4</x:v>
      </x:c>
      <x:c r="E57" s="20">
        <x:v>16.5</x:v>
      </x:c>
      <x:c r="F57" s="18">
        <x:v>0.15</x:v>
      </x:c>
      <x:c r="G57" s="18">
        <x:v>1.2E-2</x:v>
      </x:c>
      <x:c r="H57" s="19">
        <x:v>7100000</x:v>
      </x:c>
      <x:c r="I57" s="18">
        <x:v>-0.10400000000000001</x:v>
      </x:c>
      <x:c r="J57" s="20">
        <x:v>-11.4</x:v>
      </x:c>
      <x:c r="K57" s="20">
        <x:v>74.5</x:v>
      </x:c>
      <x:c r="L57" s="18">
        <x:v>0.46700000000000003</x:v>
      </x:c>
      <x:c r="M57" s="18">
        <x:v>0.61</x:v>
      </x:c>
      <x:c r="N57" s="18">
        <x:v>7.2999999999999995E-2</x:v>
      </x:c>
      <x:c r="O57" s="18">
        <x:v>0.36599999999999999</x:v>
      </x:c>
      <x:c r="P57" s="18">
        <x:v>4.0000000000000001E-3</x:v>
      </x:c>
      <x:c r="Q57" s="18">
        <x:v>0.21299999999999999</x:v>
      </x:c>
      <x:c r="R57" s="18">
        <x:v>-1.8000000000000002E-2</x:v>
      </x:c>
    </x:row>
    <x:row r="58">
      <x:c r="A58">
        <x:v>38903</x:v>
      </x:c>
      <x:c r="B58" s="21">
        <x:v>46142.75</x:v>
      </x:c>
      <x:c r="C58" s="18">
        <x:v>0.42100000000000004</x:v>
      </x:c>
      <x:c r="D58" s="20">
        <x:v>6.9</x:v>
      </x:c>
      <x:c r="E58" s="20">
        <x:v>16.8</x:v>
      </x:c>
      <x:c r="F58" s="18">
        <x:v>0.14099999999999999</x:v>
      </x:c>
      <x:c r="G58" s="18">
        <x:v>4.0000000000000001E-3</x:v>
      </x:c>
      <x:c r="H58" s="19">
        <x:v>8800000</x:v>
      </x:c>
      <x:c r="I58" s="18">
        <x:v>-5.4000000000000006E-2</x:v>
      </x:c>
      <x:c r="J58" s="20">
        <x:v>-24.8</x:v>
      </x:c>
      <x:c r="K58" s="20">
        <x:v>61.5</x:v>
      </x:c>
      <x:c r="L58" s="18">
        <x:v>0.44900000000000001</x:v>
      </x:c>
      <x:c r="M58" s="18">
        <x:v>0.56000000000000005</x:v>
      </x:c>
      <x:c r="N58" s="18">
        <x:v>7.8E-2</x:v>
      </x:c>
      <x:c r="O58" s="18">
        <x:v>0.379</x:v>
      </x:c>
      <x:c r="P58" s="18">
        <x:v>2.5000000000000001E-2</x:v>
      </x:c>
      <x:c r="Q58" s="18">
        <x:v>0.22699999999999998</x:v>
      </x:c>
      <x:c r="R58" s="18">
        <x:v>-4.2999999999999997E-2</x:v>
      </x:c>
    </x:row>
    <x:row r="59">
      <x:c r="A59">
        <x:v>38924</x:v>
      </x:c>
      <x:c r="B59" s="21">
        <x:v>46142.75</x:v>
      </x:c>
      <x:c r="C59" s="18">
        <x:v>8.199999999999999E-2</x:v>
      </x:c>
      <x:c r="D59" s="20">
        <x:v>5.7</x:v>
      </x:c>
      <x:c r="E59" s="20">
        <x:v>13.8</x:v>
      </x:c>
      <x:c r="F59" s="18">
        <x:v>0.161</x:v>
      </x:c>
      <x:c r="G59" s="18">
        <x:v>2E-3</x:v>
      </x:c>
      <x:c r="H59" s="19">
        <x:v>5700000</x:v>
      </x:c>
      <x:c r="I59" s="18">
        <x:v>-7.400000000000001E-2</x:v>
      </x:c>
      <x:c r="J59" s="20">
        <x:v>-15.4</x:v>
      </x:c>
      <x:c r="K59" s="20">
        <x:v>74.099999999999994</x:v>
      </x:c>
      <x:c r="L59" s="18">
        <x:v>0.55600000000000005</x:v>
      </x:c>
      <x:c r="M59" s="18">
        <x:v>0.66</x:v>
      </x:c>
      <x:c r="N59" s="18">
        <x:v>0.152</x:v>
      </x:c>
      <x:c r="O59" s="18">
        <x:v>0.379</x:v>
      </x:c>
      <x:c r="P59" s="18">
        <x:v>3.4000000000000002E-2</x:v>
      </x:c>
      <x:c r="Q59" s="18">
        <x:v>0.20300000000000001</x:v>
      </x:c>
      <x:c r="R59" s="18">
        <x:v>-4.4000000000000004E-2</x:v>
      </x:c>
    </x:row>
    <x:row r="60">
      <x:c r="A60">
        <x:v>38925</x:v>
      </x:c>
      <x:c r="B60" s="21">
        <x:v>46142.75</x:v>
      </x:c>
      <x:c r="C60" s="18">
        <x:v>0.11699999999999999</x:v>
      </x:c>
      <x:c r="D60" s="20">
        <x:v>4.2</x:v>
      </x:c>
      <x:c r="E60" s="20">
        <x:v>10.9</x:v>
      </x:c>
      <x:c r="F60" s="18">
        <x:v>0.22600000000000001</x:v>
      </x:c>
      <x:c r="G60" s="18">
        <x:v>4.0000000000000001E-3</x:v>
      </x:c>
      <x:c r="H60" s="19">
        <x:v>2900000</x:v>
      </x:c>
      <x:c r="I60" s="18">
        <x:v>-5.7000000000000002E-2</x:v>
      </x:c>
      <x:c r="J60" s="20">
        <x:v>-17.8</x:v>
      </x:c>
      <x:c r="K60" s="20">
        <x:v>77.900000000000006</x:v>
      </x:c>
      <x:c r="L60" s="18">
        <x:v>0.71099999999999997</x:v>
      </x:c>
      <x:c r="M60" s="18">
        <x:v>0.7</x:v>
      </x:c>
      <x:c r="N60" s="18">
        <x:v>0.115</x:v>
      </x:c>
      <x:c r="O60" s="18">
        <x:v>0.38400000000000001</x:v>
      </x:c>
      <x:c r="P60" s="18">
        <x:v>3.0000000000000001E-3</x:v>
      </x:c>
      <x:c r="Q60" s="18">
        <x:v>0.15</x:v>
      </x:c>
      <x:c r="R60" s="18">
        <x:v>5.5999999999999994E-2</x:v>
      </x:c>
    </x:row>
    <x:row r="61">
      <x:c r="A61">
        <x:v>38930</x:v>
      </x:c>
      <x:c r="B61" s="21">
        <x:v>46142.75</x:v>
      </x:c>
      <x:c r="C61" s="18">
        <x:v>0.54700000000000004</x:v>
      </x:c>
      <x:c r="D61" s="20">
        <x:v>6.8</x:v>
      </x:c>
      <x:c r="E61" s="20">
        <x:v>17</x:v>
      </x:c>
      <x:c r="F61" s="18">
        <x:v>0.122</x:v>
      </x:c>
      <x:c r="G61" s="18">
        <x:v>-6.3E-2</x:v>
      </x:c>
      <x:c r="H61" s="19">
        <x:v>13300000</x:v>
      </x:c>
      <x:c r="I61" s="18">
        <x:v>0.35</x:v>
      </x:c>
      <x:c r="J61" s="20">
        <x:v>-3.8</x:v>
      </x:c>
      <x:c r="K61" s="20">
        <x:v>63.1</x:v>
      </x:c>
      <x:c r="L61" s="18">
        <x:v>0.307</x:v>
      </x:c>
      <x:c r="M61" s="18">
        <x:v>0.48</x:v>
      </x:c>
      <x:c r="N61" s="18">
        <x:v>8.199999999999999E-2</x:v>
      </x:c>
      <x:c r="O61" s="18">
        <x:v>0.33600000000000002</x:v>
      </x:c>
      <x:c r="P61" s="18">
        <x:v>3.0000000000000001E-3</x:v>
      </x:c>
      <x:c r="Q61" s="18">
        <x:v>0.33</x:v>
      </x:c>
      <x:c r="R61" s="18">
        <x:v>0.111</x:v>
      </x:c>
      <x:c r="S61" t="s">
        <x:v>29</x:v>
      </x:c>
      <x:c r="T61" t="s">
        <x:v>30</x:v>
      </x:c>
    </x:row>
    <x:row r="62">
      <x:c r="A62">
        <x:v>38937</x:v>
      </x:c>
      <x:c r="B62" s="21">
        <x:v>46142.75</x:v>
      </x:c>
      <x:c r="C62" s="18">
        <x:v>8.1000000000000003E-2</x:v>
      </x:c>
      <x:c r="D62" s="20">
        <x:v>8.4</x:v>
      </x:c>
      <x:c r="E62" s="20">
        <x:v>21.3</x:v>
      </x:c>
      <x:c r="F62" s="18">
        <x:v>0.13600000000000001</x:v>
      </x:c>
      <x:c r="G62" s="18">
        <x:v>6.9999999999999993E-3</x:v>
      </x:c>
      <x:c r="H62" s="19">
        <x:v>9600000</x:v>
      </x:c>
      <x:c r="I62" s="18">
        <x:v>-3.7999999999999999E-2</x:v>
      </x:c>
      <x:c r="J62" s="20">
        <x:v>17.899999999999999</x:v>
      </x:c>
      <x:c r="K62" s="20">
        <x:v>62.5</x:v>
      </x:c>
      <x:c r="L62" s="18">
        <x:v>0.36899999999999999</x:v>
      </x:c>
      <x:c r="M62" s="18">
        <x:v>0.53</x:v>
      </x:c>
      <x:c r="N62" s="18">
        <x:v>0.10400000000000001</x:v>
      </x:c>
      <x:c r="O62" s="18">
        <x:v>0.35200000000000004</x:v>
      </x:c>
      <x:c r="P62" s="18">
        <x:v>-1.6E-2</x:v>
      </x:c>
      <x:c r="Q62" s="18">
        <x:v>0.27399999999999997</x:v>
      </x:c>
      <x:c r="R62" s="18">
        <x:v>1.4999999999999999E-2</x:v>
      </x:c>
    </x:row>
    <x:row r="63">
      <x:c r="A63">
        <x:v>38965</x:v>
      </x:c>
      <x:c r="B63" s="21">
        <x:v>46142.75</x:v>
      </x:c>
      <x:c r="C63" s="18">
        <x:v>0</x:v>
      </x:c>
      <x:c r="D63" s="20">
        <x:v>7</x:v>
      </x:c>
      <x:c r="E63" s="20">
        <x:v>15.8</x:v>
      </x:c>
      <x:c r="F63" s="18">
        <x:v>0.16500000000000001</x:v>
      </x:c>
      <x:c r="G63" s="18">
        <x:v>0.01</x:v>
      </x:c>
      <x:c r="H63" s="19">
        <x:v>5100000</x:v>
      </x:c>
      <x:c r="I63" s="18">
        <x:v>-8.199999999999999E-2</x:v>
      </x:c>
      <x:c r="J63" s="20">
        <x:v>-11.1</x:v>
      </x:c>
      <x:c r="K63" s="20">
        <x:v>74.599999999999994</x:v>
      </x:c>
      <x:c r="L63" s="18">
        <x:v>0.48200000000000004</x:v>
      </x:c>
      <x:c r="M63" s="18">
        <x:v>0.64</x:v>
      </x:c>
      <x:c r="N63" s="18">
        <x:v>0.03</x:v>
      </x:c>
      <x:c r="O63" s="18">
        <x:v>0.35899999999999999</x:v>
      </x:c>
      <x:c r="P63" s="18">
        <x:v>3.3000000000000002E-2</x:v>
      </x:c>
      <x:c r="Q63" s="18">
        <x:v>0.18899999999999997</x:v>
      </x:c>
      <x:c r="R63" s="18">
        <x:v>-5.0999999999999997E-2</x:v>
      </x:c>
    </x:row>
    <x:row r="64">
      <x:c r="A64">
        <x:v>38992</x:v>
      </x:c>
      <x:c r="B64" s="21">
        <x:v>46142.75</x:v>
      </x:c>
      <x:c r="C64" s="18">
        <x:v>0.29399999999999998</x:v>
      </x:c>
      <x:c r="D64" s="20">
        <x:v>7</x:v>
      </x:c>
      <x:c r="E64" s="20">
        <x:v>15.1</x:v>
      </x:c>
      <x:c r="F64" s="18">
        <x:v>0.14300000000000002</x:v>
      </x:c>
      <x:c r="G64" s="18">
        <x:v>-1.3000000000000001E-2</x:v>
      </x:c>
      <x:c r="H64" s="19">
        <x:v>7400000</x:v>
      </x:c>
      <x:c r="I64" s="18">
        <x:v>0.122</x:v>
      </x:c>
      <x:c r="J64" s="20">
        <x:v>8.8000000000000007</x:v>
      </x:c>
      <x:c r="K64" s="20">
        <x:v>63.6</x:v>
      </x:c>
      <x:c r="L64" s="18">
        <x:v>0.56399999999999995</x:v>
      </x:c>
      <x:c r="M64" s="18">
        <x:v>0.54</x:v>
      </x:c>
      <x:c r="N64" s="18">
        <x:v>8.8000000000000009E-2</x:v>
      </x:c>
      <x:c r="O64" s="18">
        <x:v>0.34700000000000003</x:v>
      </x:c>
      <x:c r="P64" s="18">
        <x:v>-1.8000000000000002E-2</x:v>
      </x:c>
      <x:c r="Q64" s="18">
        <x:v>0.21100000000000002</x:v>
      </x:c>
      <x:c r="R64" s="18">
        <x:v>2.3E-2</x:v>
      </x:c>
    </x:row>
    <x:row r="65">
      <x:c r="A65">
        <x:v>38995</x:v>
      </x:c>
      <x:c r="B65" s="21">
        <x:v>46142.75</x:v>
      </x:c>
      <x:c r="C65" s="18">
        <x:v>0.23199999999999998</x:v>
      </x:c>
      <x:c r="D65" s="20">
        <x:v>6.4</x:v>
      </x:c>
      <x:c r="E65" s="20">
        <x:v>15.1</x:v>
      </x:c>
      <x:c r="F65" s="18">
        <x:v>0.161</x:v>
      </x:c>
      <x:c r="G65" s="18">
        <x:v>8.0000000000000002E-3</x:v>
      </x:c>
      <x:c r="H65" s="19">
        <x:v>5300000</x:v>
      </x:c>
      <x:c r="I65" s="18">
        <x:v>-8.8000000000000009E-2</x:v>
      </x:c>
      <x:c r="J65" s="20">
        <x:v>-9.1</x:v>
      </x:c>
      <x:c r="K65" s="20">
        <x:v>75.3</x:v>
      </x:c>
      <x:c r="L65" s="18">
        <x:v>0.55700000000000005</x:v>
      </x:c>
      <x:c r="M65" s="18">
        <x:v>0.65</x:v>
      </x:c>
      <x:c r="N65" s="18">
        <x:v>8.199999999999999E-2</x:v>
      </x:c>
      <x:c r="O65" s="18">
        <x:v>0.39200000000000002</x:v>
      </x:c>
      <x:c r="P65" s="18">
        <x:v>4.0999999999999995E-2</x:v>
      </x:c>
      <x:c r="Q65" s="18">
        <x:v>0.18899999999999997</x:v>
      </x:c>
      <x:c r="R65" s="18">
        <x:v>-4.2000000000000003E-2</x:v>
      </x:c>
    </x:row>
    <x:row r="66">
      <x:c r="A66">
        <x:v>43043</x:v>
      </x:c>
      <x:c r="B66" s="21">
        <x:v>46142.75</x:v>
      </x:c>
      <x:c r="C66" s="18">
        <x:v>0.47899999999999998</x:v>
      </x:c>
      <x:c r="D66" s="20">
        <x:v>8.1999999999999993</x:v>
      </x:c>
      <x:c r="E66" s="20">
        <x:v>20.7</x:v>
      </x:c>
      <x:c r="F66" s="18">
        <x:v>0.158</x:v>
      </x:c>
      <x:c r="G66" s="18">
        <x:v>-1.1000000000000001E-2</x:v>
      </x:c>
      <x:c r="H66" s="19">
        <x:v>5100000</x:v>
      </x:c>
      <x:c r="I66" s="18">
        <x:v>-3.7999999999999999E-2</x:v>
      </x:c>
      <x:c r="J66" s="20">
        <x:v>-22.3</x:v>
      </x:c>
      <x:c r="K66" s="20">
        <x:v>80.5</x:v>
      </x:c>
      <x:c r="L66" s="18">
        <x:v>0.51400000000000001</x:v>
      </x:c>
      <x:c r="M66" s="18">
        <x:v>0.67</x:v>
      </x:c>
      <x:c r="N66" s="18">
        <x:v>0.13200000000000001</x:v>
      </x:c>
      <x:c r="O66" s="18">
        <x:v>0.35499999999999998</x:v>
      </x:c>
      <x:c r="P66" s="18">
        <x:v>-8.0000000000000002E-3</x:v>
      </x:c>
      <x:c r="Q66" s="18">
        <x:v>0.23699999999999999</x:v>
      </x:c>
      <x:c r="R66" s="18">
        <x:v>2.3E-2</x:v>
      </x:c>
    </x:row>
    <x:row r="67">
      <x:c r="A67">
        <x:v>43111</x:v>
      </x:c>
      <x:c r="B67" s="21">
        <x:v>46142.75</x:v>
      </x:c>
      <x:c r="C67" s="18">
        <x:v>2.1000000000000001E-2</x:v>
      </x:c>
      <x:c r="D67" s="20">
        <x:v>5.3</x:v>
      </x:c>
      <x:c r="E67" s="20">
        <x:v>13.3</x:v>
      </x:c>
      <x:c r="F67" s="18">
        <x:v>0.193</x:v>
      </x:c>
      <x:c r="G67" s="18">
        <x:v>6.9999999999999993E-3</x:v>
      </x:c>
      <x:c r="H67" s="19">
        <x:v>4200000</x:v>
      </x:c>
      <x:c r="I67" s="18">
        <x:v>-0.129</x:v>
      </x:c>
      <x:c r="J67" s="20">
        <x:v>201.4</x:v>
      </x:c>
      <x:c r="K67" s="20">
        <x:v>79.5</x:v>
      </x:c>
      <x:c r="L67" s="18">
        <x:v>0.57200000000000006</x:v>
      </x:c>
      <x:c r="M67" s="18">
        <x:v>0.67</x:v>
      </x:c>
      <x:c r="N67" s="18">
        <x:v>0.245</x:v>
      </x:c>
      <x:c r="O67" s="18">
        <x:v>0.40299999999999997</x:v>
      </x:c>
      <x:c r="P67" s="18">
        <x:v>6.2E-2</x:v>
      </x:c>
      <x:c r="Q67" s="18">
        <x:v>0.13699999999999998</x:v>
      </x:c>
      <x:c r="R67" s="18">
        <x:v>-0.105</x:v>
      </x:c>
    </x:row>
    <x:row r="68">
      <x:c r="A68">
        <x:v>43130</x:v>
      </x:c>
      <x:c r="B68" s="21">
        <x:v>46142.75</x:v>
      </x:c>
      <x:c r="C68" s="18">
        <x:v>0</x:v>
      </x:c>
      <x:c r="D68" s="20">
        <x:v>5.5</x:v>
      </x:c>
      <x:c r="E68" s="20">
        <x:v>13.9</x:v>
      </x:c>
      <x:c r="F68" s="18">
        <x:v>0.16399999999999998</x:v>
      </x:c>
      <x:c r="G68" s="18">
        <x:v>-0.02</x:v>
      </x:c>
      <x:c r="H68" s="19">
        <x:v>5600000</x:v>
      </x:c>
      <x:c r="I68" s="18">
        <x:v>9.9000000000000005E-2</x:v>
      </x:c>
      <x:c r="J68" s="20">
        <x:v>4.9000000000000004</x:v>
      </x:c>
      <x:c r="K68" s="20">
        <x:v>81.8</x:v>
      </x:c>
      <x:c r="L68" s="18">
        <x:v>0.67900000000000005</x:v>
      </x:c>
      <x:c r="M68" s="18">
        <x:v>0.76</x:v>
      </x:c>
      <x:c r="N68" s="18">
        <x:v>0.10800000000000001</x:v>
      </x:c>
      <x:c r="O68" s="18">
        <x:v>0.33200000000000002</x:v>
      </x:c>
      <x:c r="P68" s="18">
        <x:v>-2.7000000000000003E-2</x:v>
      </x:c>
      <x:c r="Q68" s="18">
        <x:v>0.21100000000000002</x:v>
      </x:c>
      <x:c r="R68" s="18">
        <x:v>3.3000000000000002E-2</x:v>
      </x:c>
    </x:row>
    <x:row r="69">
      <x:c r="A69">
        <x:v>43132</x:v>
      </x:c>
      <x:c r="B69" s="21">
        <x:v>46142.75</x:v>
      </x:c>
      <x:c r="C69" s="18">
        <x:v>0.36399999999999999</x:v>
      </x:c>
      <x:c r="D69" s="20">
        <x:v>5.4</x:v>
      </x:c>
      <x:c r="E69" s="20">
        <x:v>13.6</x:v>
      </x:c>
      <x:c r="F69" s="18">
        <x:v>0.16200000000000001</x:v>
      </x:c>
      <x:c r="G69" s="18">
        <x:v>-2.3E-2</x:v>
      </x:c>
      <x:c r="H69" s="19">
        <x:v>5100000</x:v>
      </x:c>
      <x:c r="I69" s="18">
        <x:v>-2.4E-2</x:v>
      </x:c>
      <x:c r="J69" s="20">
        <x:v>-19</x:v>
      </x:c>
      <x:c r="K69" s="20">
        <x:v>79.7</x:v>
      </x:c>
      <x:c r="L69" s="18">
        <x:v>0.58299999999999996</x:v>
      </x:c>
      <x:c r="M69" s="18">
        <x:v>0.67</x:v>
      </x:c>
      <x:c r="N69" s="18">
        <x:v>0.155</x:v>
      </x:c>
      <x:c r="O69" s="18">
        <x:v>0.36</x:v>
      </x:c>
      <x:c r="P69" s="18">
        <x:v>2.4E-2</x:v>
      </x:c>
      <x:c r="Q69" s="18">
        <x:v>0.19800000000000001</x:v>
      </x:c>
      <x:c r="R69" s="18">
        <x:v>2E-3</x:v>
      </x:c>
    </x:row>
    <x:row r="70">
      <x:c r="A70">
        <x:v>43152</x:v>
      </x:c>
      <x:c r="B70" s="21">
        <x:v>46142.75</x:v>
      </x:c>
      <x:c r="C70" s="18">
        <x:v>0.111</x:v>
      </x:c>
      <x:c r="D70" s="20">
        <x:v>5.8</x:v>
      </x:c>
      <x:c r="E70" s="20">
        <x:v>12.9</x:v>
      </x:c>
      <x:c r="F70" s="18">
        <x:v>0.188</x:v>
      </x:c>
      <x:c r="G70" s="18">
        <x:v>-5.7000000000000002E-2</x:v>
      </x:c>
      <x:c r="H70" s="19">
        <x:v>3700000</x:v>
      </x:c>
      <x:c r="I70" s="18">
        <x:v>7.400000000000001E-2</x:v>
      </x:c>
      <x:c r="J70" s="20">
        <x:v>226.1</x:v>
      </x:c>
      <x:c r="K70" s="20">
        <x:v>71.3</x:v>
      </x:c>
      <x:c r="L70" s="18">
        <x:v>0.57100000000000006</x:v>
      </x:c>
      <x:c r="M70" s="18">
        <x:v>0.65</x:v>
      </x:c>
      <x:c r="N70" s="18">
        <x:v>9.5000000000000001E-2</x:v>
      </x:c>
      <x:c r="O70" s="18">
        <x:v>0.38200000000000001</x:v>
      </x:c>
      <x:c r="P70" s="18">
        <x:v>5.2000000000000005E-2</x:v>
      </x:c>
      <x:c r="Q70" s="18">
        <x:v>0.08</x:v>
      </x:c>
      <x:c r="R70" s="18">
        <x:v>0.08</x:v>
      </x:c>
    </x:row>
    <x:row r="71">
      <x:c r="A71">
        <x:v>43193</x:v>
      </x:c>
      <x:c r="B71" s="21">
        <x:v>46142.75</x:v>
      </x:c>
      <x:c r="C71" s="18">
        <x:v>0</x:v>
      </x:c>
      <x:c r="D71" s="20">
        <x:v>5.8</x:v>
      </x:c>
      <x:c r="E71" s="20">
        <x:v>13.5</x:v>
      </x:c>
      <x:c r="F71" s="18">
        <x:v>0.17699999999999999</x:v>
      </x:c>
      <x:c r="G71" s="18">
        <x:v>-4.2999999999999997E-2</x:v>
      </x:c>
      <x:c r="H71" s="19">
        <x:v>3500000</x:v>
      </x:c>
      <x:c r="I71" s="18">
        <x:v>1.2E-2</x:v>
      </x:c>
      <x:c r="J71" s="20">
        <x:v>185.7</x:v>
      </x:c>
      <x:c r="K71" s="20">
        <x:v>84.1</x:v>
      </x:c>
      <x:c r="L71" s="18">
        <x:v>0.76400000000000001</x:v>
      </x:c>
      <x:c r="M71" s="18">
        <x:v>0.73</x:v>
      </x:c>
      <x:c r="N71" s="18">
        <x:v>0.06</x:v>
      </x:c>
      <x:c r="O71" s="18">
        <x:v>0.37799999999999995</x:v>
      </x:c>
      <x:c r="P71" s="18">
        <x:v>4.9000000000000002E-2</x:v>
      </x:c>
      <x:c r="Q71" s="18">
        <x:v>0.126</x:v>
      </x:c>
      <x:c r="R71" s="18">
        <x:v>-0.14899999999999999</x:v>
      </x:c>
    </x:row>
    <x:row r="72">
      <x:c r="A72">
        <x:v>43194</x:v>
      </x:c>
      <x:c r="B72" s="21">
        <x:v>46142.75</x:v>
      </x:c>
      <x:c r="C72" s="18">
        <x:v>8.5999999999999993E-2</x:v>
      </x:c>
      <x:c r="D72" s="20">
        <x:v>5.9</x:v>
      </x:c>
      <x:c r="E72" s="20">
        <x:v>12.7</x:v>
      </x:c>
      <x:c r="F72" s="18">
        <x:v>0.161</x:v>
      </x:c>
      <x:c r="G72" s="18">
        <x:v>-7.2999999999999995E-2</x:v>
      </x:c>
      <x:c r="H72" s="19">
        <x:v>3200000</x:v>
      </x:c>
      <x:c r="I72" s="18">
        <x:v>5.9000000000000004E-2</x:v>
      </x:c>
      <x:c r="J72" s="20">
        <x:v>176.9</x:v>
      </x:c>
      <x:c r="K72" s="20">
        <x:v>79.8</x:v>
      </x:c>
      <x:c r="L72" s="18">
        <x:v>0.53299999999999992</x:v>
      </x:c>
      <x:c r="M72" s="18">
        <x:v>0.72</x:v>
      </x:c>
      <x:c r="N72" s="18">
        <x:v>7.4999999999999997E-2</x:v>
      </x:c>
      <x:c r="O72" s="18">
        <x:v>0.35700000000000004</x:v>
      </x:c>
      <x:c r="P72" s="18">
        <x:v>2.7999999999999997E-2</x:v>
      </x:c>
      <x:c r="Q72" s="18">
        <x:v>0.32299999999999995</x:v>
      </x:c>
      <x:c r="R72" s="18">
        <x:v>8.8000000000000009E-2</x:v>
      </x:c>
    </x:row>
    <x:row r="73">
      <x:c r="A73">
        <x:v>43195</x:v>
      </x:c>
      <x:c r="B73" s="21">
        <x:v>46142.75</x:v>
      </x:c>
      <x:c r="C73" s="18">
        <x:v>0.25800000000000001</x:v>
      </x:c>
      <x:c r="D73" s="20">
        <x:v>6.7</x:v>
      </x:c>
      <x:c r="E73" s="20">
        <x:v>13.9</x:v>
      </x:c>
      <x:c r="F73" s="18">
        <x:v>0.17399999999999999</x:v>
      </x:c>
      <x:c r="G73" s="18">
        <x:v>-3.2000000000000001E-2</x:v>
      </x:c>
      <x:c r="H73" s="19">
        <x:v>4400000</x:v>
      </x:c>
      <x:c r="I73" s="18">
        <x:v>5.4000000000000006E-2</x:v>
      </x:c>
      <x:c r="J73" s="20">
        <x:v>250.3</x:v>
      </x:c>
      <x:c r="K73" s="20">
        <x:v>73.3</x:v>
      </x:c>
      <x:c r="L73" s="18">
        <x:v>0.48899999999999999</x:v>
      </x:c>
      <x:c r="M73" s="18">
        <x:v>0.67</x:v>
      </x:c>
      <x:c r="N73" s="18">
        <x:v>2.8999999999999998E-2</x:v>
      </x:c>
      <x:c r="O73" s="18">
        <x:v>0.32600000000000001</x:v>
      </x:c>
      <x:c r="P73" s="18">
        <x:v>-2E-3</x:v>
      </x:c>
      <x:c r="Q73" s="18">
        <x:v>0.25900000000000001</x:v>
      </x:c>
      <x:c r="R73" s="18">
        <x:v>-0.04</x:v>
      </x:c>
    </x:row>
    <x:row r="74">
      <x:c r="A74" s="15"/>
    </x:row>
    <x:row r="75">
      <x:c r="A75" s="15"/>
    </x:row>
    <x:row r="76">
      <x:c r="A76" s="15"/>
    </x:row>
    <x:row r="77">
      <x:c r="A77" s="15"/>
    </x:row>
    <x:row r="78">
      <x:c r="A78" s="15"/>
    </x:row>
    <x:row r="79">
      <x:c r="A79" s="15"/>
    </x:row>
    <x:row r="80">
      <x:c r="A80" s="15"/>
    </x:row>
    <x:row r="81">
      <x:c r="A81" s="15"/>
    </x:row>
    <x:row r="82">
      <x:c r="A82" s="15"/>
    </x:row>
    <x:row r="83">
      <x:c r="A83" s="15"/>
    </x:row>
    <x:row r="84">
      <x:c r="A84" s="15"/>
    </x:row>
    <x:row r="85">
      <x:c r="A85" s="15"/>
    </x:row>
    <x:row r="86">
      <x:c r="A86" s="15"/>
    </x:row>
    <x:row r="87">
      <x:c r="A87" s="15"/>
    </x:row>
    <x:row r="88">
      <x:c r="A88" s="15"/>
    </x:row>
    <x:row r="89">
      <x:c r="A89" s="15"/>
    </x:row>
    <x:row r="90">
      <x:c r="A90" s="15"/>
    </x:row>
    <x:row r="91">
      <x:c r="A91" s="15"/>
    </x:row>
    <x:row r="92">
      <x:c r="A92" s="15"/>
    </x:row>
    <x:row r="93">
      <x:c r="A93" s="15"/>
    </x:row>
    <x:row r="94">
      <x:c r="A94" s="15"/>
    </x:row>
    <x:row r="95">
      <x:c r="A95" s="15"/>
    </x:row>
    <x:row r="96">
      <x:c r="A96" s="15"/>
    </x:row>
    <x:row r="97">
      <x:c r="A97" s="15"/>
    </x:row>
    <x:row r="98">
      <x:c r="A98" s="15"/>
    </x:row>
    <x:row r="99">
      <x:c r="A99" s="15"/>
    </x:row>
    <x:row r="100">
      <x:c r="A100" s="15"/>
    </x:row>
    <x:row r="101">
      <x:c r="A101" s="15"/>
    </x:row>
    <x:row r="102">
      <x:c r="A102" s="15"/>
    </x:row>
    <x:row r="103">
      <x:c r="A103" s="15"/>
    </x:row>
    <x:row r="104">
      <x:c r="A104" s="15"/>
    </x:row>
    <x:row r="105">
      <x:c r="A105" s="15"/>
    </x:row>
    <x:row r="106">
      <x:c r="A106" s="15"/>
    </x:row>
    <x:row r="107">
      <x:c r="A107" s="15"/>
    </x:row>
    <x:row r="108">
      <x:c r="A108" s="15"/>
    </x:row>
    <x:row r="109">
      <x:c r="A109" s="15"/>
    </x:row>
    <x:row r="110">
      <x:c r="A110" s="15"/>
    </x:row>
    <x:row r="111">
      <x:c r="A111" s="15"/>
    </x:row>
    <x:row r="112">
      <x:c r="A112" s="15"/>
    </x:row>
    <x:row r="113">
      <x:c r="A113" s="15"/>
    </x:row>
    <x:row r="114">
      <x:c r="A114" s="15"/>
    </x:row>
    <x:row r="115">
      <x:c r="A115" s="15"/>
    </x:row>
    <x:row r="116">
      <x:c r="A116" s="15"/>
    </x:row>
    <x:row r="117">
      <x:c r="A117" s="15"/>
    </x:row>
    <x:row r="118">
      <x:c r="A118" s="15"/>
    </x:row>
    <x:row r="119">
      <x:c r="A119" s="15"/>
    </x:row>
    <x:row r="120">
      <x:c r="A120" s="15"/>
    </x:row>
    <x:row r="121">
      <x:c r="A121" s="15"/>
    </x:row>
    <x:row r="122">
      <x:c r="A122" s="15"/>
    </x:row>
    <x:row r="123">
      <x:c r="A123" s="15"/>
    </x:row>
    <x:row r="124">
      <x:c r="A124" s="15"/>
    </x:row>
    <x:row r="125">
      <x:c r="A125" s="15"/>
    </x:row>
    <x:row r="126">
      <x:c r="A126" s="15"/>
    </x:row>
    <x:row r="127">
      <x:c r="A127" s="15"/>
    </x:row>
    <x:row r="128">
      <x:c r="A128" s="15"/>
    </x:row>
    <x:row r="129">
      <x:c r="A129" s="15"/>
    </x:row>
    <x:row r="130">
      <x:c r="A130" s="15"/>
    </x:row>
    <x:row r="131">
      <x:c r="A131" s="15"/>
    </x:row>
    <x:row r="132">
      <x:c r="A132" s="15"/>
    </x:row>
    <x:row r="133">
      <x:c r="A133" s="15"/>
    </x:row>
    <x:row r="134">
      <x:c r="A134" s="15"/>
    </x:row>
    <x:row r="135">
      <x:c r="A135" s="15"/>
    </x:row>
    <x:row r="136">
      <x:c r="A136" s="15"/>
    </x:row>
    <x:row r="137">
      <x:c r="A137" s="15"/>
    </x:row>
    <x:row r="138">
      <x:c r="A138" s="15"/>
    </x:row>
    <x:row r="139">
      <x:c r="A139" s="15"/>
    </x:row>
    <x:row r="140">
      <x:c r="A140" s="15"/>
    </x:row>
    <x:row r="141">
      <x:c r="A141" s="15"/>
    </x:row>
    <x:row r="142">
      <x:c r="A142" s="15"/>
    </x:row>
    <x:row r="143">
      <x:c r="A143" s="15"/>
    </x:row>
    <x:row r="144">
      <x:c r="A144" s="15"/>
    </x:row>
    <x:row r="145">
      <x:c r="A145" s="15"/>
    </x:row>
    <x:row r="146">
      <x:c r="A146" s="15"/>
    </x:row>
    <x:row r="147">
      <x:c r="A147" s="15"/>
    </x:row>
    <x:row r="148">
      <x:c r="A148" s="15"/>
    </x:row>
    <x:row r="149">
      <x:c r="A149" s="15"/>
    </x:row>
    <x:row r="150">
      <x:c r="A150" s="15"/>
    </x:row>
    <x:row r="151">
      <x:c r="A151" s="15"/>
    </x:row>
    <x:row r="152">
      <x:c r="A152" s="15"/>
    </x:row>
    <x:row r="153">
      <x:c r="A153" s="15"/>
    </x:row>
    <x:row r="154">
      <x:c r="A154" s="15"/>
    </x:row>
    <x:row r="155">
      <x:c r="A155" s="15"/>
    </x:row>
    <x:row r="156">
      <x:c r="A156" s="15"/>
    </x:row>
    <x:row r="157">
      <x:c r="A157" s="15"/>
    </x:row>
    <x:row r="158">
      <x:c r="A158" s="15"/>
    </x:row>
    <x:row r="159">
      <x:c r="A159" s="15"/>
    </x:row>
    <x:row r="160">
      <x:c r="A160" s="15"/>
    </x:row>
    <x:row r="161">
      <x:c r="A161" s="15"/>
    </x:row>
    <x:row r="162">
      <x:c r="A162" s="15"/>
    </x:row>
    <x:row r="163">
      <x:c r="A163" s="15"/>
    </x:row>
    <x:row r="164">
      <x:c r="A164" s="15"/>
    </x:row>
    <x:row r="165">
      <x:c r="A165" s="15"/>
    </x:row>
    <x:row r="166">
      <x:c r="A166" s="15"/>
    </x:row>
    <x:row r="167">
      <x:c r="A167" s="15"/>
    </x:row>
    <x:row r="168">
      <x:c r="A168" s="15"/>
    </x:row>
    <x:row r="169">
      <x:c r="A169" s="15"/>
    </x:row>
    <x:row r="170">
      <x:c r="A170" s="15"/>
    </x:row>
    <x:row r="171">
      <x:c r="A171" s="15"/>
    </x:row>
    <x:row r="172">
      <x:c r="A172" s="15"/>
    </x:row>
    <x:row r="173">
      <x:c r="A173" s="15"/>
    </x:row>
    <x:row r="174">
      <x:c r="A174" s="15"/>
    </x:row>
    <x:row r="175">
      <x:c r="A175" s="15"/>
    </x:row>
    <x:row r="176">
      <x:c r="A176" s="15"/>
    </x:row>
    <x:row r="177">
      <x:c r="A177" s="15"/>
    </x:row>
    <x:row r="178">
      <x:c r="A178" s="15"/>
    </x:row>
    <x:row r="179">
      <x:c r="A179" s="15"/>
    </x:row>
    <x:row r="180">
      <x:c r="A180" s="15"/>
    </x:row>
    <x:row r="181">
      <x:c r="A181" s="15"/>
    </x:row>
    <x:row r="182">
      <x:c r="A182" s="15"/>
    </x:row>
    <x:row r="183">
      <x:c r="A183" s="15"/>
    </x:row>
    <x:row r="184">
      <x:c r="A184" s="15"/>
    </x:row>
    <x:row r="185">
      <x:c r="A185" s="15"/>
    </x:row>
    <x:row r="186">
      <x:c r="A186" s="15"/>
    </x:row>
    <x:row r="187">
      <x:c r="A187" s="15"/>
    </x:row>
    <x:row r="188">
      <x:c r="A188" s="15"/>
    </x:row>
    <x:row r="189">
      <x:c r="A189" s="15"/>
    </x:row>
    <x:row r="190">
      <x:c r="A190" s="15"/>
    </x:row>
    <x:row r="191">
      <x:c r="A191" s="15"/>
    </x:row>
    <x:row r="192">
      <x:c r="A192" s="15"/>
    </x:row>
    <x:row r="193">
      <x:c r="A193" s="15"/>
    </x:row>
    <x:row r="194">
      <x:c r="A194" s="15"/>
    </x:row>
    <x:row r="195">
      <x:c r="A195" s="15"/>
    </x:row>
    <x:row r="196">
      <x:c r="A196" s="15"/>
    </x:row>
    <x:row r="197">
      <x:c r="A197" s="15"/>
    </x:row>
    <x:row r="198">
      <x:c r="A198" s="15"/>
    </x:row>
    <x:row r="199">
      <x:c r="A199" s="15"/>
    </x:row>
    <x:row r="200">
      <x:c r="A200" s="15"/>
    </x:row>
    <x:row r="201">
      <x:c r="A201" s="15"/>
    </x:row>
    <x:row r="202">
      <x:c r="A202" s="15"/>
    </x:row>
    <x:row r="203">
      <x:c r="A203" s="15"/>
    </x:row>
    <x:row r="204">
      <x:c r="A204" s="15"/>
    </x:row>
    <x:row r="205">
      <x:c r="A205" s="15"/>
    </x:row>
    <x:row r="206">
      <x:c r="A206" s="15"/>
    </x:row>
    <x:row r="207">
      <x:c r="A207" s="15"/>
    </x:row>
    <x:row r="208">
      <x:c r="A208" s="15"/>
    </x:row>
    <x:row r="209">
      <x:c r="A209" s="15"/>
    </x:row>
    <x:row r="210">
      <x:c r="A210" s="15"/>
    </x:row>
    <x:row r="211">
      <x:c r="A211" s="15"/>
    </x:row>
    <x:row r="212">
      <x:c r="A212" s="15"/>
    </x:row>
    <x:row r="213">
      <x:c r="A213" s="15"/>
    </x:row>
    <x:row r="214">
      <x:c r="A214" s="15"/>
    </x:row>
    <x:row r="215">
      <x:c r="A215" s="15"/>
    </x:row>
    <x:row r="216">
      <x:c r="A216" s="15"/>
    </x:row>
    <x:row r="217">
      <x:c r="A217" s="15"/>
    </x:row>
    <x:row r="218">
      <x:c r="A218" s="15"/>
    </x:row>
    <x:row r="219">
      <x:c r="A219" s="15"/>
    </x:row>
    <x:row r="220">
      <x:c r="A220" s="15"/>
    </x:row>
    <x:row r="221">
      <x:c r="A221" s="15"/>
    </x:row>
    <x:row r="222">
      <x:c r="A222" s="15"/>
    </x:row>
    <x:row r="223">
      <x:c r="A223" s="15"/>
    </x:row>
    <x:row r="224">
      <x:c r="A224" s="15"/>
    </x:row>
    <x:row r="225">
      <x:c r="A225" s="15"/>
    </x:row>
    <x:row r="226">
      <x:c r="A226" s="15"/>
    </x:row>
    <x:row r="227">
      <x:c r="A227" s="15"/>
    </x:row>
    <x:row r="228">
      <x:c r="A228" s="15"/>
    </x:row>
    <x:row r="229">
      <x:c r="A229" s="15"/>
    </x:row>
    <x:row r="230">
      <x:c r="A230" s="15"/>
    </x:row>
    <x:row r="231">
      <x:c r="A231" s="15"/>
    </x:row>
    <x:row r="232">
      <x:c r="A232" s="15"/>
    </x:row>
    <x:row r="233">
      <x:c r="A233" s="15"/>
    </x:row>
    <x:row r="234">
      <x:c r="A234" s="15"/>
    </x:row>
    <x:row r="235">
      <x:c r="A235" s="15"/>
    </x:row>
    <x:row r="236">
      <x:c r="A236" s="15"/>
    </x:row>
    <x:row r="237">
      <x:c r="A237" s="15"/>
    </x:row>
    <x:row r="238">
      <x:c r="A238" s="15"/>
    </x:row>
    <x:row r="239">
      <x:c r="A239" s="15"/>
    </x:row>
    <x:row r="240">
      <x:c r="A240" s="15"/>
    </x:row>
    <x:row r="241">
      <x:c r="A241" s="15"/>
    </x:row>
    <x:row r="242">
      <x:c r="A242" s="15"/>
    </x:row>
    <x:row r="243">
      <x:c r="A243" s="15"/>
    </x:row>
    <x:row r="244">
      <x:c r="A244" s="15"/>
    </x:row>
    <x:row r="245">
      <x:c r="A245" s="15"/>
    </x:row>
    <x:row r="246">
      <x:c r="A246" s="15"/>
    </x:row>
    <x:row r="247">
      <x:c r="A247" s="15"/>
    </x:row>
    <x:row r="248">
      <x:c r="A248" s="15"/>
    </x:row>
    <x:row r="249">
      <x:c r="A249" s="15"/>
    </x:row>
    <x:row r="250">
      <x:c r="A250" s="15"/>
    </x:row>
    <x:row r="251">
      <x:c r="A251" s="15"/>
    </x:row>
    <x:row r="252">
      <x:c r="A252" s="15"/>
    </x:row>
    <x:row r="253">
      <x:c r="A253" s="15"/>
    </x:row>
    <x:row r="254">
      <x:c r="A254" s="15"/>
    </x:row>
    <x:row r="255">
      <x:c r="A255" s="15"/>
    </x:row>
    <x:row r="256">
      <x:c r="A256" s="15"/>
    </x:row>
    <x:row r="257">
      <x:c r="A257" s="15"/>
    </x:row>
    <x:row r="258">
      <x:c r="A258" s="15"/>
    </x:row>
    <x:row r="259">
      <x:c r="A259" s="15"/>
    </x:row>
    <x:row r="260">
      <x:c r="A260" s="15"/>
    </x:row>
    <x:row r="261">
      <x:c r="A261" s="15"/>
    </x:row>
    <x:row r="262">
      <x:c r="A262" s="15"/>
    </x:row>
    <x:row r="263">
      <x:c r="A263" s="15"/>
    </x:row>
    <x:row r="264">
      <x:c r="A264" s="15"/>
    </x:row>
    <x:row r="265">
      <x:c r="A265" s="15"/>
    </x:row>
    <x:row r="266">
      <x:c r="A266" s="15"/>
    </x:row>
    <x:row r="267">
      <x:c r="A267" s="15"/>
    </x:row>
    <x:row r="268">
      <x:c r="A268" s="15"/>
    </x:row>
    <x:row r="269">
      <x:c r="A269" s="15"/>
    </x:row>
    <x:row r="270">
      <x:c r="A270" s="15"/>
    </x:row>
    <x:row r="271">
      <x:c r="A271" s="15"/>
    </x:row>
    <x:row r="272">
      <x:c r="A272" s="15"/>
    </x:row>
    <x:row r="273">
      <x:c r="A273" s="15"/>
    </x:row>
    <x:row r="274">
      <x:c r="A274" s="15"/>
    </x:row>
    <x:row r="275">
      <x:c r="A275" s="15"/>
    </x:row>
    <x:row r="276">
      <x:c r="A276" s="15"/>
    </x:row>
    <x:row r="277">
      <x:c r="A277" s="15"/>
    </x:row>
    <x:row r="278">
      <x:c r="A278" s="15"/>
    </x:row>
    <x:row r="279">
      <x:c r="A279" s="15"/>
    </x:row>
    <x:row r="280">
      <x:c r="A280" s="15"/>
    </x:row>
    <x:row r="281">
      <x:c r="A281" s="15"/>
    </x:row>
    <x:row r="282">
      <x:c r="A282" s="15"/>
    </x:row>
    <x:row r="283">
      <x:c r="A283" s="15"/>
    </x:row>
    <x:row r="284">
      <x:c r="A284" s="15"/>
    </x:row>
    <x:row r="285">
      <x:c r="A285" s="15"/>
    </x:row>
    <x:row r="286">
      <x:c r="A286" s="15"/>
    </x:row>
    <x:row r="287">
      <x:c r="A287" s="15"/>
    </x:row>
    <x:row r="288">
      <x:c r="A288" s="15"/>
    </x:row>
    <x:row r="289">
      <x:c r="A289" s="15"/>
    </x:row>
    <x:row r="290">
      <x:c r="A290" s="15"/>
    </x:row>
    <x:row r="291">
      <x:c r="A291" s="15"/>
    </x:row>
    <x:row r="292">
      <x:c r="A292" s="15"/>
    </x:row>
    <x:row r="293">
      <x:c r="A293" s="15"/>
    </x:row>
    <x:row r="294">
      <x:c r="A294" s="15"/>
    </x:row>
    <x:row r="295">
      <x:c r="A295" s="15"/>
    </x:row>
    <x:row r="296">
      <x:c r="A296" s="15"/>
    </x:row>
    <x:row r="297">
      <x:c r="A297" s="15"/>
    </x:row>
    <x:row r="298">
      <x:c r="A298" s="15"/>
    </x:row>
    <x:row r="299">
      <x:c r="A299" s="15"/>
    </x:row>
    <x:row r="300">
      <x:c r="A300" s="15"/>
    </x:row>
    <x:row r="301">
      <x:c r="A301" s="15"/>
    </x:row>
    <x:row r="302">
      <x:c r="A302" s="15"/>
    </x:row>
    <x:row r="303">
      <x:c r="A303" s="15"/>
    </x:row>
    <x:row r="304">
      <x:c r="A304" s="15"/>
    </x:row>
    <x:row r="305">
      <x:c r="A305" s="15"/>
    </x:row>
    <x:row r="306">
      <x:c r="A306" s="15"/>
    </x:row>
    <x:row r="307">
      <x:c r="A307" s="15"/>
    </x:row>
    <x:row r="308">
      <x:c r="A308" s="15"/>
    </x:row>
    <x:row r="309">
      <x:c r="A309" s="15"/>
    </x:row>
    <x:row r="310">
      <x:c r="A310" s="15"/>
    </x:row>
    <x:row r="311">
      <x:c r="A311" s="15"/>
    </x:row>
    <x:row r="312">
      <x:c r="A312" s="15"/>
    </x:row>
    <x:row r="313">
      <x:c r="A313" s="15"/>
    </x:row>
    <x:row r="314">
      <x:c r="A314" s="15"/>
    </x:row>
    <x:row r="315">
      <x:c r="A315" s="15"/>
    </x:row>
    <x:row r="316">
      <x:c r="A316" s="15"/>
    </x:row>
    <x:row r="317">
      <x:c r="A317" s="15"/>
    </x:row>
    <x:row r="318">
      <x:c r="A318" s="15"/>
    </x:row>
    <x:row r="319">
      <x:c r="A319" s="15"/>
    </x:row>
    <x:row r="320">
      <x:c r="A320" s="15"/>
    </x:row>
    <x:row r="321">
      <x:c r="A321" s="15"/>
    </x:row>
    <x:row r="322">
      <x:c r="A322" s="15"/>
    </x:row>
    <x:row r="323">
      <x:c r="A323" s="15"/>
    </x:row>
    <x:row r="324">
      <x:c r="A324" s="15"/>
    </x:row>
    <x:row r="325">
      <x:c r="A325" s="15"/>
    </x:row>
    <x:row r="326">
      <x:c r="A326" s="15"/>
    </x:row>
    <x:row r="327">
      <x:c r="A327" s="15"/>
    </x:row>
    <x:row r="328">
      <x:c r="A328" s="15"/>
    </x:row>
    <x:row r="329">
      <x:c r="A329" s="15"/>
    </x:row>
    <x:row r="330">
      <x:c r="A330" s="15"/>
    </x:row>
    <x:row r="331">
      <x:c r="A331" s="15"/>
    </x:row>
    <x:row r="332">
      <x:c r="A332" s="15"/>
    </x:row>
    <x:row r="333">
      <x:c r="A333" s="15"/>
    </x:row>
    <x:row r="334">
      <x:c r="A334" s="15"/>
    </x:row>
    <x:row r="335">
      <x:c r="A335" s="15"/>
    </x:row>
    <x:row r="336">
      <x:c r="A336" s="15"/>
    </x:row>
    <x:row r="337">
      <x:c r="A337" s="15"/>
    </x:row>
    <x:row r="338">
      <x:c r="A338" s="15"/>
    </x:row>
    <x:row r="339">
      <x:c r="A339" s="15"/>
    </x:row>
    <x:row r="340">
      <x:c r="A340" s="15"/>
    </x:row>
    <x:row r="341">
      <x:c r="A341" s="15"/>
    </x:row>
    <x:row r="342">
      <x:c r="A342" s="15"/>
    </x:row>
    <x:row r="343">
      <x:c r="A343" s="15"/>
    </x:row>
    <x:row r="344">
      <x:c r="A344" s="15"/>
    </x:row>
    <x:row r="345">
      <x:c r="A345" s="15"/>
    </x:row>
    <x:row r="346">
      <x:c r="A346" s="15"/>
    </x:row>
    <x:row r="347">
      <x:c r="A347" s="15"/>
    </x:row>
    <x:row r="348">
      <x:c r="A348" s="15"/>
    </x:row>
    <x:row r="349">
      <x:c r="A349" s="15"/>
    </x:row>
    <x:row r="350">
      <x:c r="A350" s="15"/>
    </x:row>
    <x:row r="351">
      <x:c r="A351" s="15"/>
    </x:row>
    <x:row r="352">
      <x:c r="A352" s="15"/>
    </x:row>
    <x:row r="353">
      <x:c r="A353" s="15"/>
    </x:row>
    <x:row r="354">
      <x:c r="A354" s="15"/>
    </x:row>
    <x:row r="355">
      <x:c r="A355" s="15"/>
    </x:row>
    <x:row r="356">
      <x:c r="A356" s="15"/>
    </x:row>
    <x:row r="357">
      <x:c r="A357" s="15"/>
    </x:row>
    <x:row r="358">
      <x:c r="A358" s="15"/>
    </x:row>
    <x:row r="359">
      <x:c r="A359" s="15"/>
    </x:row>
    <x:row r="360">
      <x:c r="A360" s="15"/>
    </x:row>
    <x:row r="361">
      <x:c r="A361" s="15"/>
    </x:row>
    <x:row r="362">
      <x:c r="A362" s="15"/>
    </x:row>
    <x:row r="363">
      <x:c r="A363" s="15"/>
    </x:row>
    <x:row r="364">
      <x:c r="A364" s="15"/>
    </x:row>
    <x:row r="365">
      <x:c r="A365" s="15"/>
    </x:row>
    <x:row r="366">
      <x:c r="A366" s="15"/>
    </x:row>
    <x:row r="367">
      <x:c r="A367" s="15"/>
    </x:row>
    <x:row r="368">
      <x:c r="A368" s="15"/>
    </x:row>
    <x:row r="369">
      <x:c r="A369" s="15"/>
    </x:row>
    <x:row r="370">
      <x:c r="A370" s="15"/>
    </x:row>
    <x:row r="371">
      <x:c r="A371" s="15"/>
    </x:row>
    <x:row r="372">
      <x:c r="A372" s="15"/>
    </x:row>
    <x:row r="373">
      <x:c r="A373" s="15"/>
    </x:row>
    <x:row r="374">
      <x:c r="A374" s="15"/>
    </x:row>
    <x:row r="375">
      <x:c r="A375" s="15"/>
    </x:row>
    <x:row r="376">
      <x:c r="A376" s="15"/>
    </x:row>
    <x:row r="377">
      <x:c r="A377" s="15"/>
    </x:row>
    <x:row r="378">
      <x:c r="A378" s="15"/>
    </x:row>
    <x:row r="379">
      <x:c r="A379" s="15"/>
    </x:row>
    <x:row r="380">
      <x:c r="A380" s="15"/>
    </x:row>
    <x:row r="381">
      <x:c r="A381" s="15"/>
    </x:row>
    <x:row r="382">
      <x:c r="A382" s="15"/>
    </x:row>
    <x:row r="383">
      <x:c r="A383" s="15"/>
    </x:row>
    <x:row r="384">
      <x:c r="A384" s="15"/>
    </x:row>
    <x:row r="385">
      <x:c r="A385" s="15"/>
    </x:row>
    <x:row r="386">
      <x:c r="A386" s="15"/>
    </x:row>
    <x:row r="387">
      <x:c r="A387" s="15"/>
    </x:row>
    <x:row r="388">
      <x:c r="A388" s="15"/>
    </x:row>
    <x:row r="389">
      <x:c r="A389" s="15"/>
    </x:row>
    <x:row r="390">
      <x:c r="A390" s="15"/>
    </x:row>
    <x:row r="391">
      <x:c r="A391" s="15"/>
    </x:row>
    <x:row r="392">
      <x:c r="A392" s="15"/>
    </x:row>
    <x:row r="393">
      <x:c r="A393" s="15"/>
    </x:row>
    <x:row r="394">
      <x:c r="A394" s="15"/>
    </x:row>
    <x:row r="395">
      <x:c r="A395" s="15"/>
    </x:row>
    <x:row r="396">
      <x:c r="A396" s="15"/>
    </x:row>
    <x:row r="397">
      <x:c r="A397" s="15"/>
    </x:row>
    <x:row r="398">
      <x:c r="A398" s="15"/>
    </x:row>
    <x:row r="399">
      <x:c r="A399" s="15"/>
    </x:row>
    <x:row r="400">
      <x:c r="A400" s="15"/>
    </x:row>
    <x:row r="401">
      <x:c r="A401" s="15"/>
    </x:row>
    <x:row r="402">
      <x:c r="A402" s="15"/>
    </x:row>
    <x:row r="403">
      <x:c r="A403" s="15"/>
    </x:row>
    <x:row r="404">
      <x:c r="A404" s="15"/>
    </x:row>
    <x:row r="405">
      <x:c r="A405" s="15"/>
    </x:row>
    <x:row r="406">
      <x:c r="A406" s="15"/>
    </x:row>
    <x:row r="407">
      <x:c r="A407" s="15"/>
    </x:row>
    <x:row r="408">
      <x:c r="A408" s="15"/>
    </x:row>
    <x:row r="409">
      <x:c r="A409" s="15"/>
    </x:row>
    <x:row r="410">
      <x:c r="A410" s="15"/>
    </x:row>
    <x:row r="411">
      <x:c r="A411" s="15"/>
    </x:row>
    <x:row r="412">
      <x:c r="A412" s="15"/>
    </x:row>
    <x:row r="413">
      <x:c r="A413" s="15"/>
    </x:row>
    <x:row r="414">
      <x:c r="A414" s="15"/>
    </x:row>
    <x:row r="415">
      <x:c r="A415" s="15"/>
    </x:row>
    <x:row r="416">
      <x:c r="A416" s="15"/>
    </x:row>
    <x:row r="417">
      <x:c r="A417" s="15"/>
    </x:row>
    <x:row r="418">
      <x:c r="A418" s="15"/>
    </x:row>
    <x:row r="419">
      <x:c r="A419" s="15"/>
    </x:row>
    <x:row r="420">
      <x:c r="A420" s="15"/>
    </x:row>
    <x:row r="421">
      <x:c r="A421" s="15"/>
    </x:row>
    <x:row r="422">
      <x:c r="A422" s="15"/>
    </x:row>
    <x:row r="423">
      <x:c r="A423" s="15"/>
    </x:row>
    <x:row r="424">
      <x:c r="A424" s="15"/>
    </x:row>
    <x:row r="425">
      <x:c r="A425" s="15"/>
    </x:row>
    <x:row r="426">
      <x:c r="A426" s="15"/>
    </x:row>
    <x:row r="427">
      <x:c r="A427" s="15"/>
    </x:row>
    <x:row r="428">
      <x:c r="A428" s="15"/>
    </x:row>
    <x:row r="429">
      <x:c r="A429" s="15"/>
    </x:row>
    <x:row r="430">
      <x:c r="A430" s="15"/>
    </x:row>
    <x:row r="431">
      <x:c r="A431" s="15"/>
    </x:row>
    <x:row r="432">
      <x:c r="A432" s="15"/>
    </x:row>
    <x:row r="433">
      <x:c r="A433" s="15"/>
    </x:row>
    <x:row r="434">
      <x:c r="A434" s="15"/>
    </x:row>
    <x:row r="435">
      <x:c r="A435" s="15"/>
    </x:row>
    <x:row r="436">
      <x:c r="A436" s="15"/>
    </x:row>
    <x:row r="437">
      <x:c r="A437" s="15"/>
    </x:row>
    <x:row r="438">
      <x:c r="A438" s="15"/>
    </x:row>
    <x:row r="439">
      <x:c r="A439" s="15"/>
    </x:row>
    <x:row r="440">
      <x:c r="A440" s="15"/>
    </x:row>
    <x:row r="441">
      <x:c r="A441" s="15"/>
    </x:row>
    <x:row r="442">
      <x:c r="A442" s="15"/>
    </x:row>
    <x:row r="443">
      <x:c r="A443" s="15"/>
    </x:row>
    <x:row r="444">
      <x:c r="A444" s="15"/>
    </x:row>
    <x:row r="445">
      <x:c r="A445" s="15"/>
    </x:row>
    <x:row r="446">
      <x:c r="A446" s="15"/>
    </x:row>
    <x:row r="447">
      <x:c r="A447" s="15"/>
    </x:row>
    <x:row r="448">
      <x:c r="A448" s="15"/>
    </x:row>
    <x:row r="449">
      <x:c r="A449" s="15"/>
    </x:row>
    <x:row r="450">
      <x:c r="A450" s="15"/>
    </x:row>
    <x:row r="451">
      <x:c r="A451" s="15"/>
    </x:row>
    <x:row r="452">
      <x:c r="A452" s="15"/>
    </x:row>
    <x:row r="453">
      <x:c r="A453" s="15"/>
    </x:row>
    <x:row r="454">
      <x:c r="A454" s="15"/>
    </x:row>
    <x:row r="455">
      <x:c r="A455" s="15"/>
    </x:row>
    <x:row r="456">
      <x:c r="A456" s="15"/>
    </x:row>
    <x:row r="457">
      <x:c r="A457" s="15"/>
    </x:row>
    <x:row r="458">
      <x:c r="A458" s="15"/>
    </x:row>
    <x:row r="459">
      <x:c r="A459" s="15"/>
    </x:row>
    <x:row r="460">
      <x:c r="A460" s="15"/>
    </x:row>
    <x:row r="461">
      <x:c r="A461" s="15"/>
    </x:row>
    <x:row r="462">
      <x:c r="A462" s="15"/>
    </x:row>
    <x:row r="463">
      <x:c r="A463" s="15"/>
    </x:row>
    <x:row r="464">
      <x:c r="A464" s="15"/>
    </x:row>
    <x:row r="465">
      <x:c r="A465" s="15"/>
    </x:row>
    <x:row r="466">
      <x:c r="A466" s="15"/>
    </x:row>
    <x:row r="467">
      <x:c r="A467" s="15"/>
    </x:row>
    <x:row r="468">
      <x:c r="A468" s="15"/>
    </x:row>
    <x:row r="469">
      <x:c r="A469" s="15"/>
    </x:row>
    <x:row r="470">
      <x:c r="A470" s="15"/>
    </x:row>
    <x:row r="471">
      <x:c r="A471" s="15"/>
    </x:row>
    <x:row r="472">
      <x:c r="A472" s="15"/>
    </x:row>
    <x:row r="473">
      <x:c r="A473" s="15"/>
    </x:row>
    <x:row r="474">
      <x:c r="A474" s="15"/>
    </x:row>
    <x:row r="475">
      <x:c r="A475" s="15"/>
    </x:row>
    <x:row r="476">
      <x:c r="A476" s="15"/>
    </x:row>
    <x:row r="477">
      <x:c r="A477" s="15"/>
    </x:row>
    <x:row r="478">
      <x:c r="A478" s="15"/>
    </x:row>
    <x:row r="479">
      <x:c r="A479" s="15"/>
    </x:row>
    <x:row r="480">
      <x:c r="A480" s="15"/>
    </x:row>
    <x:row r="481">
      <x:c r="A481" s="15"/>
    </x:row>
    <x:row r="482">
      <x:c r="A482" s="15"/>
    </x:row>
    <x:row r="483">
      <x:c r="A483" s="15"/>
    </x:row>
    <x:row r="484">
      <x:c r="A484" s="15"/>
    </x:row>
    <x:row r="485">
      <x:c r="A485" s="15"/>
    </x:row>
    <x:row r="486">
      <x:c r="A486" s="15"/>
    </x:row>
    <x:row r="487">
      <x:c r="A487" s="15"/>
    </x:row>
    <x:row r="488">
      <x:c r="A488" s="15"/>
    </x:row>
    <x:row r="489">
      <x:c r="A489" s="15"/>
    </x:row>
    <x:row r="490">
      <x:c r="A490" s="15"/>
    </x:row>
    <x:row r="491">
      <x:c r="A491" s="15"/>
    </x:row>
    <x:row r="492">
      <x:c r="A492" s="15"/>
    </x:row>
    <x:row r="493">
      <x:c r="A493" s="15"/>
    </x:row>
    <x:row r="494">
      <x:c r="A494" s="15"/>
    </x:row>
    <x:row r="495">
      <x:c r="A495" s="15"/>
    </x:row>
    <x:row r="496">
      <x:c r="A496" s="15"/>
    </x:row>
    <x:row r="497">
      <x:c r="A497" s="15"/>
    </x:row>
    <x:row r="498">
      <x:c r="A498" s="15"/>
    </x:row>
    <x:row r="499">
      <x:c r="A499" s="15"/>
    </x:row>
    <x:row r="500">
      <x:c r="A500" s="15"/>
    </x:row>
    <x:row r="501">
      <x:c r="A501" s="15"/>
    </x:row>
  </x:sheetData>
  <x:pageMargins left="0.7" right="0.7" top="0.75" bottom="0.75" header="0.3" footer="0.3"/>
  <x:tableParts count="1">
    <x:tablePart xmlns:r="http://schemas.openxmlformats.org/officeDocument/2006/relationships" r:id="R60576cc03cbf432e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10" defaultColWidth="8.6640625" defaultRowHeight="14"/>
  <x:cols>
    <x:col min="1" max="3" width="23" customWidth="1"/>
    <x:col min="4" max="4" width="38" hidden="0" customWidth="1"/>
    <x:col min="5" max="6" width="23" customWidth="1"/>
    <x:col min="1" max="1" width="21" hidden="0" customWidth="1"/>
    <x:col min="2" max="2" width="38" hidden="0" customWidth="1"/>
    <x:col min="3" max="3" width="43" hidden="0" customWidth="1"/>
    <x:col min="6" max="6" width="24" hidden="0" customWidth="1"/>
    <x:col min="8" max="8" width="22" hidden="0" customWidth="1"/>
    <x:col min="10" max="10" width="35" hidden="0" customWidth="1"/>
    <x:col min="11" max="11" width="46" hidden="0" customWidth="1"/>
  </x:cols>
  <x:sheetData>
    <x:row r="1" ht="34" customHeight="1">
      <x:c r="A1" s="84" t="str">
        <x:v>Región</x:v>
      </x:c>
      <x:c r="B1" s="84" t="str">
        <x:v>DM</x:v>
      </x:c>
      <x:c r="C1" s="84" t="str">
        <x:v>Nombre directorio</x:v>
      </x:c>
      <x:c r="D1" s="84" t="str">
        <x:v>Mostrar como</x:v>
      </x:c>
      <x:c r="E1"/>
      <x:c r="F1" s="84" t="str">
        <x:v>Regiones</x:v>
      </x:c>
      <x:c r="H1" s="84" t="str">
        <x:v>Estatus</x:v>
      </x:c>
      <x:c r="J1" s="84" t="str">
        <x:v>Fuentes</x:v>
      </x:c>
      <x:c r="K1" s="84" t="str">
        <x:v>Uso</x:v>
      </x:c>
    </x:row>
    <x:row r="2" ht="23" customHeight="1">
      <x:c r="A2" s="45" t="str">
        <x:v>Centro Norte</x:v>
      </x:c>
      <x:c r="B2" s="45" t="str">
        <x:v>Enrique César</x:v>
      </x:c>
      <x:c r="C2" s="45" t="str">
        <x:v>Enrique Cesar Flores</x:v>
      </x:c>
      <x:c r="D2" s="45" t="str">
        <x:v>Enrique César</x:v>
      </x:c>
      <x:c r="E2"/>
      <x:c r="F2" t="str">
        <x:v>Centro Norte</x:v>
      </x:c>
      <x:c r="H2" t="str">
        <x:v>Abierta</x:v>
      </x:c>
      <x:c r="J2" s="45" t="str">
        <x:v>Puntos proporcionados</x:v>
      </x:c>
      <x:c r="K2" s="45" t="str">
        <x:v>Región y coordenadas</x:v>
      </x:c>
    </x:row>
    <x:row r="3" ht="23" customHeight="1">
      <x:c r="A3" s="45" t="str">
        <x:v>Centro Norte</x:v>
      </x:c>
      <x:c r="B3" s="45" t="str">
        <x:v>Nancy Rodríguez</x:v>
      </x:c>
      <x:c r="C3" s="45" t="str">
        <x:v>Nancy Carolina Rodriguez Medina</x:v>
      </x:c>
      <x:c r="D3" s="45" t="str">
        <x:v>Nancy Rodríguez</x:v>
      </x:c>
      <x:c r="E3"/>
      <x:c r="F3" t="str">
        <x:v>Centro Sur</x:v>
      </x:c>
      <x:c r="H3" t="str">
        <x:v>Próxima Apertura</x:v>
      </x:c>
      <x:c r="J3" s="45" t="str">
        <x:v>Ops Octubre 2026.xlsx</x:v>
      </x:c>
      <x:c r="K3" s="45" t="str">
        <x:v>Región, DM y estatus operativo</x:v>
      </x:c>
    </x:row>
    <x:row r="4" ht="23" customHeight="1">
      <x:c r="A4" s="45" t="str">
        <x:v>Centro Norte</x:v>
      </x:c>
      <x:c r="B4" s="45" t="str">
        <x:v>Vanessa Carreño</x:v>
      </x:c>
      <x:c r="C4" s="45" t="str">
        <x:v>Vanessa Carreño Rios</x:v>
      </x:c>
      <x:c r="D4" s="45" t="str">
        <x:v>Vanessa Carreño</x:v>
      </x:c>
      <x:c r="E4"/>
      <x:c r="F4" t="str">
        <x:v>Centro Poniente</x:v>
      </x:c>
      <x:c r="H4" t="str">
        <x:v>Cierre Temporal</x:v>
      </x:c>
      <x:c r="J4" s="45" t="str">
        <x:v>Directorio Alsea octubre 2026</x:v>
      </x:c>
      <x:c r="K4" s="45" t="str">
        <x:v>Región, DM y coordenadas de respaldo</x:v>
      </x:c>
    </x:row>
    <x:row r="5" ht="23" customHeight="1">
      <x:c r="A5" s="45" t="str">
        <x:v>Centro Norte</x:v>
      </x:c>
      <x:c r="B5" s="45" t="str">
        <x:v>Veronica García</x:v>
      </x:c>
      <x:c r="C5" s="45" t="str">
        <x:v>Veronica Garcia Ortega</x:v>
      </x:c>
      <x:c r="D5" s="45" t="str">
        <x:v>Veronica García</x:v>
      </x:c>
      <x:c r="E5"/>
      <x:c r="F5" t="str">
        <x:v>Centro Centro</x:v>
      </x:c>
      <x:c r="H5" t="str">
        <x:v>Cierre Definitivo</x:v>
      </x:c>
      <x:c r="J5" s="45" t="str">
        <x:v>CMS anterior 4.3</x:v>
      </x:c>
      <x:c r="K5" s="45" t="str">
        <x:v>Coordenadas existentes y aperturas</x:v>
      </x:c>
    </x:row>
    <x:row r="6" ht="23" customHeight="1">
      <x:c r="A6" s="45" t="str">
        <x:v>Centro Norte</x:v>
      </x:c>
      <x:c r="B6" s="45" t="str">
        <x:v>Yazmin Chabela</x:v>
      </x:c>
      <x:c r="C6" s="45" t="str">
        <x:v>Yazmin Chabela Guadarrama</x:v>
      </x:c>
      <x:c r="D6" s="45" t="str">
        <x:v>Yazmin Chabela</x:v>
      </x:c>
      <x:c r="E6"/>
      <x:c r="F6" t="str">
        <x:v>Bajío</x:v>
      </x:c>
      <x:c r="H6" t="str">
        <x:v>Por validar</x:v>
      </x:c>
      <x:c r="J6" s="45" t="str">
        <x:v>Toreo Walmart 43302</x:v>
      </x:c>
      <x:c r="K6" s="45" t="str">
        <x:v>Coordenada confirmada conservada</x:v>
      </x:c>
    </x:row>
    <x:row r="7" ht="23" customHeight="1">
      <x:c r="A7" s="45" t="str">
        <x:v>Centro Norte</x:v>
      </x:c>
      <x:c r="B7" s="45" t="str">
        <x:v>Yazmin García</x:v>
      </x:c>
      <x:c r="C7" s="45" t="str">
        <x:v>Yazmín Haydee Garcia González</x:v>
      </x:c>
      <x:c r="D7" s="45" t="str">
        <x:v>Yazmin García</x:v>
      </x:c>
      <x:c r="E7"/>
      <x:c r="F7"/>
    </x:row>
    <x:row r="8" ht="23" customHeight="1">
      <x:c r="A8" s="45" t="str">
        <x:v>Centro Sur</x:v>
      </x:c>
      <x:c r="B8" s="45" t="str">
        <x:v>Ariana Janet Gutierrez Martinez</x:v>
      </x:c>
      <x:c r="C8" s="45" t="str">
        <x:v>Ariana Janet Gutierrez Martinez</x:v>
      </x:c>
      <x:c r="D8" s="45" t="str">
        <x:v>Ariana Janet Gutierrez Martinez</x:v>
      </x:c>
      <x:c r="E8"/>
      <x:c r="F8"/>
    </x:row>
    <x:row r="9" ht="23" customHeight="1">
      <x:c r="A9" s="45" t="str">
        <x:v>Centro Sur</x:v>
      </x:c>
      <x:c r="B9" s="45" t="str">
        <x:v>Cesar Alfonso Castillo Romero</x:v>
      </x:c>
      <x:c r="C9" s="45" t="str">
        <x:v>Cesar Alfonso Castillo Romero</x:v>
      </x:c>
      <x:c r="D9" s="45" t="str">
        <x:v>Cesar Alfonso Castillo Romero</x:v>
      </x:c>
      <x:c r="E9"/>
      <x:c r="F9"/>
    </x:row>
    <x:row r="10" ht="23" customHeight="1">
      <x:c r="A10" s="45" t="str">
        <x:v>Centro Sur</x:v>
      </x:c>
      <x:c r="B10" s="45" t="str">
        <x:v>Fernando Eduardo Verdugo Saldaña</x:v>
      </x:c>
      <x:c r="C10" s="45" t="str">
        <x:v>Fernando Eduardo Verdugo Saldaña</x:v>
      </x:c>
      <x:c r="D10" s="45" t="str">
        <x:v>Fernando Eduardo Verdugo Saldaña</x:v>
      </x:c>
      <x:c r="E10"/>
      <x:c r="F10"/>
    </x:row>
    <x:row r="11" ht="23" customHeight="1">
      <x:c r="A11" s="45" t="str">
        <x:v>Centro Sur</x:v>
      </x:c>
      <x:c r="B11" s="45" t="str">
        <x:v>Hazar Susim Trejo Hernandez</x:v>
      </x:c>
      <x:c r="C11" s="45" t="str">
        <x:v>Hazar Susim Trejo Hernandez</x:v>
      </x:c>
      <x:c r="D11" s="45" t="str">
        <x:v>Hazar Susim Trejo Hernandez</x:v>
      </x:c>
      <x:c r="E11"/>
      <x:c r="F11"/>
    </x:row>
    <x:row r="12" ht="23" customHeight="1">
      <x:c r="A12" s="45" t="str">
        <x:v>Centro Sur</x:v>
      </x:c>
      <x:c r="B12" s="45" t="str">
        <x:v>Jaqueline Cortes Ayala</x:v>
      </x:c>
      <x:c r="C12" s="45" t="str">
        <x:v>Jaqueline Cortes Ayala</x:v>
      </x:c>
      <x:c r="D12" s="45" t="str">
        <x:v>Jaqueline Cortes Ayala</x:v>
      </x:c>
    </x:row>
    <x:row r="13" ht="23" customHeight="1">
      <x:c r="A13" s="45" t="str">
        <x:v>Centro Sur</x:v>
      </x:c>
      <x:c r="B13" s="45" t="str">
        <x:v>Jesus Antonio Elguera Flores</x:v>
      </x:c>
      <x:c r="C13" s="45" t="str">
        <x:v>Jesus Antonio Elguera Flores</x:v>
      </x:c>
      <x:c r="D13" s="45" t="str">
        <x:v>Jesus Antonio Elguera Flores</x:v>
      </x:c>
    </x:row>
    <x:row r="14" ht="23" customHeight="1">
      <x:c r="A14" s="45" t="str">
        <x:v>Centro Sur</x:v>
      </x:c>
      <x:c r="B14" s="45" t="str">
        <x:v>Luis Alberto Quevedo Rodriguez</x:v>
      </x:c>
      <x:c r="C14" s="45" t="str">
        <x:v>Luis Alberto Quevedo Rodriguez</x:v>
      </x:c>
      <x:c r="D14" s="45" t="str">
        <x:v>Luis Alberto Quevedo Rodriguez</x:v>
      </x:c>
    </x:row>
    <x:row r="15" ht="23" customHeight="1">
      <x:c r="A15" s="45" t="str">
        <x:v>Centro Sur</x:v>
      </x:c>
      <x:c r="B15" s="45" t="str">
        <x:v>Moni Morales</x:v>
      </x:c>
      <x:c r="C15" s="45" t="str">
        <x:v>Monica Selene Morales Ibarra</x:v>
      </x:c>
      <x:c r="D15" s="45" t="str">
        <x:v>Mónica Morales</x:v>
      </x:c>
    </x:row>
    <x:row r="16" ht="23" customHeight="1">
      <x:c r="A16" s="45" t="str">
        <x:v>Centro Sur</x:v>
      </x:c>
      <x:c r="B16" s="45" t="str">
        <x:v>Sin asignación</x:v>
      </x:c>
      <x:c r="C16" s="45" t="str">
        <x:v>Sin asignación</x:v>
      </x:c>
      <x:c r="D16" s="45" t="str">
        <x:v>Sin asignación</x:v>
      </x:c>
    </x:row>
    <x:row r="17" ht="23" customHeight="1">
      <x:c r="A17" s="45" t="str">
        <x:v>Centro Poniente</x:v>
      </x:c>
      <x:c r="B17" s="45" t="str">
        <x:v>Adriana Alejandra Tanus Buhler</x:v>
      </x:c>
      <x:c r="C17" s="45" t="str">
        <x:v>Adriana Alejandra Tanus Buhler</x:v>
      </x:c>
      <x:c r="D17" s="45" t="str">
        <x:v>Adriana Alejandra Tanus Buhler</x:v>
      </x:c>
    </x:row>
    <x:row r="18" ht="23" customHeight="1">
      <x:c r="A18" s="45" t="str">
        <x:v>Centro Poniente</x:v>
      </x:c>
      <x:c r="B18" s="45" t="str">
        <x:v>Andrea Nava Guzman</x:v>
      </x:c>
      <x:c r="C18" s="45" t="str">
        <x:v>Andrea Nava Guzman</x:v>
      </x:c>
      <x:c r="D18" s="45" t="str">
        <x:v>Andrea Nava Guzman</x:v>
      </x:c>
    </x:row>
    <x:row r="19" ht="23" customHeight="1">
      <x:c r="A19" s="45" t="str">
        <x:v>Centro Poniente</x:v>
      </x:c>
      <x:c r="B19" s="45" t="str">
        <x:v>Areli Anahi Lazcano Lezama</x:v>
      </x:c>
      <x:c r="C19" s="45" t="str">
        <x:v>Areli Anahi Lazcano Lezama</x:v>
      </x:c>
      <x:c r="D19" s="45" t="str">
        <x:v>Areli Anahi Lazcano Lezama</x:v>
      </x:c>
    </x:row>
    <x:row r="20" ht="23" customHeight="1">
      <x:c r="A20" s="45" t="str">
        <x:v>Centro Poniente</x:v>
      </x:c>
      <x:c r="B20" s="45" t="str">
        <x:v>Daniel Flores Maldonado</x:v>
      </x:c>
      <x:c r="C20" s="45" t="str">
        <x:v>Daniel Flores Maldonado</x:v>
      </x:c>
      <x:c r="D20" s="45" t="str">
        <x:v>Daniel Flores Maldonado</x:v>
      </x:c>
    </x:row>
    <x:row r="21" ht="23" customHeight="1">
      <x:c r="A21" s="45" t="str">
        <x:v>Centro Poniente</x:v>
      </x:c>
      <x:c r="B21" s="45" t="str">
        <x:v>Erika Julieta Contreras Aguilar</x:v>
      </x:c>
      <x:c r="C21" s="45" t="str">
        <x:v>Erika Julieta Contreras Aguilar</x:v>
      </x:c>
      <x:c r="D21" s="45" t="str">
        <x:v>Erika Julieta Contreras Aguilar</x:v>
      </x:c>
    </x:row>
    <x:row r="22" ht="23" customHeight="1">
      <x:c r="A22" s="45" t="str">
        <x:v>Centro Poniente</x:v>
      </x:c>
      <x:c r="B22" s="45" t="str">
        <x:v>José de Jesús Magos Arzaluz</x:v>
      </x:c>
      <x:c r="C22" s="45" t="str">
        <x:v>José de Jesús Magos Arzaluz</x:v>
      </x:c>
      <x:c r="D22" s="45" t="str">
        <x:v>José de Jesús Magos Arzaluz</x:v>
      </x:c>
    </x:row>
    <x:row r="23" ht="23" customHeight="1">
      <x:c r="A23" s="45" t="str">
        <x:v>Centro Poniente</x:v>
      </x:c>
      <x:c r="B23" s="45" t="str">
        <x:v>Juan Jesus Zuñiga Flores</x:v>
      </x:c>
      <x:c r="C23" s="45" t="str">
        <x:v>Juan Jesus Zuñiga Flores</x:v>
      </x:c>
      <x:c r="D23" s="45" t="str">
        <x:v>Juan Jesus Zuñiga Flores</x:v>
      </x:c>
    </x:row>
    <x:row r="24" ht="23" customHeight="1">
      <x:c r="A24" s="45" t="str">
        <x:v>Centro Poniente</x:v>
      </x:c>
      <x:c r="B24" s="45" t="str">
        <x:v>Manuel Alejandro Avila Molina</x:v>
      </x:c>
      <x:c r="C24" s="45" t="str">
        <x:v>Manuel Alejandro Avila Molina</x:v>
      </x:c>
      <x:c r="D24" s="45" t="str">
        <x:v>Manuel Alejandro Avila Molina</x:v>
      </x:c>
    </x:row>
    <x:row r="25" ht="23" customHeight="1">
      <x:c r="A25" s="45" t="str">
        <x:v>Centro Poniente</x:v>
      </x:c>
      <x:c r="B25" s="45" t="str">
        <x:v>Sin asignación</x:v>
      </x:c>
      <x:c r="C25" s="45" t="str">
        <x:v>Sin asignación</x:v>
      </x:c>
      <x:c r="D25" s="45" t="str">
        <x:v>Sin asignación</x:v>
      </x:c>
    </x:row>
    <x:row r="26" ht="23" customHeight="1">
      <x:c r="A26" s="45" t="str">
        <x:v>Centro Centro</x:v>
      </x:c>
      <x:c r="B26" s="45" t="str">
        <x:v>Alberto T. Aguilar Cauz</x:v>
      </x:c>
      <x:c r="C26" s="45" t="str">
        <x:v>Alberto T. Aguilar Cauz</x:v>
      </x:c>
      <x:c r="D26" s="45" t="str">
        <x:v>Alberto T. Aguilar Cauz</x:v>
      </x:c>
    </x:row>
    <x:row r="27" ht="23" customHeight="1">
      <x:c r="A27" s="45" t="str">
        <x:v>Centro Centro</x:v>
      </x:c>
      <x:c r="B27" s="45" t="str">
        <x:v>Carlos Saldaña Avila</x:v>
      </x:c>
      <x:c r="C27" s="45" t="str">
        <x:v>Carlos Saldaña Avila</x:v>
      </x:c>
      <x:c r="D27" s="45" t="str">
        <x:v>Carlos Saldaña Avila</x:v>
      </x:c>
    </x:row>
    <x:row r="28" ht="23" customHeight="1">
      <x:c r="A28" s="45" t="str">
        <x:v>Centro Centro</x:v>
      </x:c>
      <x:c r="B28" s="45" t="str">
        <x:v>Guadalupe Ibarra Martinez</x:v>
      </x:c>
      <x:c r="C28" s="45" t="str">
        <x:v>Guadalupe Ibarra Martinez</x:v>
      </x:c>
      <x:c r="D28" s="45" t="str">
        <x:v>Guadalupe Ibarra Martinez</x:v>
      </x:c>
    </x:row>
    <x:row r="29" ht="23" customHeight="1">
      <x:c r="A29" s="45" t="str">
        <x:v>Centro Centro</x:v>
      </x:c>
      <x:c r="B29" s="45" t="str">
        <x:v>Luis Manuel Neri Saldana</x:v>
      </x:c>
      <x:c r="C29" s="45" t="str">
        <x:v>Luis Manuel Neri Saldana</x:v>
      </x:c>
      <x:c r="D29" s="45" t="str">
        <x:v>Luis Manuel Neri Saldana</x:v>
      </x:c>
    </x:row>
    <x:row r="30" ht="23" customHeight="1">
      <x:c r="A30" s="45" t="str">
        <x:v>Centro Centro</x:v>
      </x:c>
      <x:c r="B30" s="45" t="str">
        <x:v>Maria Anallely Sanchez Garcia</x:v>
      </x:c>
      <x:c r="C30" s="45" t="str">
        <x:v>Maria Anallely Sanchez Garcia</x:v>
      </x:c>
      <x:c r="D30" s="45" t="str">
        <x:v>Maria Anallely Sanchez Garcia</x:v>
      </x:c>
    </x:row>
    <x:row r="31" ht="23" customHeight="1">
      <x:c r="A31" s="45" t="str">
        <x:v>Centro Centro</x:v>
      </x:c>
      <x:c r="B31" s="45" t="str">
        <x:v>Nora Caracas Saldaña</x:v>
      </x:c>
      <x:c r="C31" s="45" t="str">
        <x:v>Nora Caracas Saldaña</x:v>
      </x:c>
      <x:c r="D31" s="45" t="str">
        <x:v>Nora Caracas Saldaña</x:v>
      </x:c>
    </x:row>
    <x:row r="32" ht="23" customHeight="1">
      <x:c r="A32" s="45" t="str">
        <x:v>Centro Centro</x:v>
      </x:c>
      <x:c r="B32" s="45" t="str">
        <x:v>Sin asignación</x:v>
      </x:c>
      <x:c r="C32" s="45" t="str">
        <x:v>Sin asignación</x:v>
      </x:c>
      <x:c r="D32" s="45" t="str">
        <x:v>Sin asignación</x:v>
      </x:c>
    </x:row>
    <x:row r="33" ht="23" customHeight="1">
      <x:c r="A33" s="45" t="str">
        <x:v>Centro Centro</x:v>
      </x:c>
      <x:c r="B33" s="45" t="str">
        <x:v>Vacante</x:v>
      </x:c>
      <x:c r="C33" s="45" t="str">
        <x:v>Vacante</x:v>
      </x:c>
      <x:c r="D33" s="45" t="str">
        <x:v>Vacante</x:v>
      </x:c>
    </x:row>
    <x:row r="34" ht="23" customHeight="1">
      <x:c r="A34" s="45" t="str">
        <x:v>Bajío</x:v>
      </x:c>
      <x:c r="B34" s="45" t="str">
        <x:v>Christian Medina Capetillo</x:v>
      </x:c>
      <x:c r="C34" s="45" t="str">
        <x:v>Christian Medina Capetillo</x:v>
      </x:c>
      <x:c r="D34" s="45" t="str">
        <x:v>Christian Medina Capetillo</x:v>
      </x:c>
    </x:row>
    <x:row r="35" ht="23" customHeight="1">
      <x:c r="A35" s="45" t="str">
        <x:v>Bajío</x:v>
      </x:c>
      <x:c r="B35" s="45" t="str">
        <x:v>David Carrasco</x:v>
      </x:c>
      <x:c r="C35" s="45" t="str">
        <x:v>David Carrasco Hernandez</x:v>
      </x:c>
      <x:c r="D35" s="45" t="str">
        <x:v>David Carrasco</x:v>
      </x:c>
    </x:row>
    <x:row r="36" ht="23" customHeight="1">
      <x:c r="A36" s="45" t="str">
        <x:v>Bajío</x:v>
      </x:c>
      <x:c r="B36" s="45" t="str">
        <x:v>Elizabeth Berenice Chaires Espinoza</x:v>
      </x:c>
      <x:c r="C36" s="45" t="str">
        <x:v>Elizabeth Berenice Chaires Espinoza</x:v>
      </x:c>
      <x:c r="D36" s="45" t="str">
        <x:v>Elizabeth Berenice Chaires Espinoza</x:v>
      </x:c>
    </x:row>
    <x:row r="37" ht="23" customHeight="1">
      <x:c r="A37" s="45" t="str">
        <x:v>Bajío</x:v>
      </x:c>
      <x:c r="B37" s="45" t="str">
        <x:v>Gloria Montiel Piñon</x:v>
      </x:c>
      <x:c r="C37" s="45" t="str">
        <x:v>Gloria Montiel Piñon</x:v>
      </x:c>
      <x:c r="D37" s="45" t="str">
        <x:v>Gloria Montiel Piñon</x:v>
      </x:c>
    </x:row>
    <x:row r="38" ht="23" customHeight="1">
      <x:c r="A38" s="45" t="str">
        <x:v>Bajío</x:v>
      </x:c>
      <x:c r="B38" s="45" t="str">
        <x:v>Joel Pereda Rojas</x:v>
      </x:c>
      <x:c r="C38" s="45" t="str">
        <x:v>Joel Pereda Rojas</x:v>
      </x:c>
      <x:c r="D38" s="45" t="str">
        <x:v>Joel Pereda Rojas</x:v>
      </x:c>
    </x:row>
    <x:row r="39" ht="23" customHeight="1">
      <x:c r="A39" s="45" t="str">
        <x:v>Bajío</x:v>
      </x:c>
      <x:c r="B39" s="45" t="str">
        <x:v>Jose Antonio Gutierrez Lopez</x:v>
      </x:c>
      <x:c r="C39" s="45" t="str">
        <x:v>Jose Antonio Gutierrez Lopez</x:v>
      </x:c>
      <x:c r="D39" s="45" t="str">
        <x:v>Jose Antonio Gutierrez Lopez</x:v>
      </x:c>
    </x:row>
    <x:row r="40" ht="23" customHeight="1">
      <x:c r="A40" s="45" t="str">
        <x:v>Bajío</x:v>
      </x:c>
      <x:c r="B40" s="45" t="str">
        <x:v>Josue Joatan Gonzalez Anaya</x:v>
      </x:c>
      <x:c r="C40" s="45" t="str">
        <x:v>Josue Joatan Gonzalez Anaya</x:v>
      </x:c>
      <x:c r="D40" s="45" t="str">
        <x:v>Josue Joatan Gonzalez Anaya</x:v>
      </x:c>
    </x:row>
    <x:row r="41" ht="23" customHeight="1">
      <x:c r="A41" s="45" t="str">
        <x:v>Bajío</x:v>
      </x:c>
      <x:c r="B41" s="45" t="str">
        <x:v>Mauricio Sour Romero</x:v>
      </x:c>
      <x:c r="C41" s="45" t="str">
        <x:v>Mauricio Sour Romero</x:v>
      </x:c>
      <x:c r="D41" s="45" t="str">
        <x:v>Mauricio Sour Romero</x:v>
      </x:c>
    </x:row>
  </x:sheetData>
  <x:pageMargins left="0.7" right="0.7" top="0.75" bottom="0.75" header="0.3" footer="0.3"/>
  <x:tableParts count="1">
    <x:tablePart xmlns:r="http://schemas.openxmlformats.org/officeDocument/2006/relationships" r:id="R42261c3107c84e01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3" ySplit="1" topLeftCell="D2" activePane="bottomRight" state="frozen"/>
    </x:sheetView>
  </x:sheetViews>
  <x:sheetFormatPr baseColWidth="10" defaultColWidth="8.6640625" defaultRowHeight="14"/>
  <x:cols>
    <x:col min="1" max="1" width="11" hidden="0" customWidth="1"/>
    <x:col min="2" max="2" width="22" hidden="0" customWidth="1"/>
    <x:col min="3" max="6" width="14" customWidth="1"/>
    <x:col min="3" max="3" width="34" hidden="0" customWidth="1"/>
    <x:col min="4" max="4" width="25" hidden="0" customWidth="1"/>
    <x:col min="5" max="5" width="18" hidden="0" customWidth="1"/>
    <x:col min="6" max="6" width="30" hidden="0" customWidth="1"/>
  </x:cols>
  <x:sheetData>
    <x:row r="1" ht="34" customHeight="1">
      <x:c r="A1" s="84" t="str">
        <x:v>CC</x:v>
      </x:c>
      <x:c r="B1" s="84" t="str">
        <x:v>Región</x:v>
      </x:c>
      <x:c r="C1" s="84" t="str">
        <x:v>DM</x:v>
      </x:c>
      <x:c r="D1" s="84" t="str">
        <x:v>Relación Región DM</x:v>
      </x:c>
      <x:c r="E1" s="84" t="str">
        <x:v>CeCo único</x:v>
      </x:c>
      <x:c r="F1" s="84" t="str">
        <x:v>Ubicación</x:v>
      </x:c>
    </x:row>
    <x:row r="2" ht="23" customHeight="1">
      <x:c r="A2" s="45" t="str">
        <x:f>'Ubicaciones'!C2</x:f>
        <x:v>38333</x:v>
      </x:c>
      <x:c r="B2" s="45" t="str">
        <x:f>'Ubicaciones'!A2</x:f>
        <x:v>Centro Norte</x:v>
      </x:c>
      <x:c r="C2" s="45" t="str">
        <x:f>'Ubicaciones'!B2</x:f>
        <x:v>Enrique César</x:v>
      </x:c>
      <x:c r="D2" s="45" t="str">
        <x:f>IF(COUNTIFS('Catalogos'!$A$2:$A$41,B2,'Catalogos'!$B$2:$B$41,C2)&gt;0,"Correcta","Revisar Región DM")</x:f>
        <x:v>Correcta</x:v>
      </x:c>
      <x:c r="E2" s="45" t="str">
        <x:f>IF(COUNTIFS('Ubicaciones'!$C$2:$C$10001,A2)=1,"Único","Duplicado")</x:f>
        <x:v>Único</x:v>
      </x:c>
      <x:c r="F2" s="45" t="str">
        <x:f>IF('Ubicaciones'!T2=1,"Ubicable",IF('Ubicaciones'!E2&lt;&gt;"Abierta","Fuera por estatus","Coordenadas pendientes"))</x:f>
        <x:v>Ubicable</x:v>
      </x:c>
    </x:row>
    <x:row r="3" ht="23" customHeight="1">
      <x:c r="A3" s="45" t="str">
        <x:f>'Ubicaciones'!C3</x:f>
        <x:v>38339</x:v>
      </x:c>
      <x:c r="B3" s="45" t="str">
        <x:f>'Ubicaciones'!A3</x:f>
        <x:v>Centro Norte</x:v>
      </x:c>
      <x:c r="C3" s="45" t="str">
        <x:f>'Ubicaciones'!B3</x:f>
        <x:v>Enrique César</x:v>
      </x:c>
      <x:c r="D3" s="45" t="str">
        <x:f>IF(COUNTIFS('Catalogos'!$A$2:$A$41,B3,'Catalogos'!$B$2:$B$41,C3)&gt;0,"Correcta","Revisar Región DM")</x:f>
        <x:v>Correcta</x:v>
      </x:c>
      <x:c r="E3" s="45" t="str">
        <x:f>IF(COUNTIFS('Ubicaciones'!$C$2:$C$10001,A3)=1,"Único","Duplicado")</x:f>
        <x:v>Único</x:v>
      </x:c>
      <x:c r="F3" s="45" t="str">
        <x:f>IF('Ubicaciones'!T3=1,"Ubicable",IF('Ubicaciones'!E3&lt;&gt;"Abierta","Fuera por estatus","Coordenadas pendientes"))</x:f>
        <x:v>Ubicable</x:v>
      </x:c>
    </x:row>
    <x:row r="4" ht="23" customHeight="1">
      <x:c r="A4" s="45" t="str">
        <x:f>'Ubicaciones'!C4</x:f>
        <x:v>38368</x:v>
      </x:c>
      <x:c r="B4" s="45" t="str">
        <x:f>'Ubicaciones'!A4</x:f>
        <x:v>Centro Norte</x:v>
      </x:c>
      <x:c r="C4" s="45" t="str">
        <x:f>'Ubicaciones'!B4</x:f>
        <x:v>Enrique César</x:v>
      </x:c>
      <x:c r="D4" s="45" t="str">
        <x:f>IF(COUNTIFS('Catalogos'!$A$2:$A$41,B4,'Catalogos'!$B$2:$B$41,C4)&gt;0,"Correcta","Revisar Región DM")</x:f>
        <x:v>Correcta</x:v>
      </x:c>
      <x:c r="E4" s="45" t="str">
        <x:f>IF(COUNTIFS('Ubicaciones'!$C$2:$C$10001,A4)=1,"Único","Duplicado")</x:f>
        <x:v>Único</x:v>
      </x:c>
      <x:c r="F4" s="45" t="str">
        <x:f>IF('Ubicaciones'!T4=1,"Ubicable",IF('Ubicaciones'!E4&lt;&gt;"Abierta","Fuera por estatus","Coordenadas pendientes"))</x:f>
        <x:v>Ubicable</x:v>
      </x:c>
    </x:row>
    <x:row r="5" ht="23" customHeight="1">
      <x:c r="A5" s="45" t="str">
        <x:f>'Ubicaciones'!C5</x:f>
        <x:v>38401</x:v>
      </x:c>
      <x:c r="B5" s="45" t="str">
        <x:f>'Ubicaciones'!A5</x:f>
        <x:v>Centro Norte</x:v>
      </x:c>
      <x:c r="C5" s="45" t="str">
        <x:f>'Ubicaciones'!B5</x:f>
        <x:v>Enrique César</x:v>
      </x:c>
      <x:c r="D5" s="45" t="str">
        <x:f>IF(COUNTIFS('Catalogos'!$A$2:$A$41,B5,'Catalogos'!$B$2:$B$41,C5)&gt;0,"Correcta","Revisar Región DM")</x:f>
        <x:v>Correcta</x:v>
      </x:c>
      <x:c r="E5" s="45" t="str">
        <x:f>IF(COUNTIFS('Ubicaciones'!$C$2:$C$10001,A5)=1,"Único","Duplicado")</x:f>
        <x:v>Único</x:v>
      </x:c>
      <x:c r="F5" s="45" t="str">
        <x:f>IF('Ubicaciones'!T5=1,"Ubicable",IF('Ubicaciones'!E5&lt;&gt;"Abierta","Fuera por estatus","Coordenadas pendientes"))</x:f>
        <x:v>Ubicable</x:v>
      </x:c>
    </x:row>
    <x:row r="6" ht="23" customHeight="1">
      <x:c r="A6" s="45" t="str">
        <x:f>'Ubicaciones'!C6</x:f>
        <x:v>38456</x:v>
      </x:c>
      <x:c r="B6" s="45" t="str">
        <x:f>'Ubicaciones'!A6</x:f>
        <x:v>Centro Norte</x:v>
      </x:c>
      <x:c r="C6" s="45" t="str">
        <x:f>'Ubicaciones'!B6</x:f>
        <x:v>Enrique César</x:v>
      </x:c>
      <x:c r="D6" s="45" t="str">
        <x:f>IF(COUNTIFS('Catalogos'!$A$2:$A$41,B6,'Catalogos'!$B$2:$B$41,C6)&gt;0,"Correcta","Revisar Región DM")</x:f>
        <x:v>Correcta</x:v>
      </x:c>
      <x:c r="E6" s="45" t="str">
        <x:f>IF(COUNTIFS('Ubicaciones'!$C$2:$C$10001,A6)=1,"Único","Duplicado")</x:f>
        <x:v>Único</x:v>
      </x:c>
      <x:c r="F6" s="45" t="str">
        <x:f>IF('Ubicaciones'!T6=1,"Ubicable",IF('Ubicaciones'!E6&lt;&gt;"Abierta","Fuera por estatus","Coordenadas pendientes"))</x:f>
        <x:v>Ubicable</x:v>
      </x:c>
    </x:row>
    <x:row r="7" ht="23" customHeight="1">
      <x:c r="A7" s="45" t="str">
        <x:f>'Ubicaciones'!C7</x:f>
        <x:v>38515</x:v>
      </x:c>
      <x:c r="B7" s="45" t="str">
        <x:f>'Ubicaciones'!A7</x:f>
        <x:v>Centro Norte</x:v>
      </x:c>
      <x:c r="C7" s="45" t="str">
        <x:f>'Ubicaciones'!B7</x:f>
        <x:v>Enrique César</x:v>
      </x:c>
      <x:c r="D7" s="45" t="str">
        <x:f>IF(COUNTIFS('Catalogos'!$A$2:$A$41,B7,'Catalogos'!$B$2:$B$41,C7)&gt;0,"Correcta","Revisar Región DM")</x:f>
        <x:v>Correcta</x:v>
      </x:c>
      <x:c r="E7" s="45" t="str">
        <x:f>IF(COUNTIFS('Ubicaciones'!$C$2:$C$10001,A7)=1,"Único","Duplicado")</x:f>
        <x:v>Único</x:v>
      </x:c>
      <x:c r="F7" s="45" t="str">
        <x:f>IF('Ubicaciones'!T7=1,"Ubicable",IF('Ubicaciones'!E7&lt;&gt;"Abierta","Fuera por estatus","Coordenadas pendientes"))</x:f>
        <x:v>Ubicable</x:v>
      </x:c>
    </x:row>
    <x:row r="8" ht="23" customHeight="1">
      <x:c r="A8" s="45" t="str">
        <x:f>'Ubicaciones'!C8</x:f>
        <x:v>38604</x:v>
      </x:c>
      <x:c r="B8" s="45" t="str">
        <x:f>'Ubicaciones'!A8</x:f>
        <x:v>Centro Norte</x:v>
      </x:c>
      <x:c r="C8" s="45" t="str">
        <x:f>'Ubicaciones'!B8</x:f>
        <x:v>Enrique César</x:v>
      </x:c>
      <x:c r="D8" s="45" t="str">
        <x:f>IF(COUNTIFS('Catalogos'!$A$2:$A$41,B8,'Catalogos'!$B$2:$B$41,C8)&gt;0,"Correcta","Revisar Región DM")</x:f>
        <x:v>Correcta</x:v>
      </x:c>
      <x:c r="E8" s="45" t="str">
        <x:f>IF(COUNTIFS('Ubicaciones'!$C$2:$C$10001,A8)=1,"Único","Duplicado")</x:f>
        <x:v>Único</x:v>
      </x:c>
      <x:c r="F8" s="45" t="str">
        <x:f>IF('Ubicaciones'!T8=1,"Ubicable",IF('Ubicaciones'!E8&lt;&gt;"Abierta","Fuera por estatus","Coordenadas pendientes"))</x:f>
        <x:v>Ubicable</x:v>
      </x:c>
    </x:row>
    <x:row r="9" ht="23" customHeight="1">
      <x:c r="A9" s="45" t="str">
        <x:f>'Ubicaciones'!C9</x:f>
        <x:v>38862</x:v>
      </x:c>
      <x:c r="B9" s="45" t="str">
        <x:f>'Ubicaciones'!A9</x:f>
        <x:v>Centro Norte</x:v>
      </x:c>
      <x:c r="C9" s="45" t="str">
        <x:f>'Ubicaciones'!B9</x:f>
        <x:v>Enrique César</x:v>
      </x:c>
      <x:c r="D9" s="45" t="str">
        <x:f>IF(COUNTIFS('Catalogos'!$A$2:$A$41,B9,'Catalogos'!$B$2:$B$41,C9)&gt;0,"Correcta","Revisar Región DM")</x:f>
        <x:v>Correcta</x:v>
      </x:c>
      <x:c r="E9" s="45" t="str">
        <x:f>IF(COUNTIFS('Ubicaciones'!$C$2:$C$10001,A9)=1,"Único","Duplicado")</x:f>
        <x:v>Único</x:v>
      </x:c>
      <x:c r="F9" s="45" t="str">
        <x:f>IF('Ubicaciones'!T9=1,"Ubicable",IF('Ubicaciones'!E9&lt;&gt;"Abierta","Fuera por estatus","Coordenadas pendientes"))</x:f>
        <x:v>Ubicable</x:v>
      </x:c>
    </x:row>
    <x:row r="10" ht="23" customHeight="1">
      <x:c r="A10" s="45" t="str">
        <x:f>'Ubicaciones'!C10</x:f>
        <x:v>38894</x:v>
      </x:c>
      <x:c r="B10" s="45" t="str">
        <x:f>'Ubicaciones'!A10</x:f>
        <x:v>Centro Norte</x:v>
      </x:c>
      <x:c r="C10" s="45" t="str">
        <x:f>'Ubicaciones'!B10</x:f>
        <x:v>Enrique César</x:v>
      </x:c>
      <x:c r="D10" s="45" t="str">
        <x:f>IF(COUNTIFS('Catalogos'!$A$2:$A$41,B10,'Catalogos'!$B$2:$B$41,C10)&gt;0,"Correcta","Revisar Región DM")</x:f>
        <x:v>Correcta</x:v>
      </x:c>
      <x:c r="E10" s="45" t="str">
        <x:f>IF(COUNTIFS('Ubicaciones'!$C$2:$C$10001,A10)=1,"Único","Duplicado")</x:f>
        <x:v>Único</x:v>
      </x:c>
      <x:c r="F10" s="45" t="str">
        <x:f>IF('Ubicaciones'!T10=1,"Ubicable",IF('Ubicaciones'!E10&lt;&gt;"Abierta","Fuera por estatus","Coordenadas pendientes"))</x:f>
        <x:v>Ubicable</x:v>
      </x:c>
    </x:row>
    <x:row r="11" ht="23" customHeight="1">
      <x:c r="A11" s="45" t="str">
        <x:f>'Ubicaciones'!C11</x:f>
        <x:v>43193</x:v>
      </x:c>
      <x:c r="B11" s="45" t="str">
        <x:f>'Ubicaciones'!A11</x:f>
        <x:v>Centro Norte</x:v>
      </x:c>
      <x:c r="C11" s="45" t="str">
        <x:f>'Ubicaciones'!B11</x:f>
        <x:v>Enrique César</x:v>
      </x:c>
      <x:c r="D11" s="45" t="str">
        <x:f>IF(COUNTIFS('Catalogos'!$A$2:$A$41,B11,'Catalogos'!$B$2:$B$41,C11)&gt;0,"Correcta","Revisar Región DM")</x:f>
        <x:v>Correcta</x:v>
      </x:c>
      <x:c r="E11" s="45" t="str">
        <x:f>IF(COUNTIFS('Ubicaciones'!$C$2:$C$10001,A11)=1,"Único","Duplicado")</x:f>
        <x:v>Único</x:v>
      </x:c>
      <x:c r="F11" s="45" t="str">
        <x:f>IF('Ubicaciones'!T11=1,"Ubicable",IF('Ubicaciones'!E11&lt;&gt;"Abierta","Fuera por estatus","Coordenadas pendientes"))</x:f>
        <x:v>Ubicable</x:v>
      </x:c>
    </x:row>
    <x:row r="12" ht="23" customHeight="1">
      <x:c r="A12" s="45" t="str">
        <x:f>'Ubicaciones'!C12</x:f>
        <x:v>43300</x:v>
      </x:c>
      <x:c r="B12" s="45" t="str">
        <x:f>'Ubicaciones'!A12</x:f>
        <x:v>Centro Norte</x:v>
      </x:c>
      <x:c r="C12" s="45" t="str">
        <x:f>'Ubicaciones'!B12</x:f>
        <x:v>Enrique César</x:v>
      </x:c>
      <x:c r="D12" s="45" t="str">
        <x:f>IF(COUNTIFS('Catalogos'!$A$2:$A$41,B12,'Catalogos'!$B$2:$B$41,C12)&gt;0,"Correcta","Revisar Región DM")</x:f>
        <x:v>Correcta</x:v>
      </x:c>
      <x:c r="E12" s="45" t="str">
        <x:f>IF(COUNTIFS('Ubicaciones'!$C$2:$C$10001,A12)=1,"Único","Duplicado")</x:f>
        <x:v>Único</x:v>
      </x:c>
      <x:c r="F12" s="45" t="str">
        <x:f>IF('Ubicaciones'!T12=1,"Ubicable",IF('Ubicaciones'!E12&lt;&gt;"Abierta","Fuera por estatus","Coordenadas pendientes"))</x:f>
        <x:v>Fuera por estatus</x:v>
      </x:c>
    </x:row>
    <x:row r="13" ht="23" customHeight="1">
      <x:c r="A13" s="45" t="str">
        <x:f>'Ubicaciones'!C13</x:f>
        <x:v>43301</x:v>
      </x:c>
      <x:c r="B13" s="45" t="str">
        <x:f>'Ubicaciones'!A13</x:f>
        <x:v>Centro Norte</x:v>
      </x:c>
      <x:c r="C13" s="45" t="str">
        <x:f>'Ubicaciones'!B13</x:f>
        <x:v>Enrique César</x:v>
      </x:c>
      <x:c r="D13" s="45" t="str">
        <x:f>IF(COUNTIFS('Catalogos'!$A$2:$A$41,B13,'Catalogos'!$B$2:$B$41,C13)&gt;0,"Correcta","Revisar Región DM")</x:f>
        <x:v>Correcta</x:v>
      </x:c>
      <x:c r="E13" s="45" t="str">
        <x:f>IF(COUNTIFS('Ubicaciones'!$C$2:$C$10001,A13)=1,"Único","Duplicado")</x:f>
        <x:v>Único</x:v>
      </x:c>
      <x:c r="F13" s="45" t="str">
        <x:f>IF('Ubicaciones'!T13=1,"Ubicable",IF('Ubicaciones'!E13&lt;&gt;"Abierta","Fuera por estatus","Coordenadas pendientes"))</x:f>
        <x:v>Fuera por estatus</x:v>
      </x:c>
    </x:row>
    <x:row r="14" ht="23" customHeight="1">
      <x:c r="A14" s="45" t="str">
        <x:f>'Ubicaciones'!C14</x:f>
        <x:v>38136</x:v>
      </x:c>
      <x:c r="B14" s="45" t="str">
        <x:f>'Ubicaciones'!A14</x:f>
        <x:v>Centro Norte</x:v>
      </x:c>
      <x:c r="C14" s="45" t="str">
        <x:f>'Ubicaciones'!B14</x:f>
        <x:v>Nancy Rodríguez</x:v>
      </x:c>
      <x:c r="D14" s="45" t="str">
        <x:f>IF(COUNTIFS('Catalogos'!$A$2:$A$41,B14,'Catalogos'!$B$2:$B$41,C14)&gt;0,"Correcta","Revisar Región DM")</x:f>
        <x:v>Correcta</x:v>
      </x:c>
      <x:c r="E14" s="45" t="str">
        <x:f>IF(COUNTIFS('Ubicaciones'!$C$2:$C$10001,A14)=1,"Único","Duplicado")</x:f>
        <x:v>Único</x:v>
      </x:c>
      <x:c r="F14" s="45" t="str">
        <x:f>IF('Ubicaciones'!T14=1,"Ubicable",IF('Ubicaciones'!E14&lt;&gt;"Abierta","Fuera por estatus","Coordenadas pendientes"))</x:f>
        <x:v>Ubicable</x:v>
      </x:c>
    </x:row>
    <x:row r="15" ht="23" customHeight="1">
      <x:c r="A15" s="45" t="str">
        <x:f>'Ubicaciones'!C15</x:f>
        <x:v>38186</x:v>
      </x:c>
      <x:c r="B15" s="45" t="str">
        <x:f>'Ubicaciones'!A15</x:f>
        <x:v>Centro Norte</x:v>
      </x:c>
      <x:c r="C15" s="45" t="str">
        <x:f>'Ubicaciones'!B15</x:f>
        <x:v>Nancy Rodríguez</x:v>
      </x:c>
      <x:c r="D15" s="45" t="str">
        <x:f>IF(COUNTIFS('Catalogos'!$A$2:$A$41,B15,'Catalogos'!$B$2:$B$41,C15)&gt;0,"Correcta","Revisar Región DM")</x:f>
        <x:v>Correcta</x:v>
      </x:c>
      <x:c r="E15" s="45" t="str">
        <x:f>IF(COUNTIFS('Ubicaciones'!$C$2:$C$10001,A15)=1,"Único","Duplicado")</x:f>
        <x:v>Único</x:v>
      </x:c>
      <x:c r="F15" s="45" t="str">
        <x:f>IF('Ubicaciones'!T15=1,"Ubicable",IF('Ubicaciones'!E15&lt;&gt;"Abierta","Fuera por estatus","Coordenadas pendientes"))</x:f>
        <x:v>Ubicable</x:v>
      </x:c>
    </x:row>
    <x:row r="16" ht="23" customHeight="1">
      <x:c r="A16" s="45" t="str">
        <x:f>'Ubicaciones'!C16</x:f>
        <x:v>38230</x:v>
      </x:c>
      <x:c r="B16" s="45" t="str">
        <x:f>'Ubicaciones'!A16</x:f>
        <x:v>Centro Norte</x:v>
      </x:c>
      <x:c r="C16" s="45" t="str">
        <x:f>'Ubicaciones'!B16</x:f>
        <x:v>Nancy Rodríguez</x:v>
      </x:c>
      <x:c r="D16" s="45" t="str">
        <x:f>IF(COUNTIFS('Catalogos'!$A$2:$A$41,B16,'Catalogos'!$B$2:$B$41,C16)&gt;0,"Correcta","Revisar Región DM")</x:f>
        <x:v>Correcta</x:v>
      </x:c>
      <x:c r="E16" s="45" t="str">
        <x:f>IF(COUNTIFS('Ubicaciones'!$C$2:$C$10001,A16)=1,"Único","Duplicado")</x:f>
        <x:v>Único</x:v>
      </x:c>
      <x:c r="F16" s="45" t="str">
        <x:f>IF('Ubicaciones'!T16=1,"Ubicable",IF('Ubicaciones'!E16&lt;&gt;"Abierta","Fuera por estatus","Coordenadas pendientes"))</x:f>
        <x:v>Ubicable</x:v>
      </x:c>
    </x:row>
    <x:row r="17" ht="23" customHeight="1">
      <x:c r="A17" s="45" t="str">
        <x:f>'Ubicaciones'!C17</x:f>
        <x:v>38374</x:v>
      </x:c>
      <x:c r="B17" s="45" t="str">
        <x:f>'Ubicaciones'!A17</x:f>
        <x:v>Centro Norte</x:v>
      </x:c>
      <x:c r="C17" s="45" t="str">
        <x:f>'Ubicaciones'!B17</x:f>
        <x:v>Nancy Rodríguez</x:v>
      </x:c>
      <x:c r="D17" s="45" t="str">
        <x:f>IF(COUNTIFS('Catalogos'!$A$2:$A$41,B17,'Catalogos'!$B$2:$B$41,C17)&gt;0,"Correcta","Revisar Región DM")</x:f>
        <x:v>Correcta</x:v>
      </x:c>
      <x:c r="E17" s="45" t="str">
        <x:f>IF(COUNTIFS('Ubicaciones'!$C$2:$C$10001,A17)=1,"Único","Duplicado")</x:f>
        <x:v>Único</x:v>
      </x:c>
      <x:c r="F17" s="45" t="str">
        <x:f>IF('Ubicaciones'!T17=1,"Ubicable",IF('Ubicaciones'!E17&lt;&gt;"Abierta","Fuera por estatus","Coordenadas pendientes"))</x:f>
        <x:v>Ubicable</x:v>
      </x:c>
    </x:row>
    <x:row r="18" ht="23" customHeight="1">
      <x:c r="A18" s="45" t="str">
        <x:f>'Ubicaciones'!C18</x:f>
        <x:v>38442</x:v>
      </x:c>
      <x:c r="B18" s="45" t="str">
        <x:f>'Ubicaciones'!A18</x:f>
        <x:v>Centro Norte</x:v>
      </x:c>
      <x:c r="C18" s="45" t="str">
        <x:f>'Ubicaciones'!B18</x:f>
        <x:v>Nancy Rodríguez</x:v>
      </x:c>
      <x:c r="D18" s="45" t="str">
        <x:f>IF(COUNTIFS('Catalogos'!$A$2:$A$41,B18,'Catalogos'!$B$2:$B$41,C18)&gt;0,"Correcta","Revisar Región DM")</x:f>
        <x:v>Correcta</x:v>
      </x:c>
      <x:c r="E18" s="45" t="str">
        <x:f>IF(COUNTIFS('Ubicaciones'!$C$2:$C$10001,A18)=1,"Único","Duplicado")</x:f>
        <x:v>Único</x:v>
      </x:c>
      <x:c r="F18" s="45" t="str">
        <x:f>IF('Ubicaciones'!T18=1,"Ubicable",IF('Ubicaciones'!E18&lt;&gt;"Abierta","Fuera por estatus","Coordenadas pendientes"))</x:f>
        <x:v>Ubicable</x:v>
      </x:c>
    </x:row>
    <x:row r="19" ht="23" customHeight="1">
      <x:c r="A19" s="45" t="str">
        <x:f>'Ubicaciones'!C19</x:f>
        <x:v>38460</x:v>
      </x:c>
      <x:c r="B19" s="45" t="str">
        <x:f>'Ubicaciones'!A19</x:f>
        <x:v>Centro Norte</x:v>
      </x:c>
      <x:c r="C19" s="45" t="str">
        <x:f>'Ubicaciones'!B19</x:f>
        <x:v>Nancy Rodríguez</x:v>
      </x:c>
      <x:c r="D19" s="45" t="str">
        <x:f>IF(COUNTIFS('Catalogos'!$A$2:$A$41,B19,'Catalogos'!$B$2:$B$41,C19)&gt;0,"Correcta","Revisar Región DM")</x:f>
        <x:v>Correcta</x:v>
      </x:c>
      <x:c r="E19" s="45" t="str">
        <x:f>IF(COUNTIFS('Ubicaciones'!$C$2:$C$10001,A19)=1,"Único","Duplicado")</x:f>
        <x:v>Único</x:v>
      </x:c>
      <x:c r="F19" s="45" t="str">
        <x:f>IF('Ubicaciones'!T19=1,"Ubicable",IF('Ubicaciones'!E19&lt;&gt;"Abierta","Fuera por estatus","Coordenadas pendientes"))</x:f>
        <x:v>Ubicable</x:v>
      </x:c>
    </x:row>
    <x:row r="20" ht="23" customHeight="1">
      <x:c r="A20" s="45" t="str">
        <x:f>'Ubicaciones'!C20</x:f>
        <x:v>38606</x:v>
      </x:c>
      <x:c r="B20" s="45" t="str">
        <x:f>'Ubicaciones'!A20</x:f>
        <x:v>Centro Norte</x:v>
      </x:c>
      <x:c r="C20" s="45" t="str">
        <x:f>'Ubicaciones'!B20</x:f>
        <x:v>Nancy Rodríguez</x:v>
      </x:c>
      <x:c r="D20" s="45" t="str">
        <x:f>IF(COUNTIFS('Catalogos'!$A$2:$A$41,B20,'Catalogos'!$B$2:$B$41,C20)&gt;0,"Correcta","Revisar Región DM")</x:f>
        <x:v>Correcta</x:v>
      </x:c>
      <x:c r="E20" s="45" t="str">
        <x:f>IF(COUNTIFS('Ubicaciones'!$C$2:$C$10001,A20)=1,"Único","Duplicado")</x:f>
        <x:v>Único</x:v>
      </x:c>
      <x:c r="F20" s="45" t="str">
        <x:f>IF('Ubicaciones'!T20=1,"Ubicable",IF('Ubicaciones'!E20&lt;&gt;"Abierta","Fuera por estatus","Coordenadas pendientes"))</x:f>
        <x:v>Ubicable</x:v>
      </x:c>
    </x:row>
    <x:row r="21" ht="23" customHeight="1">
      <x:c r="A21" s="45" t="str">
        <x:f>'Ubicaciones'!C21</x:f>
        <x:v>38661</x:v>
      </x:c>
      <x:c r="B21" s="45" t="str">
        <x:f>'Ubicaciones'!A21</x:f>
        <x:v>Centro Norte</x:v>
      </x:c>
      <x:c r="C21" s="45" t="str">
        <x:f>'Ubicaciones'!B21</x:f>
        <x:v>Nancy Rodríguez</x:v>
      </x:c>
      <x:c r="D21" s="45" t="str">
        <x:f>IF(COUNTIFS('Catalogos'!$A$2:$A$41,B21,'Catalogos'!$B$2:$B$41,C21)&gt;0,"Correcta","Revisar Región DM")</x:f>
        <x:v>Correcta</x:v>
      </x:c>
      <x:c r="E21" s="45" t="str">
        <x:f>IF(COUNTIFS('Ubicaciones'!$C$2:$C$10001,A21)=1,"Único","Duplicado")</x:f>
        <x:v>Único</x:v>
      </x:c>
      <x:c r="F21" s="45" t="str">
        <x:f>IF('Ubicaciones'!T21=1,"Ubicable",IF('Ubicaciones'!E21&lt;&gt;"Abierta","Fuera por estatus","Coordenadas pendientes"))</x:f>
        <x:v>Ubicable</x:v>
      </x:c>
    </x:row>
    <x:row r="22" ht="23" customHeight="1">
      <x:c r="A22" s="45" t="str">
        <x:f>'Ubicaciones'!C22</x:f>
        <x:v>38674</x:v>
      </x:c>
      <x:c r="B22" s="45" t="str">
        <x:f>'Ubicaciones'!A22</x:f>
        <x:v>Centro Norte</x:v>
      </x:c>
      <x:c r="C22" s="45" t="str">
        <x:f>'Ubicaciones'!B22</x:f>
        <x:v>Nancy Rodríguez</x:v>
      </x:c>
      <x:c r="D22" s="45" t="str">
        <x:f>IF(COUNTIFS('Catalogos'!$A$2:$A$41,B22,'Catalogos'!$B$2:$B$41,C22)&gt;0,"Correcta","Revisar Región DM")</x:f>
        <x:v>Correcta</x:v>
      </x:c>
      <x:c r="E22" s="45" t="str">
        <x:f>IF(COUNTIFS('Ubicaciones'!$C$2:$C$10001,A22)=1,"Único","Duplicado")</x:f>
        <x:v>Único</x:v>
      </x:c>
      <x:c r="F22" s="45" t="str">
        <x:f>IF('Ubicaciones'!T22=1,"Ubicable",IF('Ubicaciones'!E22&lt;&gt;"Abierta","Fuera por estatus","Coordenadas pendientes"))</x:f>
        <x:v>Ubicable</x:v>
      </x:c>
    </x:row>
    <x:row r="23" ht="23" customHeight="1">
      <x:c r="A23" s="45" t="str">
        <x:f>'Ubicaciones'!C23</x:f>
        <x:v>38694</x:v>
      </x:c>
      <x:c r="B23" s="45" t="str">
        <x:f>'Ubicaciones'!A23</x:f>
        <x:v>Centro Norte</x:v>
      </x:c>
      <x:c r="C23" s="45" t="str">
        <x:f>'Ubicaciones'!B23</x:f>
        <x:v>Nancy Rodríguez</x:v>
      </x:c>
      <x:c r="D23" s="45" t="str">
        <x:f>IF(COUNTIFS('Catalogos'!$A$2:$A$41,B23,'Catalogos'!$B$2:$B$41,C23)&gt;0,"Correcta","Revisar Región DM")</x:f>
        <x:v>Correcta</x:v>
      </x:c>
      <x:c r="E23" s="45" t="str">
        <x:f>IF(COUNTIFS('Ubicaciones'!$C$2:$C$10001,A23)=1,"Único","Duplicado")</x:f>
        <x:v>Único</x:v>
      </x:c>
      <x:c r="F23" s="45" t="str">
        <x:f>IF('Ubicaciones'!T23=1,"Ubicable",IF('Ubicaciones'!E23&lt;&gt;"Abierta","Fuera por estatus","Coordenadas pendientes"))</x:f>
        <x:v>Ubicable</x:v>
      </x:c>
    </x:row>
    <x:row r="24" ht="23" customHeight="1">
      <x:c r="A24" s="45" t="str">
        <x:f>'Ubicaciones'!C24</x:f>
        <x:v>38792</x:v>
      </x:c>
      <x:c r="B24" s="45" t="str">
        <x:f>'Ubicaciones'!A24</x:f>
        <x:v>Centro Norte</x:v>
      </x:c>
      <x:c r="C24" s="45" t="str">
        <x:f>'Ubicaciones'!B24</x:f>
        <x:v>Nancy Rodríguez</x:v>
      </x:c>
      <x:c r="D24" s="45" t="str">
        <x:f>IF(COUNTIFS('Catalogos'!$A$2:$A$41,B24,'Catalogos'!$B$2:$B$41,C24)&gt;0,"Correcta","Revisar Región DM")</x:f>
        <x:v>Correcta</x:v>
      </x:c>
      <x:c r="E24" s="45" t="str">
        <x:f>IF(COUNTIFS('Ubicaciones'!$C$2:$C$10001,A24)=1,"Único","Duplicado")</x:f>
        <x:v>Único</x:v>
      </x:c>
      <x:c r="F24" s="45" t="str">
        <x:f>IF('Ubicaciones'!T24=1,"Ubicable",IF('Ubicaciones'!E24&lt;&gt;"Abierta","Fuera por estatus","Coordenadas pendientes"))</x:f>
        <x:v>Ubicable</x:v>
      </x:c>
    </x:row>
    <x:row r="25" ht="23" customHeight="1">
      <x:c r="A25" s="45" t="str">
        <x:f>'Ubicaciones'!C25</x:f>
        <x:v>38845</x:v>
      </x:c>
      <x:c r="B25" s="45" t="str">
        <x:f>'Ubicaciones'!A25</x:f>
        <x:v>Centro Norte</x:v>
      </x:c>
      <x:c r="C25" s="45" t="str">
        <x:f>'Ubicaciones'!B25</x:f>
        <x:v>Nancy Rodríguez</x:v>
      </x:c>
      <x:c r="D25" s="45" t="str">
        <x:f>IF(COUNTIFS('Catalogos'!$A$2:$A$41,B25,'Catalogos'!$B$2:$B$41,C25)&gt;0,"Correcta","Revisar Región DM")</x:f>
        <x:v>Correcta</x:v>
      </x:c>
      <x:c r="E25" s="45" t="str">
        <x:f>IF(COUNTIFS('Ubicaciones'!$C$2:$C$10001,A25)=1,"Único","Duplicado")</x:f>
        <x:v>Único</x:v>
      </x:c>
      <x:c r="F25" s="45" t="str">
        <x:f>IF('Ubicaciones'!T25=1,"Ubicable",IF('Ubicaciones'!E25&lt;&gt;"Abierta","Fuera por estatus","Coordenadas pendientes"))</x:f>
        <x:v>Ubicable</x:v>
      </x:c>
    </x:row>
    <x:row r="26" ht="23" customHeight="1">
      <x:c r="A26" s="45" t="str">
        <x:f>'Ubicaciones'!C26</x:f>
        <x:v>43261</x:v>
      </x:c>
      <x:c r="B26" s="45" t="str">
        <x:f>'Ubicaciones'!A26</x:f>
        <x:v>Centro Norte</x:v>
      </x:c>
      <x:c r="C26" s="45" t="str">
        <x:f>'Ubicaciones'!B26</x:f>
        <x:v>Nancy Rodríguez</x:v>
      </x:c>
      <x:c r="D26" s="45" t="str">
        <x:f>IF(COUNTIFS('Catalogos'!$A$2:$A$41,B26,'Catalogos'!$B$2:$B$41,C26)&gt;0,"Correcta","Revisar Región DM")</x:f>
        <x:v>Correcta</x:v>
      </x:c>
      <x:c r="E26" s="45" t="str">
        <x:f>IF(COUNTIFS('Ubicaciones'!$C$2:$C$10001,A26)=1,"Único","Duplicado")</x:f>
        <x:v>Único</x:v>
      </x:c>
      <x:c r="F26" s="45" t="str">
        <x:f>IF('Ubicaciones'!T26=1,"Ubicable",IF('Ubicaciones'!E26&lt;&gt;"Abierta","Fuera por estatus","Coordenadas pendientes"))</x:f>
        <x:v>Ubicable</x:v>
      </x:c>
    </x:row>
    <x:row r="27" ht="23" customHeight="1">
      <x:c r="A27" s="45" t="str">
        <x:f>'Ubicaciones'!C27</x:f>
        <x:v>38205</x:v>
      </x:c>
      <x:c r="B27" s="45" t="str">
        <x:f>'Ubicaciones'!A27</x:f>
        <x:v>Centro Norte</x:v>
      </x:c>
      <x:c r="C27" s="45" t="str">
        <x:f>'Ubicaciones'!B27</x:f>
        <x:v>Vanessa Carreño</x:v>
      </x:c>
      <x:c r="D27" s="45" t="str">
        <x:f>IF(COUNTIFS('Catalogos'!$A$2:$A$41,B27,'Catalogos'!$B$2:$B$41,C27)&gt;0,"Correcta","Revisar Región DM")</x:f>
        <x:v>Correcta</x:v>
      </x:c>
      <x:c r="E27" s="45" t="str">
        <x:f>IF(COUNTIFS('Ubicaciones'!$C$2:$C$10001,A27)=1,"Único","Duplicado")</x:f>
        <x:v>Único</x:v>
      </x:c>
      <x:c r="F27" s="45" t="str">
        <x:f>IF('Ubicaciones'!T27=1,"Ubicable",IF('Ubicaciones'!E27&lt;&gt;"Abierta","Fuera por estatus","Coordenadas pendientes"))</x:f>
        <x:v>Ubicable</x:v>
      </x:c>
    </x:row>
    <x:row r="28" ht="23" customHeight="1">
      <x:c r="A28" s="45" t="str">
        <x:f>'Ubicaciones'!C28</x:f>
        <x:v>38207</x:v>
      </x:c>
      <x:c r="B28" s="45" t="str">
        <x:f>'Ubicaciones'!A28</x:f>
        <x:v>Centro Norte</x:v>
      </x:c>
      <x:c r="C28" s="45" t="str">
        <x:f>'Ubicaciones'!B28</x:f>
        <x:v>Vanessa Carreño</x:v>
      </x:c>
      <x:c r="D28" s="45" t="str">
        <x:f>IF(COUNTIFS('Catalogos'!$A$2:$A$41,B28,'Catalogos'!$B$2:$B$41,C28)&gt;0,"Correcta","Revisar Región DM")</x:f>
        <x:v>Correcta</x:v>
      </x:c>
      <x:c r="E28" s="45" t="str">
        <x:f>IF(COUNTIFS('Ubicaciones'!$C$2:$C$10001,A28)=1,"Único","Duplicado")</x:f>
        <x:v>Único</x:v>
      </x:c>
      <x:c r="F28" s="45" t="str">
        <x:f>IF('Ubicaciones'!T28=1,"Ubicable",IF('Ubicaciones'!E28&lt;&gt;"Abierta","Fuera por estatus","Coordenadas pendientes"))</x:f>
        <x:v>Ubicable</x:v>
      </x:c>
    </x:row>
    <x:row r="29" ht="23" customHeight="1">
      <x:c r="A29" s="45" t="str">
        <x:f>'Ubicaciones'!C29</x:f>
        <x:v>38371</x:v>
      </x:c>
      <x:c r="B29" s="45" t="str">
        <x:f>'Ubicaciones'!A29</x:f>
        <x:v>Centro Norte</x:v>
      </x:c>
      <x:c r="C29" s="45" t="str">
        <x:f>'Ubicaciones'!B29</x:f>
        <x:v>Vanessa Carreño</x:v>
      </x:c>
      <x:c r="D29" s="45" t="str">
        <x:f>IF(COUNTIFS('Catalogos'!$A$2:$A$41,B29,'Catalogos'!$B$2:$B$41,C29)&gt;0,"Correcta","Revisar Región DM")</x:f>
        <x:v>Correcta</x:v>
      </x:c>
      <x:c r="E29" s="45" t="str">
        <x:f>IF(COUNTIFS('Ubicaciones'!$C$2:$C$10001,A29)=1,"Único","Duplicado")</x:f>
        <x:v>Único</x:v>
      </x:c>
      <x:c r="F29" s="45" t="str">
        <x:f>IF('Ubicaciones'!T29=1,"Ubicable",IF('Ubicaciones'!E29&lt;&gt;"Abierta","Fuera por estatus","Coordenadas pendientes"))</x:f>
        <x:v>Ubicable</x:v>
      </x:c>
    </x:row>
    <x:row r="30" ht="23" customHeight="1">
      <x:c r="A30" s="45" t="str">
        <x:f>'Ubicaciones'!C30</x:f>
        <x:v>38411</x:v>
      </x:c>
      <x:c r="B30" s="45" t="str">
        <x:f>'Ubicaciones'!A30</x:f>
        <x:v>Centro Norte</x:v>
      </x:c>
      <x:c r="C30" s="45" t="str">
        <x:f>'Ubicaciones'!B30</x:f>
        <x:v>Vanessa Carreño</x:v>
      </x:c>
      <x:c r="D30" s="45" t="str">
        <x:f>IF(COUNTIFS('Catalogos'!$A$2:$A$41,B30,'Catalogos'!$B$2:$B$41,C30)&gt;0,"Correcta","Revisar Región DM")</x:f>
        <x:v>Correcta</x:v>
      </x:c>
      <x:c r="E30" s="45" t="str">
        <x:f>IF(COUNTIFS('Ubicaciones'!$C$2:$C$10001,A30)=1,"Único","Duplicado")</x:f>
        <x:v>Único</x:v>
      </x:c>
      <x:c r="F30" s="45" t="str">
        <x:f>IF('Ubicaciones'!T30=1,"Ubicable",IF('Ubicaciones'!E30&lt;&gt;"Abierta","Fuera por estatus","Coordenadas pendientes"))</x:f>
        <x:v>Ubicable</x:v>
      </x:c>
    </x:row>
    <x:row r="31" ht="23" customHeight="1">
      <x:c r="A31" s="45" t="str">
        <x:f>'Ubicaciones'!C31</x:f>
        <x:v>38527</x:v>
      </x:c>
      <x:c r="B31" s="45" t="str">
        <x:f>'Ubicaciones'!A31</x:f>
        <x:v>Centro Norte</x:v>
      </x:c>
      <x:c r="C31" s="45" t="str">
        <x:f>'Ubicaciones'!B31</x:f>
        <x:v>Vanessa Carreño</x:v>
      </x:c>
      <x:c r="D31" s="45" t="str">
        <x:f>IF(COUNTIFS('Catalogos'!$A$2:$A$41,B31,'Catalogos'!$B$2:$B$41,C31)&gt;0,"Correcta","Revisar Región DM")</x:f>
        <x:v>Correcta</x:v>
      </x:c>
      <x:c r="E31" s="45" t="str">
        <x:f>IF(COUNTIFS('Ubicaciones'!$C$2:$C$10001,A31)=1,"Único","Duplicado")</x:f>
        <x:v>Único</x:v>
      </x:c>
      <x:c r="F31" s="45" t="str">
        <x:f>IF('Ubicaciones'!T31=1,"Ubicable",IF('Ubicaciones'!E31&lt;&gt;"Abierta","Fuera por estatus","Coordenadas pendientes"))</x:f>
        <x:v>Ubicable</x:v>
      </x:c>
    </x:row>
    <x:row r="32" ht="23" customHeight="1">
      <x:c r="A32" s="45" t="str">
        <x:f>'Ubicaciones'!C32</x:f>
        <x:v>38546</x:v>
      </x:c>
      <x:c r="B32" s="45" t="str">
        <x:f>'Ubicaciones'!A32</x:f>
        <x:v>Centro Norte</x:v>
      </x:c>
      <x:c r="C32" s="45" t="str">
        <x:f>'Ubicaciones'!B32</x:f>
        <x:v>Vanessa Carreño</x:v>
      </x:c>
      <x:c r="D32" s="45" t="str">
        <x:f>IF(COUNTIFS('Catalogos'!$A$2:$A$41,B32,'Catalogos'!$B$2:$B$41,C32)&gt;0,"Correcta","Revisar Región DM")</x:f>
        <x:v>Correcta</x:v>
      </x:c>
      <x:c r="E32" s="45" t="str">
        <x:f>IF(COUNTIFS('Ubicaciones'!$C$2:$C$10001,A32)=1,"Único","Duplicado")</x:f>
        <x:v>Único</x:v>
      </x:c>
      <x:c r="F32" s="45" t="str">
        <x:f>IF('Ubicaciones'!T32=1,"Ubicable",IF('Ubicaciones'!E32&lt;&gt;"Abierta","Fuera por estatus","Coordenadas pendientes"))</x:f>
        <x:v>Ubicable</x:v>
      </x:c>
    </x:row>
    <x:row r="33" ht="23" customHeight="1">
      <x:c r="A33" s="45" t="str">
        <x:f>'Ubicaciones'!C33</x:f>
        <x:v>38651</x:v>
      </x:c>
      <x:c r="B33" s="45" t="str">
        <x:f>'Ubicaciones'!A33</x:f>
        <x:v>Centro Norte</x:v>
      </x:c>
      <x:c r="C33" s="45" t="str">
        <x:f>'Ubicaciones'!B33</x:f>
        <x:v>Vanessa Carreño</x:v>
      </x:c>
      <x:c r="D33" s="45" t="str">
        <x:f>IF(COUNTIFS('Catalogos'!$A$2:$A$41,B33,'Catalogos'!$B$2:$B$41,C33)&gt;0,"Correcta","Revisar Región DM")</x:f>
        <x:v>Correcta</x:v>
      </x:c>
      <x:c r="E33" s="45" t="str">
        <x:f>IF(COUNTIFS('Ubicaciones'!$C$2:$C$10001,A33)=1,"Único","Duplicado")</x:f>
        <x:v>Único</x:v>
      </x:c>
      <x:c r="F33" s="45" t="str">
        <x:f>IF('Ubicaciones'!T33=1,"Ubicable",IF('Ubicaciones'!E33&lt;&gt;"Abierta","Fuera por estatus","Coordenadas pendientes"))</x:f>
        <x:v>Ubicable</x:v>
      </x:c>
    </x:row>
    <x:row r="34" ht="23" customHeight="1">
      <x:c r="A34" s="45" t="str">
        <x:f>'Ubicaciones'!C34</x:f>
        <x:v>38677</x:v>
      </x:c>
      <x:c r="B34" s="45" t="str">
        <x:f>'Ubicaciones'!A34</x:f>
        <x:v>Centro Norte</x:v>
      </x:c>
      <x:c r="C34" s="45" t="str">
        <x:f>'Ubicaciones'!B34</x:f>
        <x:v>Vanessa Carreño</x:v>
      </x:c>
      <x:c r="D34" s="45" t="str">
        <x:f>IF(COUNTIFS('Catalogos'!$A$2:$A$41,B34,'Catalogos'!$B$2:$B$41,C34)&gt;0,"Correcta","Revisar Región DM")</x:f>
        <x:v>Correcta</x:v>
      </x:c>
      <x:c r="E34" s="45" t="str">
        <x:f>IF(COUNTIFS('Ubicaciones'!$C$2:$C$10001,A34)=1,"Único","Duplicado")</x:f>
        <x:v>Único</x:v>
      </x:c>
      <x:c r="F34" s="45" t="str">
        <x:f>IF('Ubicaciones'!T34=1,"Ubicable",IF('Ubicaciones'!E34&lt;&gt;"Abierta","Fuera por estatus","Coordenadas pendientes"))</x:f>
        <x:v>Ubicable</x:v>
      </x:c>
    </x:row>
    <x:row r="35" ht="23" customHeight="1">
      <x:c r="A35" s="45" t="str">
        <x:f>'Ubicaciones'!C35</x:f>
        <x:v>38837</x:v>
      </x:c>
      <x:c r="B35" s="45" t="str">
        <x:f>'Ubicaciones'!A35</x:f>
        <x:v>Centro Norte</x:v>
      </x:c>
      <x:c r="C35" s="45" t="str">
        <x:f>'Ubicaciones'!B35</x:f>
        <x:v>Vanessa Carreño</x:v>
      </x:c>
      <x:c r="D35" s="45" t="str">
        <x:f>IF(COUNTIFS('Catalogos'!$A$2:$A$41,B35,'Catalogos'!$B$2:$B$41,C35)&gt;0,"Correcta","Revisar Región DM")</x:f>
        <x:v>Correcta</x:v>
      </x:c>
      <x:c r="E35" s="45" t="str">
        <x:f>IF(COUNTIFS('Ubicaciones'!$C$2:$C$10001,A35)=1,"Único","Duplicado")</x:f>
        <x:v>Único</x:v>
      </x:c>
      <x:c r="F35" s="45" t="str">
        <x:f>IF('Ubicaciones'!T35=1,"Ubicable",IF('Ubicaciones'!E35&lt;&gt;"Abierta","Fuera por estatus","Coordenadas pendientes"))</x:f>
        <x:v>Ubicable</x:v>
      </x:c>
    </x:row>
    <x:row r="36" ht="23" customHeight="1">
      <x:c r="A36" s="45" t="str">
        <x:f>'Ubicaciones'!C36</x:f>
        <x:v>43111</x:v>
      </x:c>
      <x:c r="B36" s="45" t="str">
        <x:f>'Ubicaciones'!A36</x:f>
        <x:v>Centro Norte</x:v>
      </x:c>
      <x:c r="C36" s="45" t="str">
        <x:f>'Ubicaciones'!B36</x:f>
        <x:v>Vanessa Carreño</x:v>
      </x:c>
      <x:c r="D36" s="45" t="str">
        <x:f>IF(COUNTIFS('Catalogos'!$A$2:$A$41,B36,'Catalogos'!$B$2:$B$41,C36)&gt;0,"Correcta","Revisar Región DM")</x:f>
        <x:v>Correcta</x:v>
      </x:c>
      <x:c r="E36" s="45" t="str">
        <x:f>IF(COUNTIFS('Ubicaciones'!$C$2:$C$10001,A36)=1,"Único","Duplicado")</x:f>
        <x:v>Único</x:v>
      </x:c>
      <x:c r="F36" s="45" t="str">
        <x:f>IF('Ubicaciones'!T36=1,"Ubicable",IF('Ubicaciones'!E36&lt;&gt;"Abierta","Fuera por estatus","Coordenadas pendientes"))</x:f>
        <x:v>Ubicable</x:v>
      </x:c>
    </x:row>
    <x:row r="37" ht="23" customHeight="1">
      <x:c r="A37" s="45" t="str">
        <x:f>'Ubicaciones'!C37</x:f>
        <x:v>43132</x:v>
      </x:c>
      <x:c r="B37" s="45" t="str">
        <x:f>'Ubicaciones'!A37</x:f>
        <x:v>Centro Norte</x:v>
      </x:c>
      <x:c r="C37" s="45" t="str">
        <x:f>'Ubicaciones'!B37</x:f>
        <x:v>Vanessa Carreño</x:v>
      </x:c>
      <x:c r="D37" s="45" t="str">
        <x:f>IF(COUNTIFS('Catalogos'!$A$2:$A$41,B37,'Catalogos'!$B$2:$B$41,C37)&gt;0,"Correcta","Revisar Región DM")</x:f>
        <x:v>Correcta</x:v>
      </x:c>
      <x:c r="E37" s="45" t="str">
        <x:f>IF(COUNTIFS('Ubicaciones'!$C$2:$C$10001,A37)=1,"Único","Duplicado")</x:f>
        <x:v>Único</x:v>
      </x:c>
      <x:c r="F37" s="45" t="str">
        <x:f>IF('Ubicaciones'!T37=1,"Ubicable",IF('Ubicaciones'!E37&lt;&gt;"Abierta","Fuera por estatus","Coordenadas pendientes"))</x:f>
        <x:v>Ubicable</x:v>
      </x:c>
    </x:row>
    <x:row r="38" ht="23" customHeight="1">
      <x:c r="A38" s="45" t="str">
        <x:f>'Ubicaciones'!C38</x:f>
        <x:v>43194</x:v>
      </x:c>
      <x:c r="B38" s="45" t="str">
        <x:f>'Ubicaciones'!A38</x:f>
        <x:v>Centro Norte</x:v>
      </x:c>
      <x:c r="C38" s="45" t="str">
        <x:f>'Ubicaciones'!B38</x:f>
        <x:v>Vanessa Carreño</x:v>
      </x:c>
      <x:c r="D38" s="45" t="str">
        <x:f>IF(COUNTIFS('Catalogos'!$A$2:$A$41,B38,'Catalogos'!$B$2:$B$41,C38)&gt;0,"Correcta","Revisar Región DM")</x:f>
        <x:v>Correcta</x:v>
      </x:c>
      <x:c r="E38" s="45" t="str">
        <x:f>IF(COUNTIFS('Ubicaciones'!$C$2:$C$10001,A38)=1,"Único","Duplicado")</x:f>
        <x:v>Único</x:v>
      </x:c>
      <x:c r="F38" s="45" t="str">
        <x:f>IF('Ubicaciones'!T38=1,"Ubicable",IF('Ubicaciones'!E38&lt;&gt;"Abierta","Fuera por estatus","Coordenadas pendientes"))</x:f>
        <x:v>Ubicable</x:v>
      </x:c>
    </x:row>
    <x:row r="39" ht="23" customHeight="1">
      <x:c r="A39" s="45" t="str">
        <x:f>'Ubicaciones'!C39</x:f>
        <x:v>43195</x:v>
      </x:c>
      <x:c r="B39" s="45" t="str">
        <x:f>'Ubicaciones'!A39</x:f>
        <x:v>Centro Norte</x:v>
      </x:c>
      <x:c r="C39" s="45" t="str">
        <x:f>'Ubicaciones'!B39</x:f>
        <x:v>Vanessa Carreño</x:v>
      </x:c>
      <x:c r="D39" s="45" t="str">
        <x:f>IF(COUNTIFS('Catalogos'!$A$2:$A$41,B39,'Catalogos'!$B$2:$B$41,C39)&gt;0,"Correcta","Revisar Región DM")</x:f>
        <x:v>Correcta</x:v>
      </x:c>
      <x:c r="E39" s="45" t="str">
        <x:f>IF(COUNTIFS('Ubicaciones'!$C$2:$C$10001,A39)=1,"Único","Duplicado")</x:f>
        <x:v>Único</x:v>
      </x:c>
      <x:c r="F39" s="45" t="str">
        <x:f>IF('Ubicaciones'!T39=1,"Ubicable",IF('Ubicaciones'!E39&lt;&gt;"Abierta","Fuera por estatus","Coordenadas pendientes"))</x:f>
        <x:v>Ubicable</x:v>
      </x:c>
    </x:row>
    <x:row r="40" ht="23" customHeight="1">
      <x:c r="A40" s="45" t="str">
        <x:f>'Ubicaciones'!C40</x:f>
        <x:v>38431</x:v>
      </x:c>
      <x:c r="B40" s="45" t="str">
        <x:f>'Ubicaciones'!A40</x:f>
        <x:v>Centro Norte</x:v>
      </x:c>
      <x:c r="C40" s="45" t="str">
        <x:f>'Ubicaciones'!B40</x:f>
        <x:v>Veronica García</x:v>
      </x:c>
      <x:c r="D40" s="45" t="str">
        <x:f>IF(COUNTIFS('Catalogos'!$A$2:$A$41,B40,'Catalogos'!$B$2:$B$41,C40)&gt;0,"Correcta","Revisar Región DM")</x:f>
        <x:v>Correcta</x:v>
      </x:c>
      <x:c r="E40" s="45" t="str">
        <x:f>IF(COUNTIFS('Ubicaciones'!$C$2:$C$10001,A40)=1,"Único","Duplicado")</x:f>
        <x:v>Único</x:v>
      </x:c>
      <x:c r="F40" s="45" t="str">
        <x:f>IF('Ubicaciones'!T40=1,"Ubicable",IF('Ubicaciones'!E40&lt;&gt;"Abierta","Fuera por estatus","Coordenadas pendientes"))</x:f>
        <x:v>Ubicable</x:v>
      </x:c>
    </x:row>
    <x:row r="41" ht="23" customHeight="1">
      <x:c r="A41" s="45" t="str">
        <x:f>'Ubicaciones'!C41</x:f>
        <x:v>38529</x:v>
      </x:c>
      <x:c r="B41" s="45" t="str">
        <x:f>'Ubicaciones'!A41</x:f>
        <x:v>Centro Norte</x:v>
      </x:c>
      <x:c r="C41" s="45" t="str">
        <x:f>'Ubicaciones'!B41</x:f>
        <x:v>Veronica García</x:v>
      </x:c>
      <x:c r="D41" s="45" t="str">
        <x:f>IF(COUNTIFS('Catalogos'!$A$2:$A$41,B41,'Catalogos'!$B$2:$B$41,C41)&gt;0,"Correcta","Revisar Región DM")</x:f>
        <x:v>Correcta</x:v>
      </x:c>
      <x:c r="E41" s="45" t="str">
        <x:f>IF(COUNTIFS('Ubicaciones'!$C$2:$C$10001,A41)=1,"Único","Duplicado")</x:f>
        <x:v>Único</x:v>
      </x:c>
      <x:c r="F41" s="45" t="str">
        <x:f>IF('Ubicaciones'!T41=1,"Ubicable",IF('Ubicaciones'!E41&lt;&gt;"Abierta","Fuera por estatus","Coordenadas pendientes"))</x:f>
        <x:v>Ubicable</x:v>
      </x:c>
    </x:row>
    <x:row r="42" ht="23" customHeight="1">
      <x:c r="A42" s="45" t="str">
        <x:f>'Ubicaciones'!C42</x:f>
        <x:v>38719</x:v>
      </x:c>
      <x:c r="B42" s="45" t="str">
        <x:f>'Ubicaciones'!A42</x:f>
        <x:v>Centro Norte</x:v>
      </x:c>
      <x:c r="C42" s="45" t="str">
        <x:f>'Ubicaciones'!B42</x:f>
        <x:v>Veronica García</x:v>
      </x:c>
      <x:c r="D42" s="45" t="str">
        <x:f>IF(COUNTIFS('Catalogos'!$A$2:$A$41,B42,'Catalogos'!$B$2:$B$41,C42)&gt;0,"Correcta","Revisar Región DM")</x:f>
        <x:v>Correcta</x:v>
      </x:c>
      <x:c r="E42" s="45" t="str">
        <x:f>IF(COUNTIFS('Ubicaciones'!$C$2:$C$10001,A42)=1,"Único","Duplicado")</x:f>
        <x:v>Único</x:v>
      </x:c>
      <x:c r="F42" s="45" t="str">
        <x:f>IF('Ubicaciones'!T42=1,"Ubicable",IF('Ubicaciones'!E42&lt;&gt;"Abierta","Fuera por estatus","Coordenadas pendientes"))</x:f>
        <x:v>Ubicable</x:v>
      </x:c>
    </x:row>
    <x:row r="43" ht="23" customHeight="1">
      <x:c r="A43" s="45" t="str">
        <x:f>'Ubicaciones'!C43</x:f>
        <x:v>38811</x:v>
      </x:c>
      <x:c r="B43" s="45" t="str">
        <x:f>'Ubicaciones'!A43</x:f>
        <x:v>Centro Norte</x:v>
      </x:c>
      <x:c r="C43" s="45" t="str">
        <x:f>'Ubicaciones'!B43</x:f>
        <x:v>Veronica García</x:v>
      </x:c>
      <x:c r="D43" s="45" t="str">
        <x:f>IF(COUNTIFS('Catalogos'!$A$2:$A$41,B43,'Catalogos'!$B$2:$B$41,C43)&gt;0,"Correcta","Revisar Región DM")</x:f>
        <x:v>Correcta</x:v>
      </x:c>
      <x:c r="E43" s="45" t="str">
        <x:f>IF(COUNTIFS('Ubicaciones'!$C$2:$C$10001,A43)=1,"Único","Duplicado")</x:f>
        <x:v>Único</x:v>
      </x:c>
      <x:c r="F43" s="45" t="str">
        <x:f>IF('Ubicaciones'!T43=1,"Ubicable",IF('Ubicaciones'!E43&lt;&gt;"Abierta","Fuera por estatus","Coordenadas pendientes"))</x:f>
        <x:v>Ubicable</x:v>
      </x:c>
    </x:row>
    <x:row r="44" ht="23" customHeight="1">
      <x:c r="A44" s="45" t="str">
        <x:f>'Ubicaciones'!C44</x:f>
        <x:v>38903</x:v>
      </x:c>
      <x:c r="B44" s="45" t="str">
        <x:f>'Ubicaciones'!A44</x:f>
        <x:v>Centro Norte</x:v>
      </x:c>
      <x:c r="C44" s="45" t="str">
        <x:f>'Ubicaciones'!B44</x:f>
        <x:v>Veronica García</x:v>
      </x:c>
      <x:c r="D44" s="45" t="str">
        <x:f>IF(COUNTIFS('Catalogos'!$A$2:$A$41,B44,'Catalogos'!$B$2:$B$41,C44)&gt;0,"Correcta","Revisar Región DM")</x:f>
        <x:v>Correcta</x:v>
      </x:c>
      <x:c r="E44" s="45" t="str">
        <x:f>IF(COUNTIFS('Ubicaciones'!$C$2:$C$10001,A44)=1,"Único","Duplicado")</x:f>
        <x:v>Único</x:v>
      </x:c>
      <x:c r="F44" s="45" t="str">
        <x:f>IF('Ubicaciones'!T44=1,"Ubicable",IF('Ubicaciones'!E44&lt;&gt;"Abierta","Fuera por estatus","Coordenadas pendientes"))</x:f>
        <x:v>Ubicable</x:v>
      </x:c>
    </x:row>
    <x:row r="45" ht="23" customHeight="1">
      <x:c r="A45" s="45" t="str">
        <x:f>'Ubicaciones'!C45</x:f>
        <x:v>38924</x:v>
      </x:c>
      <x:c r="B45" s="45" t="str">
        <x:f>'Ubicaciones'!A45</x:f>
        <x:v>Centro Norte</x:v>
      </x:c>
      <x:c r="C45" s="45" t="str">
        <x:f>'Ubicaciones'!B45</x:f>
        <x:v>Veronica García</x:v>
      </x:c>
      <x:c r="D45" s="45" t="str">
        <x:f>IF(COUNTIFS('Catalogos'!$A$2:$A$41,B45,'Catalogos'!$B$2:$B$41,C45)&gt;0,"Correcta","Revisar Región DM")</x:f>
        <x:v>Correcta</x:v>
      </x:c>
      <x:c r="E45" s="45" t="str">
        <x:f>IF(COUNTIFS('Ubicaciones'!$C$2:$C$10001,A45)=1,"Único","Duplicado")</x:f>
        <x:v>Único</x:v>
      </x:c>
      <x:c r="F45" s="45" t="str">
        <x:f>IF('Ubicaciones'!T45=1,"Ubicable",IF('Ubicaciones'!E45&lt;&gt;"Abierta","Fuera por estatus","Coordenadas pendientes"))</x:f>
        <x:v>Ubicable</x:v>
      </x:c>
    </x:row>
    <x:row r="46" ht="23" customHeight="1">
      <x:c r="A46" s="45" t="str">
        <x:f>'Ubicaciones'!C46</x:f>
        <x:v>38930</x:v>
      </x:c>
      <x:c r="B46" s="45" t="str">
        <x:f>'Ubicaciones'!A46</x:f>
        <x:v>Centro Norte</x:v>
      </x:c>
      <x:c r="C46" s="45" t="str">
        <x:f>'Ubicaciones'!B46</x:f>
        <x:v>Veronica García</x:v>
      </x:c>
      <x:c r="D46" s="45" t="str">
        <x:f>IF(COUNTIFS('Catalogos'!$A$2:$A$41,B46,'Catalogos'!$B$2:$B$41,C46)&gt;0,"Correcta","Revisar Región DM")</x:f>
        <x:v>Correcta</x:v>
      </x:c>
      <x:c r="E46" s="45" t="str">
        <x:f>IF(COUNTIFS('Ubicaciones'!$C$2:$C$10001,A46)=1,"Único","Duplicado")</x:f>
        <x:v>Único</x:v>
      </x:c>
      <x:c r="F46" s="45" t="str">
        <x:f>IF('Ubicaciones'!T46=1,"Ubicable",IF('Ubicaciones'!E46&lt;&gt;"Abierta","Fuera por estatus","Coordenadas pendientes"))</x:f>
        <x:v>Ubicable</x:v>
      </x:c>
    </x:row>
    <x:row r="47" ht="23" customHeight="1">
      <x:c r="A47" s="45" t="str">
        <x:f>'Ubicaciones'!C47</x:f>
        <x:v>38937</x:v>
      </x:c>
      <x:c r="B47" s="45" t="str">
        <x:f>'Ubicaciones'!A47</x:f>
        <x:v>Centro Norte</x:v>
      </x:c>
      <x:c r="C47" s="45" t="str">
        <x:f>'Ubicaciones'!B47</x:f>
        <x:v>Veronica García</x:v>
      </x:c>
      <x:c r="D47" s="45" t="str">
        <x:f>IF(COUNTIFS('Catalogos'!$A$2:$A$41,B47,'Catalogos'!$B$2:$B$41,C47)&gt;0,"Correcta","Revisar Región DM")</x:f>
        <x:v>Correcta</x:v>
      </x:c>
      <x:c r="E47" s="45" t="str">
        <x:f>IF(COUNTIFS('Ubicaciones'!$C$2:$C$10001,A47)=1,"Único","Duplicado")</x:f>
        <x:v>Único</x:v>
      </x:c>
      <x:c r="F47" s="45" t="str">
        <x:f>IF('Ubicaciones'!T47=1,"Ubicable",IF('Ubicaciones'!E47&lt;&gt;"Abierta","Fuera por estatus","Coordenadas pendientes"))</x:f>
        <x:v>Ubicable</x:v>
      </x:c>
    </x:row>
    <x:row r="48" ht="23" customHeight="1">
      <x:c r="A48" s="45" t="str">
        <x:f>'Ubicaciones'!C48</x:f>
        <x:v>38965</x:v>
      </x:c>
      <x:c r="B48" s="45" t="str">
        <x:f>'Ubicaciones'!A48</x:f>
        <x:v>Centro Norte</x:v>
      </x:c>
      <x:c r="C48" s="45" t="str">
        <x:f>'Ubicaciones'!B48</x:f>
        <x:v>Veronica García</x:v>
      </x:c>
      <x:c r="D48" s="45" t="str">
        <x:f>IF(COUNTIFS('Catalogos'!$A$2:$A$41,B48,'Catalogos'!$B$2:$B$41,C48)&gt;0,"Correcta","Revisar Región DM")</x:f>
        <x:v>Correcta</x:v>
      </x:c>
      <x:c r="E48" s="45" t="str">
        <x:f>IF(COUNTIFS('Ubicaciones'!$C$2:$C$10001,A48)=1,"Único","Duplicado")</x:f>
        <x:v>Único</x:v>
      </x:c>
      <x:c r="F48" s="45" t="str">
        <x:f>IF('Ubicaciones'!T48=1,"Ubicable",IF('Ubicaciones'!E48&lt;&gt;"Abierta","Fuera por estatus","Coordenadas pendientes"))</x:f>
        <x:v>Ubicable</x:v>
      </x:c>
    </x:row>
    <x:row r="49" ht="23" customHeight="1">
      <x:c r="A49" s="45" t="str">
        <x:f>'Ubicaciones'!C49</x:f>
        <x:v>38992</x:v>
      </x:c>
      <x:c r="B49" s="45" t="str">
        <x:f>'Ubicaciones'!A49</x:f>
        <x:v>Centro Norte</x:v>
      </x:c>
      <x:c r="C49" s="45" t="str">
        <x:f>'Ubicaciones'!B49</x:f>
        <x:v>Veronica García</x:v>
      </x:c>
      <x:c r="D49" s="45" t="str">
        <x:f>IF(COUNTIFS('Catalogos'!$A$2:$A$41,B49,'Catalogos'!$B$2:$B$41,C49)&gt;0,"Correcta","Revisar Región DM")</x:f>
        <x:v>Correcta</x:v>
      </x:c>
      <x:c r="E49" s="45" t="str">
        <x:f>IF(COUNTIFS('Ubicaciones'!$C$2:$C$10001,A49)=1,"Único","Duplicado")</x:f>
        <x:v>Único</x:v>
      </x:c>
      <x:c r="F49" s="45" t="str">
        <x:f>IF('Ubicaciones'!T49=1,"Ubicable",IF('Ubicaciones'!E49&lt;&gt;"Abierta","Fuera por estatus","Coordenadas pendientes"))</x:f>
        <x:v>Ubicable</x:v>
      </x:c>
    </x:row>
    <x:row r="50" ht="23" customHeight="1">
      <x:c r="A50" s="45" t="str">
        <x:f>'Ubicaciones'!C50</x:f>
        <x:v>38995</x:v>
      </x:c>
      <x:c r="B50" s="45" t="str">
        <x:f>'Ubicaciones'!A50</x:f>
        <x:v>Centro Norte</x:v>
      </x:c>
      <x:c r="C50" s="45" t="str">
        <x:f>'Ubicaciones'!B50</x:f>
        <x:v>Veronica García</x:v>
      </x:c>
      <x:c r="D50" s="45" t="str">
        <x:f>IF(COUNTIFS('Catalogos'!$A$2:$A$41,B50,'Catalogos'!$B$2:$B$41,C50)&gt;0,"Correcta","Revisar Región DM")</x:f>
        <x:v>Correcta</x:v>
      </x:c>
      <x:c r="E50" s="45" t="str">
        <x:f>IF(COUNTIFS('Ubicaciones'!$C$2:$C$10001,A50)=1,"Único","Duplicado")</x:f>
        <x:v>Único</x:v>
      </x:c>
      <x:c r="F50" s="45" t="str">
        <x:f>IF('Ubicaciones'!T50=1,"Ubicable",IF('Ubicaciones'!E50&lt;&gt;"Abierta","Fuera por estatus","Coordenadas pendientes"))</x:f>
        <x:v>Ubicable</x:v>
      </x:c>
    </x:row>
    <x:row r="51" ht="23" customHeight="1">
      <x:c r="A51" s="45" t="str">
        <x:f>'Ubicaciones'!C51</x:f>
        <x:v>38117</x:v>
      </x:c>
      <x:c r="B51" s="45" t="str">
        <x:f>'Ubicaciones'!A51</x:f>
        <x:v>Centro Norte</x:v>
      </x:c>
      <x:c r="C51" s="45" t="str">
        <x:f>'Ubicaciones'!B51</x:f>
        <x:v>Yazmin Chabela</x:v>
      </x:c>
      <x:c r="D51" s="45" t="str">
        <x:f>IF(COUNTIFS('Catalogos'!$A$2:$A$41,B51,'Catalogos'!$B$2:$B$41,C51)&gt;0,"Correcta","Revisar Región DM")</x:f>
        <x:v>Correcta</x:v>
      </x:c>
      <x:c r="E51" s="45" t="str">
        <x:f>IF(COUNTIFS('Ubicaciones'!$C$2:$C$10001,A51)=1,"Único","Duplicado")</x:f>
        <x:v>Único</x:v>
      </x:c>
      <x:c r="F51" s="45" t="str">
        <x:f>IF('Ubicaciones'!T51=1,"Ubicable",IF('Ubicaciones'!E51&lt;&gt;"Abierta","Fuera por estatus","Coordenadas pendientes"))</x:f>
        <x:v>Ubicable</x:v>
      </x:c>
    </x:row>
    <x:row r="52" ht="23" customHeight="1">
      <x:c r="A52" s="45" t="str">
        <x:f>'Ubicaciones'!C52</x:f>
        <x:v>38176</x:v>
      </x:c>
      <x:c r="B52" s="45" t="str">
        <x:f>'Ubicaciones'!A52</x:f>
        <x:v>Centro Norte</x:v>
      </x:c>
      <x:c r="C52" s="45" t="str">
        <x:f>'Ubicaciones'!B52</x:f>
        <x:v>Yazmin Chabela</x:v>
      </x:c>
      <x:c r="D52" s="45" t="str">
        <x:f>IF(COUNTIFS('Catalogos'!$A$2:$A$41,B52,'Catalogos'!$B$2:$B$41,C52)&gt;0,"Correcta","Revisar Región DM")</x:f>
        <x:v>Correcta</x:v>
      </x:c>
      <x:c r="E52" s="45" t="str">
        <x:f>IF(COUNTIFS('Ubicaciones'!$C$2:$C$10001,A52)=1,"Único","Duplicado")</x:f>
        <x:v>Único</x:v>
      </x:c>
      <x:c r="F52" s="45" t="str">
        <x:f>IF('Ubicaciones'!T52=1,"Ubicable",IF('Ubicaciones'!E52&lt;&gt;"Abierta","Fuera por estatus","Coordenadas pendientes"))</x:f>
        <x:v>Ubicable</x:v>
      </x:c>
    </x:row>
    <x:row r="53" ht="23" customHeight="1">
      <x:c r="A53" s="45" t="str">
        <x:f>'Ubicaciones'!C53</x:f>
        <x:v>38197</x:v>
      </x:c>
      <x:c r="B53" s="45" t="str">
        <x:f>'Ubicaciones'!A53</x:f>
        <x:v>Centro Norte</x:v>
      </x:c>
      <x:c r="C53" s="45" t="str">
        <x:f>'Ubicaciones'!B53</x:f>
        <x:v>Yazmin Chabela</x:v>
      </x:c>
      <x:c r="D53" s="45" t="str">
        <x:f>IF(COUNTIFS('Catalogos'!$A$2:$A$41,B53,'Catalogos'!$B$2:$B$41,C53)&gt;0,"Correcta","Revisar Región DM")</x:f>
        <x:v>Correcta</x:v>
      </x:c>
      <x:c r="E53" s="45" t="str">
        <x:f>IF(COUNTIFS('Ubicaciones'!$C$2:$C$10001,A53)=1,"Único","Duplicado")</x:f>
        <x:v>Único</x:v>
      </x:c>
      <x:c r="F53" s="45" t="str">
        <x:f>IF('Ubicaciones'!T53=1,"Ubicable",IF('Ubicaciones'!E53&lt;&gt;"Abierta","Fuera por estatus","Coordenadas pendientes"))</x:f>
        <x:v>Ubicable</x:v>
      </x:c>
    </x:row>
    <x:row r="54" ht="23" customHeight="1">
      <x:c r="A54" s="45" t="str">
        <x:f>'Ubicaciones'!C54</x:f>
        <x:v>38427</x:v>
      </x:c>
      <x:c r="B54" s="45" t="str">
        <x:f>'Ubicaciones'!A54</x:f>
        <x:v>Centro Norte</x:v>
      </x:c>
      <x:c r="C54" s="45" t="str">
        <x:f>'Ubicaciones'!B54</x:f>
        <x:v>Yazmin Chabela</x:v>
      </x:c>
      <x:c r="D54" s="45" t="str">
        <x:f>IF(COUNTIFS('Catalogos'!$A$2:$A$41,B54,'Catalogos'!$B$2:$B$41,C54)&gt;0,"Correcta","Revisar Región DM")</x:f>
        <x:v>Correcta</x:v>
      </x:c>
      <x:c r="E54" s="45" t="str">
        <x:f>IF(COUNTIFS('Ubicaciones'!$C$2:$C$10001,A54)=1,"Único","Duplicado")</x:f>
        <x:v>Único</x:v>
      </x:c>
      <x:c r="F54" s="45" t="str">
        <x:f>IF('Ubicaciones'!T54=1,"Ubicable",IF('Ubicaciones'!E54&lt;&gt;"Abierta","Fuera por estatus","Coordenadas pendientes"))</x:f>
        <x:v>Ubicable</x:v>
      </x:c>
    </x:row>
    <x:row r="55" ht="23" customHeight="1">
      <x:c r="A55" s="45" t="str">
        <x:f>'Ubicaciones'!C55</x:f>
        <x:v>38458</x:v>
      </x:c>
      <x:c r="B55" s="45" t="str">
        <x:f>'Ubicaciones'!A55</x:f>
        <x:v>Centro Norte</x:v>
      </x:c>
      <x:c r="C55" s="45" t="str">
        <x:f>'Ubicaciones'!B55</x:f>
        <x:v>Yazmin Chabela</x:v>
      </x:c>
      <x:c r="D55" s="45" t="str">
        <x:f>IF(COUNTIFS('Catalogos'!$A$2:$A$41,B55,'Catalogos'!$B$2:$B$41,C55)&gt;0,"Correcta","Revisar Región DM")</x:f>
        <x:v>Correcta</x:v>
      </x:c>
      <x:c r="E55" s="45" t="str">
        <x:f>IF(COUNTIFS('Ubicaciones'!$C$2:$C$10001,A55)=1,"Único","Duplicado")</x:f>
        <x:v>Único</x:v>
      </x:c>
      <x:c r="F55" s="45" t="str">
        <x:f>IF('Ubicaciones'!T55=1,"Ubicable",IF('Ubicaciones'!E55&lt;&gt;"Abierta","Fuera por estatus","Coordenadas pendientes"))</x:f>
        <x:v>Ubicable</x:v>
      </x:c>
    </x:row>
    <x:row r="56" ht="23" customHeight="1">
      <x:c r="A56" s="45" t="str">
        <x:f>'Ubicaciones'!C56</x:f>
        <x:v>38475</x:v>
      </x:c>
      <x:c r="B56" s="45" t="str">
        <x:f>'Ubicaciones'!A56</x:f>
        <x:v>Centro Norte</x:v>
      </x:c>
      <x:c r="C56" s="45" t="str">
        <x:f>'Ubicaciones'!B56</x:f>
        <x:v>Yazmin Chabela</x:v>
      </x:c>
      <x:c r="D56" s="45" t="str">
        <x:f>IF(COUNTIFS('Catalogos'!$A$2:$A$41,B56,'Catalogos'!$B$2:$B$41,C56)&gt;0,"Correcta","Revisar Región DM")</x:f>
        <x:v>Correcta</x:v>
      </x:c>
      <x:c r="E56" s="45" t="str">
        <x:f>IF(COUNTIFS('Ubicaciones'!$C$2:$C$10001,A56)=1,"Único","Duplicado")</x:f>
        <x:v>Único</x:v>
      </x:c>
      <x:c r="F56" s="45" t="str">
        <x:f>IF('Ubicaciones'!T56=1,"Ubicable",IF('Ubicaciones'!E56&lt;&gt;"Abierta","Fuera por estatus","Coordenadas pendientes"))</x:f>
        <x:v>Ubicable</x:v>
      </x:c>
    </x:row>
    <x:row r="57" ht="23" customHeight="1">
      <x:c r="A57" s="45" t="str">
        <x:f>'Ubicaciones'!C57</x:f>
        <x:v>38561</x:v>
      </x:c>
      <x:c r="B57" s="45" t="str">
        <x:f>'Ubicaciones'!A57</x:f>
        <x:v>Centro Norte</x:v>
      </x:c>
      <x:c r="C57" s="45" t="str">
        <x:f>'Ubicaciones'!B57</x:f>
        <x:v>Yazmin Chabela</x:v>
      </x:c>
      <x:c r="D57" s="45" t="str">
        <x:f>IF(COUNTIFS('Catalogos'!$A$2:$A$41,B57,'Catalogos'!$B$2:$B$41,C57)&gt;0,"Correcta","Revisar Región DM")</x:f>
        <x:v>Correcta</x:v>
      </x:c>
      <x:c r="E57" s="45" t="str">
        <x:f>IF(COUNTIFS('Ubicaciones'!$C$2:$C$10001,A57)=1,"Único","Duplicado")</x:f>
        <x:v>Único</x:v>
      </x:c>
      <x:c r="F57" s="45" t="str">
        <x:f>IF('Ubicaciones'!T57=1,"Ubicable",IF('Ubicaciones'!E57&lt;&gt;"Abierta","Fuera por estatus","Coordenadas pendientes"))</x:f>
        <x:v>Ubicable</x:v>
      </x:c>
    </x:row>
    <x:row r="58" ht="23" customHeight="1">
      <x:c r="A58" s="45" t="str">
        <x:f>'Ubicaciones'!C58</x:f>
        <x:v>38590</x:v>
      </x:c>
      <x:c r="B58" s="45" t="str">
        <x:f>'Ubicaciones'!A58</x:f>
        <x:v>Centro Norte</x:v>
      </x:c>
      <x:c r="C58" s="45" t="str">
        <x:f>'Ubicaciones'!B58</x:f>
        <x:v>Yazmin Chabela</x:v>
      </x:c>
      <x:c r="D58" s="45" t="str">
        <x:f>IF(COUNTIFS('Catalogos'!$A$2:$A$41,B58,'Catalogos'!$B$2:$B$41,C58)&gt;0,"Correcta","Revisar Región DM")</x:f>
        <x:v>Correcta</x:v>
      </x:c>
      <x:c r="E58" s="45" t="str">
        <x:f>IF(COUNTIFS('Ubicaciones'!$C$2:$C$10001,A58)=1,"Único","Duplicado")</x:f>
        <x:v>Único</x:v>
      </x:c>
      <x:c r="F58" s="45" t="str">
        <x:f>IF('Ubicaciones'!T58=1,"Ubicable",IF('Ubicaciones'!E58&lt;&gt;"Abierta","Fuera por estatus","Coordenadas pendientes"))</x:f>
        <x:v>Ubicable</x:v>
      </x:c>
    </x:row>
    <x:row r="59" ht="23" customHeight="1">
      <x:c r="A59" s="45" t="str">
        <x:f>'Ubicaciones'!C59</x:f>
        <x:v>38656</x:v>
      </x:c>
      <x:c r="B59" s="45" t="str">
        <x:f>'Ubicaciones'!A59</x:f>
        <x:v>Centro Norte</x:v>
      </x:c>
      <x:c r="C59" s="45" t="str">
        <x:f>'Ubicaciones'!B59</x:f>
        <x:v>Yazmin Chabela</x:v>
      </x:c>
      <x:c r="D59" s="45" t="str">
        <x:f>IF(COUNTIFS('Catalogos'!$A$2:$A$41,B59,'Catalogos'!$B$2:$B$41,C59)&gt;0,"Correcta","Revisar Región DM")</x:f>
        <x:v>Correcta</x:v>
      </x:c>
      <x:c r="E59" s="45" t="str">
        <x:f>IF(COUNTIFS('Ubicaciones'!$C$2:$C$10001,A59)=1,"Único","Duplicado")</x:f>
        <x:v>Único</x:v>
      </x:c>
      <x:c r="F59" s="45" t="str">
        <x:f>IF('Ubicaciones'!T59=1,"Ubicable",IF('Ubicaciones'!E59&lt;&gt;"Abierta","Fuera por estatus","Coordenadas pendientes"))</x:f>
        <x:v>Ubicable</x:v>
      </x:c>
    </x:row>
    <x:row r="60" ht="23" customHeight="1">
      <x:c r="A60" s="45" t="str">
        <x:f>'Ubicaciones'!C60</x:f>
        <x:v>38695</x:v>
      </x:c>
      <x:c r="B60" s="45" t="str">
        <x:f>'Ubicaciones'!A60</x:f>
        <x:v>Centro Norte</x:v>
      </x:c>
      <x:c r="C60" s="45" t="str">
        <x:f>'Ubicaciones'!B60</x:f>
        <x:v>Yazmin Chabela</x:v>
      </x:c>
      <x:c r="D60" s="45" t="str">
        <x:f>IF(COUNTIFS('Catalogos'!$A$2:$A$41,B60,'Catalogos'!$B$2:$B$41,C60)&gt;0,"Correcta","Revisar Región DM")</x:f>
        <x:v>Correcta</x:v>
      </x:c>
      <x:c r="E60" s="45" t="str">
        <x:f>IF(COUNTIFS('Ubicaciones'!$C$2:$C$10001,A60)=1,"Único","Duplicado")</x:f>
        <x:v>Único</x:v>
      </x:c>
      <x:c r="F60" s="45" t="str">
        <x:f>IF('Ubicaciones'!T60=1,"Ubicable",IF('Ubicaciones'!E60&lt;&gt;"Abierta","Fuera por estatus","Coordenadas pendientes"))</x:f>
        <x:v>Ubicable</x:v>
      </x:c>
    </x:row>
    <x:row r="61" ht="23" customHeight="1">
      <x:c r="A61" s="45" t="str">
        <x:f>'Ubicaciones'!C61</x:f>
        <x:v>38770</x:v>
      </x:c>
      <x:c r="B61" s="45" t="str">
        <x:f>'Ubicaciones'!A61</x:f>
        <x:v>Centro Norte</x:v>
      </x:c>
      <x:c r="C61" s="45" t="str">
        <x:f>'Ubicaciones'!B61</x:f>
        <x:v>Yazmin Chabela</x:v>
      </x:c>
      <x:c r="D61" s="45" t="str">
        <x:f>IF(COUNTIFS('Catalogos'!$A$2:$A$41,B61,'Catalogos'!$B$2:$B$41,C61)&gt;0,"Correcta","Revisar Región DM")</x:f>
        <x:v>Correcta</x:v>
      </x:c>
      <x:c r="E61" s="45" t="str">
        <x:f>IF(COUNTIFS('Ubicaciones'!$C$2:$C$10001,A61)=1,"Único","Duplicado")</x:f>
        <x:v>Único</x:v>
      </x:c>
      <x:c r="F61" s="45" t="str">
        <x:f>IF('Ubicaciones'!T61=1,"Ubicable",IF('Ubicaciones'!E61&lt;&gt;"Abierta","Fuera por estatus","Coordenadas pendientes"))</x:f>
        <x:v>Ubicable</x:v>
      </x:c>
    </x:row>
    <x:row r="62" ht="23" customHeight="1">
      <x:c r="A62" s="45" t="str">
        <x:f>'Ubicaciones'!C62</x:f>
        <x:v>38859</x:v>
      </x:c>
      <x:c r="B62" s="45" t="str">
        <x:f>'Ubicaciones'!A62</x:f>
        <x:v>Centro Norte</x:v>
      </x:c>
      <x:c r="C62" s="45" t="str">
        <x:f>'Ubicaciones'!B62</x:f>
        <x:v>Yazmin Chabela</x:v>
      </x:c>
      <x:c r="D62" s="45" t="str">
        <x:f>IF(COUNTIFS('Catalogos'!$A$2:$A$41,B62,'Catalogos'!$B$2:$B$41,C62)&gt;0,"Correcta","Revisar Región DM")</x:f>
        <x:v>Correcta</x:v>
      </x:c>
      <x:c r="E62" s="45" t="str">
        <x:f>IF(COUNTIFS('Ubicaciones'!$C$2:$C$10001,A62)=1,"Único","Duplicado")</x:f>
        <x:v>Único</x:v>
      </x:c>
      <x:c r="F62" s="45" t="str">
        <x:f>IF('Ubicaciones'!T62=1,"Ubicable",IF('Ubicaciones'!E62&lt;&gt;"Abierta","Fuera por estatus","Coordenadas pendientes"))</x:f>
        <x:v>Ubicable</x:v>
      </x:c>
    </x:row>
    <x:row r="63" ht="23" customHeight="1">
      <x:c r="A63" s="45" t="str">
        <x:f>'Ubicaciones'!C63</x:f>
        <x:v>43152</x:v>
      </x:c>
      <x:c r="B63" s="45" t="str">
        <x:f>'Ubicaciones'!A63</x:f>
        <x:v>Centro Norte</x:v>
      </x:c>
      <x:c r="C63" s="45" t="str">
        <x:f>'Ubicaciones'!B63</x:f>
        <x:v>Yazmin Chabela</x:v>
      </x:c>
      <x:c r="D63" s="45" t="str">
        <x:f>IF(COUNTIFS('Catalogos'!$A$2:$A$41,B63,'Catalogos'!$B$2:$B$41,C63)&gt;0,"Correcta","Revisar Región DM")</x:f>
        <x:v>Correcta</x:v>
      </x:c>
      <x:c r="E63" s="45" t="str">
        <x:f>IF(COUNTIFS('Ubicaciones'!$C$2:$C$10001,A63)=1,"Único","Duplicado")</x:f>
        <x:v>Único</x:v>
      </x:c>
      <x:c r="F63" s="45" t="str">
        <x:f>IF('Ubicaciones'!T63=1,"Ubicable",IF('Ubicaciones'!E63&lt;&gt;"Abierta","Fuera por estatus","Coordenadas pendientes"))</x:f>
        <x:v>Ubicable</x:v>
      </x:c>
    </x:row>
    <x:row r="64" ht="23" customHeight="1">
      <x:c r="A64" s="45" t="str">
        <x:f>'Ubicaciones'!C64</x:f>
        <x:v>43302</x:v>
      </x:c>
      <x:c r="B64" s="45" t="str">
        <x:f>'Ubicaciones'!A64</x:f>
        <x:v>Centro Norte</x:v>
      </x:c>
      <x:c r="C64" s="45" t="str">
        <x:f>'Ubicaciones'!B64</x:f>
        <x:v>Yazmin Chabela</x:v>
      </x:c>
      <x:c r="D64" s="45" t="str">
        <x:f>IF(COUNTIFS('Catalogos'!$A$2:$A$41,B64,'Catalogos'!$B$2:$B$41,C64)&gt;0,"Correcta","Revisar Región DM")</x:f>
        <x:v>Correcta</x:v>
      </x:c>
      <x:c r="E64" s="45" t="str">
        <x:f>IF(COUNTIFS('Ubicaciones'!$C$2:$C$10001,A64)=1,"Único","Duplicado")</x:f>
        <x:v>Único</x:v>
      </x:c>
      <x:c r="F64" s="45" t="str">
        <x:f>IF('Ubicaciones'!T64=1,"Ubicable",IF('Ubicaciones'!E64&lt;&gt;"Abierta","Fuera por estatus","Coordenadas pendientes"))</x:f>
        <x:v>Fuera por estatus</x:v>
      </x:c>
    </x:row>
    <x:row r="65" ht="23" customHeight="1">
      <x:c r="A65" s="45" t="str">
        <x:f>'Ubicaciones'!C65</x:f>
        <x:v>38115</x:v>
      </x:c>
      <x:c r="B65" s="45" t="str">
        <x:f>'Ubicaciones'!A65</x:f>
        <x:v>Centro Norte</x:v>
      </x:c>
      <x:c r="C65" s="45" t="str">
        <x:f>'Ubicaciones'!B65</x:f>
        <x:v>Yazmin García</x:v>
      </x:c>
      <x:c r="D65" s="45" t="str">
        <x:f>IF(COUNTIFS('Catalogos'!$A$2:$A$41,B65,'Catalogos'!$B$2:$B$41,C65)&gt;0,"Correcta","Revisar Región DM")</x:f>
        <x:v>Correcta</x:v>
      </x:c>
      <x:c r="E65" s="45" t="str">
        <x:f>IF(COUNTIFS('Ubicaciones'!$C$2:$C$10001,A65)=1,"Único","Duplicado")</x:f>
        <x:v>Único</x:v>
      </x:c>
      <x:c r="F65" s="45" t="str">
        <x:f>IF('Ubicaciones'!T65=1,"Ubicable",IF('Ubicaciones'!E65&lt;&gt;"Abierta","Fuera por estatus","Coordenadas pendientes"))</x:f>
        <x:v>Ubicable</x:v>
      </x:c>
    </x:row>
    <x:row r="66" ht="23" customHeight="1">
      <x:c r="A66" s="45" t="str">
        <x:f>'Ubicaciones'!C66</x:f>
        <x:v>38119</x:v>
      </x:c>
      <x:c r="B66" s="45" t="str">
        <x:f>'Ubicaciones'!A66</x:f>
        <x:v>Centro Norte</x:v>
      </x:c>
      <x:c r="C66" s="45" t="str">
        <x:f>'Ubicaciones'!B66</x:f>
        <x:v>Yazmin García</x:v>
      </x:c>
      <x:c r="D66" s="45" t="str">
        <x:f>IF(COUNTIFS('Catalogos'!$A$2:$A$41,B66,'Catalogos'!$B$2:$B$41,C66)&gt;0,"Correcta","Revisar Región DM")</x:f>
        <x:v>Correcta</x:v>
      </x:c>
      <x:c r="E66" s="45" t="str">
        <x:f>IF(COUNTIFS('Ubicaciones'!$C$2:$C$10001,A66)=1,"Único","Duplicado")</x:f>
        <x:v>Único</x:v>
      </x:c>
      <x:c r="F66" s="45" t="str">
        <x:f>IF('Ubicaciones'!T66=1,"Ubicable",IF('Ubicaciones'!E66&lt;&gt;"Abierta","Fuera por estatus","Coordenadas pendientes"))</x:f>
        <x:v>Ubicable</x:v>
      </x:c>
    </x:row>
    <x:row r="67" ht="23" customHeight="1">
      <x:c r="A67" s="45" t="str">
        <x:f>'Ubicaciones'!C67</x:f>
        <x:v>38142</x:v>
      </x:c>
      <x:c r="B67" s="45" t="str">
        <x:f>'Ubicaciones'!A67</x:f>
        <x:v>Centro Norte</x:v>
      </x:c>
      <x:c r="C67" s="45" t="str">
        <x:f>'Ubicaciones'!B67</x:f>
        <x:v>Yazmin García</x:v>
      </x:c>
      <x:c r="D67" s="45" t="str">
        <x:f>IF(COUNTIFS('Catalogos'!$A$2:$A$41,B67,'Catalogos'!$B$2:$B$41,C67)&gt;0,"Correcta","Revisar Región DM")</x:f>
        <x:v>Correcta</x:v>
      </x:c>
      <x:c r="E67" s="45" t="str">
        <x:f>IF(COUNTIFS('Ubicaciones'!$C$2:$C$10001,A67)=1,"Único","Duplicado")</x:f>
        <x:v>Único</x:v>
      </x:c>
      <x:c r="F67" s="45" t="str">
        <x:f>IF('Ubicaciones'!T67=1,"Ubicable",IF('Ubicaciones'!E67&lt;&gt;"Abierta","Fuera por estatus","Coordenadas pendientes"))</x:f>
        <x:v>Ubicable</x:v>
      </x:c>
    </x:row>
    <x:row r="68" ht="23" customHeight="1">
      <x:c r="A68" s="45" t="str">
        <x:f>'Ubicaciones'!C68</x:f>
        <x:v>38149</x:v>
      </x:c>
      <x:c r="B68" s="45" t="str">
        <x:f>'Ubicaciones'!A68</x:f>
        <x:v>Centro Norte</x:v>
      </x:c>
      <x:c r="C68" s="45" t="str">
        <x:f>'Ubicaciones'!B68</x:f>
        <x:v>Yazmin García</x:v>
      </x:c>
      <x:c r="D68" s="45" t="str">
        <x:f>IF(COUNTIFS('Catalogos'!$A$2:$A$41,B68,'Catalogos'!$B$2:$B$41,C68)&gt;0,"Correcta","Revisar Región DM")</x:f>
        <x:v>Correcta</x:v>
      </x:c>
      <x:c r="E68" s="45" t="str">
        <x:f>IF(COUNTIFS('Ubicaciones'!$C$2:$C$10001,A68)=1,"Único","Duplicado")</x:f>
        <x:v>Único</x:v>
      </x:c>
      <x:c r="F68" s="45" t="str">
        <x:f>IF('Ubicaciones'!T68=1,"Ubicable",IF('Ubicaciones'!E68&lt;&gt;"Abierta","Fuera por estatus","Coordenadas pendientes"))</x:f>
        <x:v>Ubicable</x:v>
      </x:c>
    </x:row>
    <x:row r="69" ht="23" customHeight="1">
      <x:c r="A69" s="45" t="str">
        <x:f>'Ubicaciones'!C69</x:f>
        <x:v>38266</x:v>
      </x:c>
      <x:c r="B69" s="45" t="str">
        <x:f>'Ubicaciones'!A69</x:f>
        <x:v>Centro Norte</x:v>
      </x:c>
      <x:c r="C69" s="45" t="str">
        <x:f>'Ubicaciones'!B69</x:f>
        <x:v>Yazmin García</x:v>
      </x:c>
      <x:c r="D69" s="45" t="str">
        <x:f>IF(COUNTIFS('Catalogos'!$A$2:$A$41,B69,'Catalogos'!$B$2:$B$41,C69)&gt;0,"Correcta","Revisar Región DM")</x:f>
        <x:v>Correcta</x:v>
      </x:c>
      <x:c r="E69" s="45" t="str">
        <x:f>IF(COUNTIFS('Ubicaciones'!$C$2:$C$10001,A69)=1,"Único","Duplicado")</x:f>
        <x:v>Único</x:v>
      </x:c>
      <x:c r="F69" s="45" t="str">
        <x:f>IF('Ubicaciones'!T69=1,"Ubicable",IF('Ubicaciones'!E69&lt;&gt;"Abierta","Fuera por estatus","Coordenadas pendientes"))</x:f>
        <x:v>Ubicable</x:v>
      </x:c>
    </x:row>
    <x:row r="70" ht="23" customHeight="1">
      <x:c r="A70" s="45" t="str">
        <x:f>'Ubicaciones'!C70</x:f>
        <x:v>38270</x:v>
      </x:c>
      <x:c r="B70" s="45" t="str">
        <x:f>'Ubicaciones'!A70</x:f>
        <x:v>Centro Norte</x:v>
      </x:c>
      <x:c r="C70" s="45" t="str">
        <x:f>'Ubicaciones'!B70</x:f>
        <x:v>Yazmin García</x:v>
      </x:c>
      <x:c r="D70" s="45" t="str">
        <x:f>IF(COUNTIFS('Catalogos'!$A$2:$A$41,B70,'Catalogos'!$B$2:$B$41,C70)&gt;0,"Correcta","Revisar Región DM")</x:f>
        <x:v>Correcta</x:v>
      </x:c>
      <x:c r="E70" s="45" t="str">
        <x:f>IF(COUNTIFS('Ubicaciones'!$C$2:$C$10001,A70)=1,"Único","Duplicado")</x:f>
        <x:v>Único</x:v>
      </x:c>
      <x:c r="F70" s="45" t="str">
        <x:f>IF('Ubicaciones'!T70=1,"Ubicable",IF('Ubicaciones'!E70&lt;&gt;"Abierta","Fuera por estatus","Coordenadas pendientes"))</x:f>
        <x:v>Ubicable</x:v>
      </x:c>
    </x:row>
    <x:row r="71" ht="23" customHeight="1">
      <x:c r="A71" s="45" t="str">
        <x:f>'Ubicaciones'!C71</x:f>
        <x:v>38363</x:v>
      </x:c>
      <x:c r="B71" s="45" t="str">
        <x:f>'Ubicaciones'!A71</x:f>
        <x:v>Centro Norte</x:v>
      </x:c>
      <x:c r="C71" s="45" t="str">
        <x:f>'Ubicaciones'!B71</x:f>
        <x:v>Yazmin García</x:v>
      </x:c>
      <x:c r="D71" s="45" t="str">
        <x:f>IF(COUNTIFS('Catalogos'!$A$2:$A$41,B71,'Catalogos'!$B$2:$B$41,C71)&gt;0,"Correcta","Revisar Región DM")</x:f>
        <x:v>Correcta</x:v>
      </x:c>
      <x:c r="E71" s="45" t="str">
        <x:f>IF(COUNTIFS('Ubicaciones'!$C$2:$C$10001,A71)=1,"Único","Duplicado")</x:f>
        <x:v>Único</x:v>
      </x:c>
      <x:c r="F71" s="45" t="str">
        <x:f>IF('Ubicaciones'!T71=1,"Ubicable",IF('Ubicaciones'!E71&lt;&gt;"Abierta","Fuera por estatus","Coordenadas pendientes"))</x:f>
        <x:v>Ubicable</x:v>
      </x:c>
    </x:row>
    <x:row r="72" ht="23" customHeight="1">
      <x:c r="A72" s="45" t="str">
        <x:f>'Ubicaciones'!C72</x:f>
        <x:v>38394</x:v>
      </x:c>
      <x:c r="B72" s="45" t="str">
        <x:f>'Ubicaciones'!A72</x:f>
        <x:v>Centro Norte</x:v>
      </x:c>
      <x:c r="C72" s="45" t="str">
        <x:f>'Ubicaciones'!B72</x:f>
        <x:v>Yazmin García</x:v>
      </x:c>
      <x:c r="D72" s="45" t="str">
        <x:f>IF(COUNTIFS('Catalogos'!$A$2:$A$41,B72,'Catalogos'!$B$2:$B$41,C72)&gt;0,"Correcta","Revisar Región DM")</x:f>
        <x:v>Correcta</x:v>
      </x:c>
      <x:c r="E72" s="45" t="str">
        <x:f>IF(COUNTIFS('Ubicaciones'!$C$2:$C$10001,A72)=1,"Único","Duplicado")</x:f>
        <x:v>Único</x:v>
      </x:c>
      <x:c r="F72" s="45" t="str">
        <x:f>IF('Ubicaciones'!T72=1,"Ubicable",IF('Ubicaciones'!E72&lt;&gt;"Abierta","Fuera por estatus","Coordenadas pendientes"))</x:f>
        <x:v>Ubicable</x:v>
      </x:c>
    </x:row>
    <x:row r="73" ht="23" customHeight="1">
      <x:c r="A73" s="45" t="str">
        <x:f>'Ubicaciones'!C73</x:f>
        <x:v>38507</x:v>
      </x:c>
      <x:c r="B73" s="45" t="str">
        <x:f>'Ubicaciones'!A73</x:f>
        <x:v>Centro Norte</x:v>
      </x:c>
      <x:c r="C73" s="45" t="str">
        <x:f>'Ubicaciones'!B73</x:f>
        <x:v>Yazmin García</x:v>
      </x:c>
      <x:c r="D73" s="45" t="str">
        <x:f>IF(COUNTIFS('Catalogos'!$A$2:$A$41,B73,'Catalogos'!$B$2:$B$41,C73)&gt;0,"Correcta","Revisar Región DM")</x:f>
        <x:v>Correcta</x:v>
      </x:c>
      <x:c r="E73" s="45" t="str">
        <x:f>IF(COUNTIFS('Ubicaciones'!$C$2:$C$10001,A73)=1,"Único","Duplicado")</x:f>
        <x:v>Único</x:v>
      </x:c>
      <x:c r="F73" s="45" t="str">
        <x:f>IF('Ubicaciones'!T73=1,"Ubicable",IF('Ubicaciones'!E73&lt;&gt;"Abierta","Fuera por estatus","Coordenadas pendientes"))</x:f>
        <x:v>Ubicable</x:v>
      </x:c>
    </x:row>
    <x:row r="74" ht="23" customHeight="1">
      <x:c r="A74" s="45" t="str">
        <x:f>'Ubicaciones'!C74</x:f>
        <x:v>38535</x:v>
      </x:c>
      <x:c r="B74" s="45" t="str">
        <x:f>'Ubicaciones'!A74</x:f>
        <x:v>Centro Norte</x:v>
      </x:c>
      <x:c r="C74" s="45" t="str">
        <x:f>'Ubicaciones'!B74</x:f>
        <x:v>Yazmin García</x:v>
      </x:c>
      <x:c r="D74" s="45" t="str">
        <x:f>IF(COUNTIFS('Catalogos'!$A$2:$A$41,B74,'Catalogos'!$B$2:$B$41,C74)&gt;0,"Correcta","Revisar Región DM")</x:f>
        <x:v>Correcta</x:v>
      </x:c>
      <x:c r="E74" s="45" t="str">
        <x:f>IF(COUNTIFS('Ubicaciones'!$C$2:$C$10001,A74)=1,"Único","Duplicado")</x:f>
        <x:v>Único</x:v>
      </x:c>
      <x:c r="F74" s="45" t="str">
        <x:f>IF('Ubicaciones'!T74=1,"Ubicable",IF('Ubicaciones'!E74&lt;&gt;"Abierta","Fuera por estatus","Coordenadas pendientes"))</x:f>
        <x:v>Ubicable</x:v>
      </x:c>
    </x:row>
    <x:row r="75" ht="23" customHeight="1">
      <x:c r="A75" s="45" t="str">
        <x:f>'Ubicaciones'!C75</x:f>
        <x:v>38925</x:v>
      </x:c>
      <x:c r="B75" s="45" t="str">
        <x:f>'Ubicaciones'!A75</x:f>
        <x:v>Centro Norte</x:v>
      </x:c>
      <x:c r="C75" s="45" t="str">
        <x:f>'Ubicaciones'!B75</x:f>
        <x:v>Yazmin García</x:v>
      </x:c>
      <x:c r="D75" s="45" t="str">
        <x:f>IF(COUNTIFS('Catalogos'!$A$2:$A$41,B75,'Catalogos'!$B$2:$B$41,C75)&gt;0,"Correcta","Revisar Región DM")</x:f>
        <x:v>Correcta</x:v>
      </x:c>
      <x:c r="E75" s="45" t="str">
        <x:f>IF(COUNTIFS('Ubicaciones'!$C$2:$C$10001,A75)=1,"Único","Duplicado")</x:f>
        <x:v>Único</x:v>
      </x:c>
      <x:c r="F75" s="45" t="str">
        <x:f>IF('Ubicaciones'!T75=1,"Ubicable",IF('Ubicaciones'!E75&lt;&gt;"Abierta","Fuera por estatus","Coordenadas pendientes"))</x:f>
        <x:v>Ubicable</x:v>
      </x:c>
    </x:row>
    <x:row r="76" ht="23" customHeight="1">
      <x:c r="A76" s="45" t="str">
        <x:f>'Ubicaciones'!C76</x:f>
        <x:v>43043</x:v>
      </x:c>
      <x:c r="B76" s="45" t="str">
        <x:f>'Ubicaciones'!A76</x:f>
        <x:v>Centro Norte</x:v>
      </x:c>
      <x:c r="C76" s="45" t="str">
        <x:f>'Ubicaciones'!B76</x:f>
        <x:v>Yazmin García</x:v>
      </x:c>
      <x:c r="D76" s="45" t="str">
        <x:f>IF(COUNTIFS('Catalogos'!$A$2:$A$41,B76,'Catalogos'!$B$2:$B$41,C76)&gt;0,"Correcta","Revisar Región DM")</x:f>
        <x:v>Correcta</x:v>
      </x:c>
      <x:c r="E76" s="45" t="str">
        <x:f>IF(COUNTIFS('Ubicaciones'!$C$2:$C$10001,A76)=1,"Único","Duplicado")</x:f>
        <x:v>Único</x:v>
      </x:c>
      <x:c r="F76" s="45" t="str">
        <x:f>IF('Ubicaciones'!T76=1,"Ubicable",IF('Ubicaciones'!E76&lt;&gt;"Abierta","Fuera por estatus","Coordenadas pendientes"))</x:f>
        <x:v>Ubicable</x:v>
      </x:c>
    </x:row>
    <x:row r="77" ht="23" customHeight="1">
      <x:c r="A77" s="45" t="str">
        <x:f>'Ubicaciones'!C77</x:f>
        <x:v>43130</x:v>
      </x:c>
      <x:c r="B77" s="45" t="str">
        <x:f>'Ubicaciones'!A77</x:f>
        <x:v>Centro Norte</x:v>
      </x:c>
      <x:c r="C77" s="45" t="str">
        <x:f>'Ubicaciones'!B77</x:f>
        <x:v>Yazmin García</x:v>
      </x:c>
      <x:c r="D77" s="45" t="str">
        <x:f>IF(COUNTIFS('Catalogos'!$A$2:$A$41,B77,'Catalogos'!$B$2:$B$41,C77)&gt;0,"Correcta","Revisar Región DM")</x:f>
        <x:v>Correcta</x:v>
      </x:c>
      <x:c r="E77" s="45" t="str">
        <x:f>IF(COUNTIFS('Ubicaciones'!$C$2:$C$10001,A77)=1,"Único","Duplicado")</x:f>
        <x:v>Único</x:v>
      </x:c>
      <x:c r="F77" s="45" t="str">
        <x:f>IF('Ubicaciones'!T77=1,"Ubicable",IF('Ubicaciones'!E77&lt;&gt;"Abierta","Fuera por estatus","Coordenadas pendientes"))</x:f>
        <x:v>Ubicable</x:v>
      </x:c>
    </x:row>
    <x:row r="78" ht="23" customHeight="1">
      <x:c r="A78" s="45" t="str">
        <x:f>'Ubicaciones'!C78</x:f>
        <x:v>38226</x:v>
      </x:c>
      <x:c r="B78" s="45" t="str">
        <x:f>'Ubicaciones'!A78</x:f>
        <x:v>Centro Sur</x:v>
      </x:c>
      <x:c r="C78" s="45" t="str">
        <x:f>'Ubicaciones'!B78</x:f>
        <x:v>Ariana Janet Gutierrez Martinez</x:v>
      </x:c>
      <x:c r="D78" s="45" t="str">
        <x:f>IF(COUNTIFS('Catalogos'!$A$2:$A$41,B78,'Catalogos'!$B$2:$B$41,C78)&gt;0,"Correcta","Revisar Región DM")</x:f>
        <x:v>Correcta</x:v>
      </x:c>
      <x:c r="E78" s="45" t="str">
        <x:f>IF(COUNTIFS('Ubicaciones'!$C$2:$C$10001,A78)=1,"Único","Duplicado")</x:f>
        <x:v>Único</x:v>
      </x:c>
      <x:c r="F78" s="45" t="str">
        <x:f>IF('Ubicaciones'!T78=1,"Ubicable",IF('Ubicaciones'!E78&lt;&gt;"Abierta","Fuera por estatus","Coordenadas pendientes"))</x:f>
        <x:v>Ubicable</x:v>
      </x:c>
    </x:row>
    <x:row r="79" ht="23" customHeight="1">
      <x:c r="A79" s="45" t="str">
        <x:f>'Ubicaciones'!C79</x:f>
        <x:v>38279</x:v>
      </x:c>
      <x:c r="B79" s="45" t="str">
        <x:f>'Ubicaciones'!A79</x:f>
        <x:v>Centro Sur</x:v>
      </x:c>
      <x:c r="C79" s="45" t="str">
        <x:f>'Ubicaciones'!B79</x:f>
        <x:v>Ariana Janet Gutierrez Martinez</x:v>
      </x:c>
      <x:c r="D79" s="45" t="str">
        <x:f>IF(COUNTIFS('Catalogos'!$A$2:$A$41,B79,'Catalogos'!$B$2:$B$41,C79)&gt;0,"Correcta","Revisar Región DM")</x:f>
        <x:v>Correcta</x:v>
      </x:c>
      <x:c r="E79" s="45" t="str">
        <x:f>IF(COUNTIFS('Ubicaciones'!$C$2:$C$10001,A79)=1,"Único","Duplicado")</x:f>
        <x:v>Único</x:v>
      </x:c>
      <x:c r="F79" s="45" t="str">
        <x:f>IF('Ubicaciones'!T79=1,"Ubicable",IF('Ubicaciones'!E79&lt;&gt;"Abierta","Fuera por estatus","Coordenadas pendientes"))</x:f>
        <x:v>Ubicable</x:v>
      </x:c>
    </x:row>
    <x:row r="80" ht="23" customHeight="1">
      <x:c r="A80" s="45" t="str">
        <x:f>'Ubicaciones'!C80</x:f>
        <x:v>38289</x:v>
      </x:c>
      <x:c r="B80" s="45" t="str">
        <x:f>'Ubicaciones'!A80</x:f>
        <x:v>Centro Sur</x:v>
      </x:c>
      <x:c r="C80" s="45" t="str">
        <x:f>'Ubicaciones'!B80</x:f>
        <x:v>Ariana Janet Gutierrez Martinez</x:v>
      </x:c>
      <x:c r="D80" s="45" t="str">
        <x:f>IF(COUNTIFS('Catalogos'!$A$2:$A$41,B80,'Catalogos'!$B$2:$B$41,C80)&gt;0,"Correcta","Revisar Región DM")</x:f>
        <x:v>Correcta</x:v>
      </x:c>
      <x:c r="E80" s="45" t="str">
        <x:f>IF(COUNTIFS('Ubicaciones'!$C$2:$C$10001,A80)=1,"Único","Duplicado")</x:f>
        <x:v>Único</x:v>
      </x:c>
      <x:c r="F80" s="45" t="str">
        <x:f>IF('Ubicaciones'!T80=1,"Ubicable",IF('Ubicaciones'!E80&lt;&gt;"Abierta","Fuera por estatus","Coordenadas pendientes"))</x:f>
        <x:v>Ubicable</x:v>
      </x:c>
    </x:row>
    <x:row r="81" ht="23" customHeight="1">
      <x:c r="A81" s="45" t="str">
        <x:f>'Ubicaciones'!C81</x:f>
        <x:v>38418</x:v>
      </x:c>
      <x:c r="B81" s="45" t="str">
        <x:f>'Ubicaciones'!A81</x:f>
        <x:v>Centro Sur</x:v>
      </x:c>
      <x:c r="C81" s="45" t="str">
        <x:f>'Ubicaciones'!B81</x:f>
        <x:v>Ariana Janet Gutierrez Martinez</x:v>
      </x:c>
      <x:c r="D81" s="45" t="str">
        <x:f>IF(COUNTIFS('Catalogos'!$A$2:$A$41,B81,'Catalogos'!$B$2:$B$41,C81)&gt;0,"Correcta","Revisar Región DM")</x:f>
        <x:v>Correcta</x:v>
      </x:c>
      <x:c r="E81" s="45" t="str">
        <x:f>IF(COUNTIFS('Ubicaciones'!$C$2:$C$10001,A81)=1,"Único","Duplicado")</x:f>
        <x:v>Único</x:v>
      </x:c>
      <x:c r="F81" s="45" t="str">
        <x:f>IF('Ubicaciones'!T81=1,"Ubicable",IF('Ubicaciones'!E81&lt;&gt;"Abierta","Fuera por estatus","Coordenadas pendientes"))</x:f>
        <x:v>Ubicable</x:v>
      </x:c>
    </x:row>
    <x:row r="82" ht="23" customHeight="1">
      <x:c r="A82" s="45" t="str">
        <x:f>'Ubicaciones'!C82</x:f>
        <x:v>38419</x:v>
      </x:c>
      <x:c r="B82" s="45" t="str">
        <x:f>'Ubicaciones'!A82</x:f>
        <x:v>Centro Sur</x:v>
      </x:c>
      <x:c r="C82" s="45" t="str">
        <x:f>'Ubicaciones'!B82</x:f>
        <x:v>Ariana Janet Gutierrez Martinez</x:v>
      </x:c>
      <x:c r="D82" s="45" t="str">
        <x:f>IF(COUNTIFS('Catalogos'!$A$2:$A$41,B82,'Catalogos'!$B$2:$B$41,C82)&gt;0,"Correcta","Revisar Región DM")</x:f>
        <x:v>Correcta</x:v>
      </x:c>
      <x:c r="E82" s="45" t="str">
        <x:f>IF(COUNTIFS('Ubicaciones'!$C$2:$C$10001,A82)=1,"Único","Duplicado")</x:f>
        <x:v>Único</x:v>
      </x:c>
      <x:c r="F82" s="45" t="str">
        <x:f>IF('Ubicaciones'!T82=1,"Ubicable",IF('Ubicaciones'!E82&lt;&gt;"Abierta","Fuera por estatus","Coordenadas pendientes"))</x:f>
        <x:v>Ubicable</x:v>
      </x:c>
    </x:row>
    <x:row r="83" ht="23" customHeight="1">
      <x:c r="A83" s="45" t="str">
        <x:f>'Ubicaciones'!C83</x:f>
        <x:v>38468</x:v>
      </x:c>
      <x:c r="B83" s="45" t="str">
        <x:f>'Ubicaciones'!A83</x:f>
        <x:v>Centro Sur</x:v>
      </x:c>
      <x:c r="C83" s="45" t="str">
        <x:f>'Ubicaciones'!B83</x:f>
        <x:v>Ariana Janet Gutierrez Martinez</x:v>
      </x:c>
      <x:c r="D83" s="45" t="str">
        <x:f>IF(COUNTIFS('Catalogos'!$A$2:$A$41,B83,'Catalogos'!$B$2:$B$41,C83)&gt;0,"Correcta","Revisar Región DM")</x:f>
        <x:v>Correcta</x:v>
      </x:c>
      <x:c r="E83" s="45" t="str">
        <x:f>IF(COUNTIFS('Ubicaciones'!$C$2:$C$10001,A83)=1,"Único","Duplicado")</x:f>
        <x:v>Único</x:v>
      </x:c>
      <x:c r="F83" s="45" t="str">
        <x:f>IF('Ubicaciones'!T83=1,"Ubicable",IF('Ubicaciones'!E83&lt;&gt;"Abierta","Fuera por estatus","Coordenadas pendientes"))</x:f>
        <x:v>Ubicable</x:v>
      </x:c>
    </x:row>
    <x:row r="84" ht="23" customHeight="1">
      <x:c r="A84" s="45" t="str">
        <x:f>'Ubicaciones'!C84</x:f>
        <x:v>38477</x:v>
      </x:c>
      <x:c r="B84" s="45" t="str">
        <x:f>'Ubicaciones'!A84</x:f>
        <x:v>Centro Sur</x:v>
      </x:c>
      <x:c r="C84" s="45" t="str">
        <x:f>'Ubicaciones'!B84</x:f>
        <x:v>Ariana Janet Gutierrez Martinez</x:v>
      </x:c>
      <x:c r="D84" s="45" t="str">
        <x:f>IF(COUNTIFS('Catalogos'!$A$2:$A$41,B84,'Catalogos'!$B$2:$B$41,C84)&gt;0,"Correcta","Revisar Región DM")</x:f>
        <x:v>Correcta</x:v>
      </x:c>
      <x:c r="E84" s="45" t="str">
        <x:f>IF(COUNTIFS('Ubicaciones'!$C$2:$C$10001,A84)=1,"Único","Duplicado")</x:f>
        <x:v>Único</x:v>
      </x:c>
      <x:c r="F84" s="45" t="str">
        <x:f>IF('Ubicaciones'!T84=1,"Ubicable",IF('Ubicaciones'!E84&lt;&gt;"Abierta","Fuera por estatus","Coordenadas pendientes"))</x:f>
        <x:v>Ubicable</x:v>
      </x:c>
    </x:row>
    <x:row r="85" ht="23" customHeight="1">
      <x:c r="A85" s="45" t="str">
        <x:f>'Ubicaciones'!C85</x:f>
        <x:v>38496</x:v>
      </x:c>
      <x:c r="B85" s="45" t="str">
        <x:f>'Ubicaciones'!A85</x:f>
        <x:v>Centro Sur</x:v>
      </x:c>
      <x:c r="C85" s="45" t="str">
        <x:f>'Ubicaciones'!B85</x:f>
        <x:v>Ariana Janet Gutierrez Martinez</x:v>
      </x:c>
      <x:c r="D85" s="45" t="str">
        <x:f>IF(COUNTIFS('Catalogos'!$A$2:$A$41,B85,'Catalogos'!$B$2:$B$41,C85)&gt;0,"Correcta","Revisar Región DM")</x:f>
        <x:v>Correcta</x:v>
      </x:c>
      <x:c r="E85" s="45" t="str">
        <x:f>IF(COUNTIFS('Ubicaciones'!$C$2:$C$10001,A85)=1,"Único","Duplicado")</x:f>
        <x:v>Único</x:v>
      </x:c>
      <x:c r="F85" s="45" t="str">
        <x:f>IF('Ubicaciones'!T85=1,"Ubicable",IF('Ubicaciones'!E85&lt;&gt;"Abierta","Fuera por estatus","Coordenadas pendientes"))</x:f>
        <x:v>Ubicable</x:v>
      </x:c>
    </x:row>
    <x:row r="86" ht="23" customHeight="1">
      <x:c r="A86" s="45" t="str">
        <x:f>'Ubicaciones'!C86</x:f>
        <x:v>38611</x:v>
      </x:c>
      <x:c r="B86" s="45" t="str">
        <x:f>'Ubicaciones'!A86</x:f>
        <x:v>Centro Sur</x:v>
      </x:c>
      <x:c r="C86" s="45" t="str">
        <x:f>'Ubicaciones'!B86</x:f>
        <x:v>Ariana Janet Gutierrez Martinez</x:v>
      </x:c>
      <x:c r="D86" s="45" t="str">
        <x:f>IF(COUNTIFS('Catalogos'!$A$2:$A$41,B86,'Catalogos'!$B$2:$B$41,C86)&gt;0,"Correcta","Revisar Región DM")</x:f>
        <x:v>Correcta</x:v>
      </x:c>
      <x:c r="E86" s="45" t="str">
        <x:f>IF(COUNTIFS('Ubicaciones'!$C$2:$C$10001,A86)=1,"Único","Duplicado")</x:f>
        <x:v>Único</x:v>
      </x:c>
      <x:c r="F86" s="45" t="str">
        <x:f>IF('Ubicaciones'!T86=1,"Ubicable",IF('Ubicaciones'!E86&lt;&gt;"Abierta","Fuera por estatus","Coordenadas pendientes"))</x:f>
        <x:v>Ubicable</x:v>
      </x:c>
    </x:row>
    <x:row r="87" ht="23" customHeight="1">
      <x:c r="A87" s="45" t="str">
        <x:f>'Ubicaciones'!C87</x:f>
        <x:v>38645</x:v>
      </x:c>
      <x:c r="B87" s="45" t="str">
        <x:f>'Ubicaciones'!A87</x:f>
        <x:v>Centro Sur</x:v>
      </x:c>
      <x:c r="C87" s="45" t="str">
        <x:f>'Ubicaciones'!B87</x:f>
        <x:v>Ariana Janet Gutierrez Martinez</x:v>
      </x:c>
      <x:c r="D87" s="45" t="str">
        <x:f>IF(COUNTIFS('Catalogos'!$A$2:$A$41,B87,'Catalogos'!$B$2:$B$41,C87)&gt;0,"Correcta","Revisar Región DM")</x:f>
        <x:v>Correcta</x:v>
      </x:c>
      <x:c r="E87" s="45" t="str">
        <x:f>IF(COUNTIFS('Ubicaciones'!$C$2:$C$10001,A87)=1,"Único","Duplicado")</x:f>
        <x:v>Único</x:v>
      </x:c>
      <x:c r="F87" s="45" t="str">
        <x:f>IF('Ubicaciones'!T87=1,"Ubicable",IF('Ubicaciones'!E87&lt;&gt;"Abierta","Fuera por estatus","Coordenadas pendientes"))</x:f>
        <x:v>Ubicable</x:v>
      </x:c>
    </x:row>
    <x:row r="88" ht="23" customHeight="1">
      <x:c r="A88" s="45" t="str">
        <x:f>'Ubicaciones'!C88</x:f>
        <x:v>38725</x:v>
      </x:c>
      <x:c r="B88" s="45" t="str">
        <x:f>'Ubicaciones'!A88</x:f>
        <x:v>Centro Sur</x:v>
      </x:c>
      <x:c r="C88" s="45" t="str">
        <x:f>'Ubicaciones'!B88</x:f>
        <x:v>Ariana Janet Gutierrez Martinez</x:v>
      </x:c>
      <x:c r="D88" s="45" t="str">
        <x:f>IF(COUNTIFS('Catalogos'!$A$2:$A$41,B88,'Catalogos'!$B$2:$B$41,C88)&gt;0,"Correcta","Revisar Región DM")</x:f>
        <x:v>Correcta</x:v>
      </x:c>
      <x:c r="E88" s="45" t="str">
        <x:f>IF(COUNTIFS('Ubicaciones'!$C$2:$C$10001,A88)=1,"Único","Duplicado")</x:f>
        <x:v>Único</x:v>
      </x:c>
      <x:c r="F88" s="45" t="str">
        <x:f>IF('Ubicaciones'!T88=1,"Ubicable",IF('Ubicaciones'!E88&lt;&gt;"Abierta","Fuera por estatus","Coordenadas pendientes"))</x:f>
        <x:v>Ubicable</x:v>
      </x:c>
    </x:row>
    <x:row r="89" ht="23" customHeight="1">
      <x:c r="A89" s="45" t="str">
        <x:f>'Ubicaciones'!C89</x:f>
        <x:v>43070</x:v>
      </x:c>
      <x:c r="B89" s="45" t="str">
        <x:f>'Ubicaciones'!A89</x:f>
        <x:v>Centro Sur</x:v>
      </x:c>
      <x:c r="C89" s="45" t="str">
        <x:f>'Ubicaciones'!B89</x:f>
        <x:v>Ariana Janet Gutierrez Martinez</x:v>
      </x:c>
      <x:c r="D89" s="45" t="str">
        <x:f>IF(COUNTIFS('Catalogos'!$A$2:$A$41,B89,'Catalogos'!$B$2:$B$41,C89)&gt;0,"Correcta","Revisar Región DM")</x:f>
        <x:v>Correcta</x:v>
      </x:c>
      <x:c r="E89" s="45" t="str">
        <x:f>IF(COUNTIFS('Ubicaciones'!$C$2:$C$10001,A89)=1,"Único","Duplicado")</x:f>
        <x:v>Único</x:v>
      </x:c>
      <x:c r="F89" s="45" t="str">
        <x:f>IF('Ubicaciones'!T89=1,"Ubicable",IF('Ubicaciones'!E89&lt;&gt;"Abierta","Fuera por estatus","Coordenadas pendientes"))</x:f>
        <x:v>Ubicable</x:v>
      </x:c>
    </x:row>
    <x:row r="90" ht="23" customHeight="1">
      <x:c r="A90" s="45" t="str">
        <x:f>'Ubicaciones'!C90</x:f>
        <x:v>38107</x:v>
      </x:c>
      <x:c r="B90" s="45" t="str">
        <x:f>'Ubicaciones'!A90</x:f>
        <x:v>Centro Sur</x:v>
      </x:c>
      <x:c r="C90" s="45" t="str">
        <x:f>'Ubicaciones'!B90</x:f>
        <x:v>Cesar Alfonso Castillo Romero</x:v>
      </x:c>
      <x:c r="D90" s="45" t="str">
        <x:f>IF(COUNTIFS('Catalogos'!$A$2:$A$41,B90,'Catalogos'!$B$2:$B$41,C90)&gt;0,"Correcta","Revisar Región DM")</x:f>
        <x:v>Correcta</x:v>
      </x:c>
      <x:c r="E90" s="45" t="str">
        <x:f>IF(COUNTIFS('Ubicaciones'!$C$2:$C$10001,A90)=1,"Único","Duplicado")</x:f>
        <x:v>Único</x:v>
      </x:c>
      <x:c r="F90" s="45" t="str">
        <x:f>IF('Ubicaciones'!T90=1,"Ubicable",IF('Ubicaciones'!E90&lt;&gt;"Abierta","Fuera por estatus","Coordenadas pendientes"))</x:f>
        <x:v>Ubicable</x:v>
      </x:c>
    </x:row>
    <x:row r="91" ht="23" customHeight="1">
      <x:c r="A91" s="45" t="str">
        <x:f>'Ubicaciones'!C91</x:f>
        <x:v>38116</x:v>
      </x:c>
      <x:c r="B91" s="45" t="str">
        <x:f>'Ubicaciones'!A91</x:f>
        <x:v>Centro Sur</x:v>
      </x:c>
      <x:c r="C91" s="45" t="str">
        <x:f>'Ubicaciones'!B91</x:f>
        <x:v>Cesar Alfonso Castillo Romero</x:v>
      </x:c>
      <x:c r="D91" s="45" t="str">
        <x:f>IF(COUNTIFS('Catalogos'!$A$2:$A$41,B91,'Catalogos'!$B$2:$B$41,C91)&gt;0,"Correcta","Revisar Región DM")</x:f>
        <x:v>Correcta</x:v>
      </x:c>
      <x:c r="E91" s="45" t="str">
        <x:f>IF(COUNTIFS('Ubicaciones'!$C$2:$C$10001,A91)=1,"Único","Duplicado")</x:f>
        <x:v>Único</x:v>
      </x:c>
      <x:c r="F91" s="45" t="str">
        <x:f>IF('Ubicaciones'!T91=1,"Ubicable",IF('Ubicaciones'!E91&lt;&gt;"Abierta","Fuera por estatus","Coordenadas pendientes"))</x:f>
        <x:v>Ubicable</x:v>
      </x:c>
    </x:row>
    <x:row r="92" ht="23" customHeight="1">
      <x:c r="A92" s="45" t="str">
        <x:f>'Ubicaciones'!C92</x:f>
        <x:v>38124</x:v>
      </x:c>
      <x:c r="B92" s="45" t="str">
        <x:f>'Ubicaciones'!A92</x:f>
        <x:v>Centro Sur</x:v>
      </x:c>
      <x:c r="C92" s="45" t="str">
        <x:f>'Ubicaciones'!B92</x:f>
        <x:v>Cesar Alfonso Castillo Romero</x:v>
      </x:c>
      <x:c r="D92" s="45" t="str">
        <x:f>IF(COUNTIFS('Catalogos'!$A$2:$A$41,B92,'Catalogos'!$B$2:$B$41,C92)&gt;0,"Correcta","Revisar Región DM")</x:f>
        <x:v>Correcta</x:v>
      </x:c>
      <x:c r="E92" s="45" t="str">
        <x:f>IF(COUNTIFS('Ubicaciones'!$C$2:$C$10001,A92)=1,"Único","Duplicado")</x:f>
        <x:v>Único</x:v>
      </x:c>
      <x:c r="F92" s="45" t="str">
        <x:f>IF('Ubicaciones'!T92=1,"Ubicable",IF('Ubicaciones'!E92&lt;&gt;"Abierta","Fuera por estatus","Coordenadas pendientes"))</x:f>
        <x:v>Ubicable</x:v>
      </x:c>
    </x:row>
    <x:row r="93" ht="23" customHeight="1">
      <x:c r="A93" s="45" t="str">
        <x:f>'Ubicaciones'!C93</x:f>
        <x:v>38129</x:v>
      </x:c>
      <x:c r="B93" s="45" t="str">
        <x:f>'Ubicaciones'!A93</x:f>
        <x:v>Centro Sur</x:v>
      </x:c>
      <x:c r="C93" s="45" t="str">
        <x:f>'Ubicaciones'!B93</x:f>
        <x:v>Cesar Alfonso Castillo Romero</x:v>
      </x:c>
      <x:c r="D93" s="45" t="str">
        <x:f>IF(COUNTIFS('Catalogos'!$A$2:$A$41,B93,'Catalogos'!$B$2:$B$41,C93)&gt;0,"Correcta","Revisar Región DM")</x:f>
        <x:v>Correcta</x:v>
      </x:c>
      <x:c r="E93" s="45" t="str">
        <x:f>IF(COUNTIFS('Ubicaciones'!$C$2:$C$10001,A93)=1,"Único","Duplicado")</x:f>
        <x:v>Único</x:v>
      </x:c>
      <x:c r="F93" s="45" t="str">
        <x:f>IF('Ubicaciones'!T93=1,"Ubicable",IF('Ubicaciones'!E93&lt;&gt;"Abierta","Fuera por estatus","Coordenadas pendientes"))</x:f>
        <x:v>Ubicable</x:v>
      </x:c>
    </x:row>
    <x:row r="94" ht="23" customHeight="1">
      <x:c r="A94" s="45" t="str">
        <x:f>'Ubicaciones'!C94</x:f>
        <x:v>38169</x:v>
      </x:c>
      <x:c r="B94" s="45" t="str">
        <x:f>'Ubicaciones'!A94</x:f>
        <x:v>Centro Sur</x:v>
      </x:c>
      <x:c r="C94" s="45" t="str">
        <x:f>'Ubicaciones'!B94</x:f>
        <x:v>Cesar Alfonso Castillo Romero</x:v>
      </x:c>
      <x:c r="D94" s="45" t="str">
        <x:f>IF(COUNTIFS('Catalogos'!$A$2:$A$41,B94,'Catalogos'!$B$2:$B$41,C94)&gt;0,"Correcta","Revisar Región DM")</x:f>
        <x:v>Correcta</x:v>
      </x:c>
      <x:c r="E94" s="45" t="str">
        <x:f>IF(COUNTIFS('Ubicaciones'!$C$2:$C$10001,A94)=1,"Único","Duplicado")</x:f>
        <x:v>Único</x:v>
      </x:c>
      <x:c r="F94" s="45" t="str">
        <x:f>IF('Ubicaciones'!T94=1,"Ubicable",IF('Ubicaciones'!E94&lt;&gt;"Abierta","Fuera por estatus","Coordenadas pendientes"))</x:f>
        <x:v>Ubicable</x:v>
      </x:c>
    </x:row>
    <x:row r="95" ht="23" customHeight="1">
      <x:c r="A95" s="45" t="str">
        <x:f>'Ubicaciones'!C95</x:f>
        <x:v>38398</x:v>
      </x:c>
      <x:c r="B95" s="45" t="str">
        <x:f>'Ubicaciones'!A95</x:f>
        <x:v>Centro Sur</x:v>
      </x:c>
      <x:c r="C95" s="45" t="str">
        <x:f>'Ubicaciones'!B95</x:f>
        <x:v>Cesar Alfonso Castillo Romero</x:v>
      </x:c>
      <x:c r="D95" s="45" t="str">
        <x:f>IF(COUNTIFS('Catalogos'!$A$2:$A$41,B95,'Catalogos'!$B$2:$B$41,C95)&gt;0,"Correcta","Revisar Región DM")</x:f>
        <x:v>Correcta</x:v>
      </x:c>
      <x:c r="E95" s="45" t="str">
        <x:f>IF(COUNTIFS('Ubicaciones'!$C$2:$C$10001,A95)=1,"Único","Duplicado")</x:f>
        <x:v>Único</x:v>
      </x:c>
      <x:c r="F95" s="45" t="str">
        <x:f>IF('Ubicaciones'!T95=1,"Ubicable",IF('Ubicaciones'!E95&lt;&gt;"Abierta","Fuera por estatus","Coordenadas pendientes"))</x:f>
        <x:v>Ubicable</x:v>
      </x:c>
    </x:row>
    <x:row r="96" ht="23" customHeight="1">
      <x:c r="A96" s="45" t="str">
        <x:f>'Ubicaciones'!C96</x:f>
        <x:v>38428</x:v>
      </x:c>
      <x:c r="B96" s="45" t="str">
        <x:f>'Ubicaciones'!A96</x:f>
        <x:v>Centro Sur</x:v>
      </x:c>
      <x:c r="C96" s="45" t="str">
        <x:f>'Ubicaciones'!B96</x:f>
        <x:v>Cesar Alfonso Castillo Romero</x:v>
      </x:c>
      <x:c r="D96" s="45" t="str">
        <x:f>IF(COUNTIFS('Catalogos'!$A$2:$A$41,B96,'Catalogos'!$B$2:$B$41,C96)&gt;0,"Correcta","Revisar Región DM")</x:f>
        <x:v>Correcta</x:v>
      </x:c>
      <x:c r="E96" s="45" t="str">
        <x:f>IF(COUNTIFS('Ubicaciones'!$C$2:$C$10001,A96)=1,"Único","Duplicado")</x:f>
        <x:v>Único</x:v>
      </x:c>
      <x:c r="F96" s="45" t="str">
        <x:f>IF('Ubicaciones'!T96=1,"Ubicable",IF('Ubicaciones'!E96&lt;&gt;"Abierta","Fuera por estatus","Coordenadas pendientes"))</x:f>
        <x:v>Ubicable</x:v>
      </x:c>
    </x:row>
    <x:row r="97" ht="23" customHeight="1">
      <x:c r="A97" s="45" t="str">
        <x:f>'Ubicaciones'!C97</x:f>
        <x:v>38447</x:v>
      </x:c>
      <x:c r="B97" s="45" t="str">
        <x:f>'Ubicaciones'!A97</x:f>
        <x:v>Centro Sur</x:v>
      </x:c>
      <x:c r="C97" s="45" t="str">
        <x:f>'Ubicaciones'!B97</x:f>
        <x:v>Cesar Alfonso Castillo Romero</x:v>
      </x:c>
      <x:c r="D97" s="45" t="str">
        <x:f>IF(COUNTIFS('Catalogos'!$A$2:$A$41,B97,'Catalogos'!$B$2:$B$41,C97)&gt;0,"Correcta","Revisar Región DM")</x:f>
        <x:v>Correcta</x:v>
      </x:c>
      <x:c r="E97" s="45" t="str">
        <x:f>IF(COUNTIFS('Ubicaciones'!$C$2:$C$10001,A97)=1,"Único","Duplicado")</x:f>
        <x:v>Único</x:v>
      </x:c>
      <x:c r="F97" s="45" t="str">
        <x:f>IF('Ubicaciones'!T97=1,"Ubicable",IF('Ubicaciones'!E97&lt;&gt;"Abierta","Fuera por estatus","Coordenadas pendientes"))</x:f>
        <x:v>Ubicable</x:v>
      </x:c>
    </x:row>
    <x:row r="98" ht="23" customHeight="1">
      <x:c r="A98" s="45" t="str">
        <x:f>'Ubicaciones'!C98</x:f>
        <x:v>38544</x:v>
      </x:c>
      <x:c r="B98" s="45" t="str">
        <x:f>'Ubicaciones'!A98</x:f>
        <x:v>Centro Sur</x:v>
      </x:c>
      <x:c r="C98" s="45" t="str">
        <x:f>'Ubicaciones'!B98</x:f>
        <x:v>Cesar Alfonso Castillo Romero</x:v>
      </x:c>
      <x:c r="D98" s="45" t="str">
        <x:f>IF(COUNTIFS('Catalogos'!$A$2:$A$41,B98,'Catalogos'!$B$2:$B$41,C98)&gt;0,"Correcta","Revisar Región DM")</x:f>
        <x:v>Correcta</x:v>
      </x:c>
      <x:c r="E98" s="45" t="str">
        <x:f>IF(COUNTIFS('Ubicaciones'!$C$2:$C$10001,A98)=1,"Único","Duplicado")</x:f>
        <x:v>Único</x:v>
      </x:c>
      <x:c r="F98" s="45" t="str">
        <x:f>IF('Ubicaciones'!T98=1,"Ubicable",IF('Ubicaciones'!E98&lt;&gt;"Abierta","Fuera por estatus","Coordenadas pendientes"))</x:f>
        <x:v>Ubicable</x:v>
      </x:c>
    </x:row>
    <x:row r="99" ht="23" customHeight="1">
      <x:c r="A99" s="45" t="str">
        <x:f>'Ubicaciones'!C99</x:f>
        <x:v>38571</x:v>
      </x:c>
      <x:c r="B99" s="45" t="str">
        <x:f>'Ubicaciones'!A99</x:f>
        <x:v>Centro Sur</x:v>
      </x:c>
      <x:c r="C99" s="45" t="str">
        <x:f>'Ubicaciones'!B99</x:f>
        <x:v>Cesar Alfonso Castillo Romero</x:v>
      </x:c>
      <x:c r="D99" s="45" t="str">
        <x:f>IF(COUNTIFS('Catalogos'!$A$2:$A$41,B99,'Catalogos'!$B$2:$B$41,C99)&gt;0,"Correcta","Revisar Región DM")</x:f>
        <x:v>Correcta</x:v>
      </x:c>
      <x:c r="E99" s="45" t="str">
        <x:f>IF(COUNTIFS('Ubicaciones'!$C$2:$C$10001,A99)=1,"Único","Duplicado")</x:f>
        <x:v>Único</x:v>
      </x:c>
      <x:c r="F99" s="45" t="str">
        <x:f>IF('Ubicaciones'!T99=1,"Ubicable",IF('Ubicaciones'!E99&lt;&gt;"Abierta","Fuera por estatus","Coordenadas pendientes"))</x:f>
        <x:v>Ubicable</x:v>
      </x:c>
    </x:row>
    <x:row r="100" ht="23" customHeight="1">
      <x:c r="A100" s="45" t="str">
        <x:f>'Ubicaciones'!C100</x:f>
        <x:v>38580</x:v>
      </x:c>
      <x:c r="B100" s="45" t="str">
        <x:f>'Ubicaciones'!A100</x:f>
        <x:v>Centro Sur</x:v>
      </x:c>
      <x:c r="C100" s="45" t="str">
        <x:f>'Ubicaciones'!B100</x:f>
        <x:v>Cesar Alfonso Castillo Romero</x:v>
      </x:c>
      <x:c r="D100" s="45" t="str">
        <x:f>IF(COUNTIFS('Catalogos'!$A$2:$A$41,B100,'Catalogos'!$B$2:$B$41,C100)&gt;0,"Correcta","Revisar Región DM")</x:f>
        <x:v>Correcta</x:v>
      </x:c>
      <x:c r="E100" s="45" t="str">
        <x:f>IF(COUNTIFS('Ubicaciones'!$C$2:$C$10001,A100)=1,"Único","Duplicado")</x:f>
        <x:v>Único</x:v>
      </x:c>
      <x:c r="F100" s="45" t="str">
        <x:f>IF('Ubicaciones'!T100=1,"Ubicable",IF('Ubicaciones'!E100&lt;&gt;"Abierta","Fuera por estatus","Coordenadas pendientes"))</x:f>
        <x:v>Ubicable</x:v>
      </x:c>
    </x:row>
    <x:row r="101" ht="23" customHeight="1">
      <x:c r="A101" s="45" t="str">
        <x:f>'Ubicaciones'!C101</x:f>
        <x:v>38615</x:v>
      </x:c>
      <x:c r="B101" s="45" t="str">
        <x:f>'Ubicaciones'!A101</x:f>
        <x:v>Centro Sur</x:v>
      </x:c>
      <x:c r="C101" s="45" t="str">
        <x:f>'Ubicaciones'!B101</x:f>
        <x:v>Cesar Alfonso Castillo Romero</x:v>
      </x:c>
      <x:c r="D101" s="45" t="str">
        <x:f>IF(COUNTIFS('Catalogos'!$A$2:$A$41,B101,'Catalogos'!$B$2:$B$41,C101)&gt;0,"Correcta","Revisar Región DM")</x:f>
        <x:v>Correcta</x:v>
      </x:c>
      <x:c r="E101" s="45" t="str">
        <x:f>IF(COUNTIFS('Ubicaciones'!$C$2:$C$10001,A101)=1,"Único","Duplicado")</x:f>
        <x:v>Único</x:v>
      </x:c>
      <x:c r="F101" s="45" t="str">
        <x:f>IF('Ubicaciones'!T101=1,"Ubicable",IF('Ubicaciones'!E101&lt;&gt;"Abierta","Fuera por estatus","Coordenadas pendientes"))</x:f>
        <x:v>Ubicable</x:v>
      </x:c>
    </x:row>
    <x:row r="102" ht="23" customHeight="1">
      <x:c r="A102" s="45" t="str">
        <x:f>'Ubicaciones'!C102</x:f>
        <x:v>38691</x:v>
      </x:c>
      <x:c r="B102" s="45" t="str">
        <x:f>'Ubicaciones'!A102</x:f>
        <x:v>Centro Sur</x:v>
      </x:c>
      <x:c r="C102" s="45" t="str">
        <x:f>'Ubicaciones'!B102</x:f>
        <x:v>Cesar Alfonso Castillo Romero</x:v>
      </x:c>
      <x:c r="D102" s="45" t="str">
        <x:f>IF(COUNTIFS('Catalogos'!$A$2:$A$41,B102,'Catalogos'!$B$2:$B$41,C102)&gt;0,"Correcta","Revisar Región DM")</x:f>
        <x:v>Correcta</x:v>
      </x:c>
      <x:c r="E102" s="45" t="str">
        <x:f>IF(COUNTIFS('Ubicaciones'!$C$2:$C$10001,A102)=1,"Único","Duplicado")</x:f>
        <x:v>Único</x:v>
      </x:c>
      <x:c r="F102" s="45" t="str">
        <x:f>IF('Ubicaciones'!T102=1,"Ubicable",IF('Ubicaciones'!E102&lt;&gt;"Abierta","Fuera por estatus","Coordenadas pendientes"))</x:f>
        <x:v>Ubicable</x:v>
      </x:c>
    </x:row>
    <x:row r="103" ht="23" customHeight="1">
      <x:c r="A103" s="45" t="str">
        <x:f>'Ubicaciones'!C103</x:f>
        <x:v>43159</x:v>
      </x:c>
      <x:c r="B103" s="45" t="str">
        <x:f>'Ubicaciones'!A103</x:f>
        <x:v>Centro Sur</x:v>
      </x:c>
      <x:c r="C103" s="45" t="str">
        <x:f>'Ubicaciones'!B103</x:f>
        <x:v>Cesar Alfonso Castillo Romero</x:v>
      </x:c>
      <x:c r="D103" s="45" t="str">
        <x:f>IF(COUNTIFS('Catalogos'!$A$2:$A$41,B103,'Catalogos'!$B$2:$B$41,C103)&gt;0,"Correcta","Revisar Región DM")</x:f>
        <x:v>Correcta</x:v>
      </x:c>
      <x:c r="E103" s="45" t="str">
        <x:f>IF(COUNTIFS('Ubicaciones'!$C$2:$C$10001,A103)=1,"Único","Duplicado")</x:f>
        <x:v>Único</x:v>
      </x:c>
      <x:c r="F103" s="45" t="str">
        <x:f>IF('Ubicaciones'!T103=1,"Ubicable",IF('Ubicaciones'!E103&lt;&gt;"Abierta","Fuera por estatus","Coordenadas pendientes"))</x:f>
        <x:v>Ubicable</x:v>
      </x:c>
    </x:row>
    <x:row r="104" ht="23" customHeight="1">
      <x:c r="A104" s="45" t="str">
        <x:f>'Ubicaciones'!C104</x:f>
        <x:v>38114</x:v>
      </x:c>
      <x:c r="B104" s="45" t="str">
        <x:f>'Ubicaciones'!A104</x:f>
        <x:v>Centro Sur</x:v>
      </x:c>
      <x:c r="C104" s="45" t="str">
        <x:f>'Ubicaciones'!B104</x:f>
        <x:v>Fernando Eduardo Verdugo Saldaña</x:v>
      </x:c>
      <x:c r="D104" s="45" t="str">
        <x:f>IF(COUNTIFS('Catalogos'!$A$2:$A$41,B104,'Catalogos'!$B$2:$B$41,C104)&gt;0,"Correcta","Revisar Región DM")</x:f>
        <x:v>Correcta</x:v>
      </x:c>
      <x:c r="E104" s="45" t="str">
        <x:f>IF(COUNTIFS('Ubicaciones'!$C$2:$C$10001,A104)=1,"Único","Duplicado")</x:f>
        <x:v>Único</x:v>
      </x:c>
      <x:c r="F104" s="45" t="str">
        <x:f>IF('Ubicaciones'!T104=1,"Ubicable",IF('Ubicaciones'!E104&lt;&gt;"Abierta","Fuera por estatus","Coordenadas pendientes"))</x:f>
        <x:v>Ubicable</x:v>
      </x:c>
    </x:row>
    <x:row r="105" ht="23" customHeight="1">
      <x:c r="A105" s="45" t="str">
        <x:f>'Ubicaciones'!C105</x:f>
        <x:v>38360</x:v>
      </x:c>
      <x:c r="B105" s="45" t="str">
        <x:f>'Ubicaciones'!A105</x:f>
        <x:v>Centro Sur</x:v>
      </x:c>
      <x:c r="C105" s="45" t="str">
        <x:f>'Ubicaciones'!B105</x:f>
        <x:v>Fernando Eduardo Verdugo Saldaña</x:v>
      </x:c>
      <x:c r="D105" s="45" t="str">
        <x:f>IF(COUNTIFS('Catalogos'!$A$2:$A$41,B105,'Catalogos'!$B$2:$B$41,C105)&gt;0,"Correcta","Revisar Región DM")</x:f>
        <x:v>Correcta</x:v>
      </x:c>
      <x:c r="E105" s="45" t="str">
        <x:f>IF(COUNTIFS('Ubicaciones'!$C$2:$C$10001,A105)=1,"Único","Duplicado")</x:f>
        <x:v>Único</x:v>
      </x:c>
      <x:c r="F105" s="45" t="str">
        <x:f>IF('Ubicaciones'!T105=1,"Ubicable",IF('Ubicaciones'!E105&lt;&gt;"Abierta","Fuera por estatus","Coordenadas pendientes"))</x:f>
        <x:v>Ubicable</x:v>
      </x:c>
    </x:row>
    <x:row r="106" ht="23" customHeight="1">
      <x:c r="A106" s="45" t="str">
        <x:f>'Ubicaciones'!C106</x:f>
        <x:v>38367</x:v>
      </x:c>
      <x:c r="B106" s="45" t="str">
        <x:f>'Ubicaciones'!A106</x:f>
        <x:v>Centro Sur</x:v>
      </x:c>
      <x:c r="C106" s="45" t="str">
        <x:f>'Ubicaciones'!B106</x:f>
        <x:v>Fernando Eduardo Verdugo Saldaña</x:v>
      </x:c>
      <x:c r="D106" s="45" t="str">
        <x:f>IF(COUNTIFS('Catalogos'!$A$2:$A$41,B106,'Catalogos'!$B$2:$B$41,C106)&gt;0,"Correcta","Revisar Región DM")</x:f>
        <x:v>Correcta</x:v>
      </x:c>
      <x:c r="E106" s="45" t="str">
        <x:f>IF(COUNTIFS('Ubicaciones'!$C$2:$C$10001,A106)=1,"Único","Duplicado")</x:f>
        <x:v>Único</x:v>
      </x:c>
      <x:c r="F106" s="45" t="str">
        <x:f>IF('Ubicaciones'!T106=1,"Ubicable",IF('Ubicaciones'!E106&lt;&gt;"Abierta","Fuera por estatus","Coordenadas pendientes"))</x:f>
        <x:v>Ubicable</x:v>
      </x:c>
    </x:row>
    <x:row r="107" ht="23" customHeight="1">
      <x:c r="A107" s="45" t="str">
        <x:f>'Ubicaciones'!C107</x:f>
        <x:v>38379</x:v>
      </x:c>
      <x:c r="B107" s="45" t="str">
        <x:f>'Ubicaciones'!A107</x:f>
        <x:v>Centro Sur</x:v>
      </x:c>
      <x:c r="C107" s="45" t="str">
        <x:f>'Ubicaciones'!B107</x:f>
        <x:v>Fernando Eduardo Verdugo Saldaña</x:v>
      </x:c>
      <x:c r="D107" s="45" t="str">
        <x:f>IF(COUNTIFS('Catalogos'!$A$2:$A$41,B107,'Catalogos'!$B$2:$B$41,C107)&gt;0,"Correcta","Revisar Región DM")</x:f>
        <x:v>Correcta</x:v>
      </x:c>
      <x:c r="E107" s="45" t="str">
        <x:f>IF(COUNTIFS('Ubicaciones'!$C$2:$C$10001,A107)=1,"Único","Duplicado")</x:f>
        <x:v>Único</x:v>
      </x:c>
      <x:c r="F107" s="45" t="str">
        <x:f>IF('Ubicaciones'!T107=1,"Ubicable",IF('Ubicaciones'!E107&lt;&gt;"Abierta","Fuera por estatus","Coordenadas pendientes"))</x:f>
        <x:v>Ubicable</x:v>
      </x:c>
    </x:row>
    <x:row r="108" ht="23" customHeight="1">
      <x:c r="A108" s="45" t="str">
        <x:f>'Ubicaciones'!C108</x:f>
        <x:v>38393</x:v>
      </x:c>
      <x:c r="B108" s="45" t="str">
        <x:f>'Ubicaciones'!A108</x:f>
        <x:v>Centro Sur</x:v>
      </x:c>
      <x:c r="C108" s="45" t="str">
        <x:f>'Ubicaciones'!B108</x:f>
        <x:v>Fernando Eduardo Verdugo Saldaña</x:v>
      </x:c>
      <x:c r="D108" s="45" t="str">
        <x:f>IF(COUNTIFS('Catalogos'!$A$2:$A$41,B108,'Catalogos'!$B$2:$B$41,C108)&gt;0,"Correcta","Revisar Región DM")</x:f>
        <x:v>Correcta</x:v>
      </x:c>
      <x:c r="E108" s="45" t="str">
        <x:f>IF(COUNTIFS('Ubicaciones'!$C$2:$C$10001,A108)=1,"Único","Duplicado")</x:f>
        <x:v>Único</x:v>
      </x:c>
      <x:c r="F108" s="45" t="str">
        <x:f>IF('Ubicaciones'!T108=1,"Ubicable",IF('Ubicaciones'!E108&lt;&gt;"Abierta","Fuera por estatus","Coordenadas pendientes"))</x:f>
        <x:v>Ubicable</x:v>
      </x:c>
    </x:row>
    <x:row r="109" ht="23" customHeight="1">
      <x:c r="A109" s="45" t="str">
        <x:f>'Ubicaciones'!C109</x:f>
        <x:v>38469</x:v>
      </x:c>
      <x:c r="B109" s="45" t="str">
        <x:f>'Ubicaciones'!A109</x:f>
        <x:v>Centro Sur</x:v>
      </x:c>
      <x:c r="C109" s="45" t="str">
        <x:f>'Ubicaciones'!B109</x:f>
        <x:v>Fernando Eduardo Verdugo Saldaña</x:v>
      </x:c>
      <x:c r="D109" s="45" t="str">
        <x:f>IF(COUNTIFS('Catalogos'!$A$2:$A$41,B109,'Catalogos'!$B$2:$B$41,C109)&gt;0,"Correcta","Revisar Región DM")</x:f>
        <x:v>Correcta</x:v>
      </x:c>
      <x:c r="E109" s="45" t="str">
        <x:f>IF(COUNTIFS('Ubicaciones'!$C$2:$C$10001,A109)=1,"Único","Duplicado")</x:f>
        <x:v>Único</x:v>
      </x:c>
      <x:c r="F109" s="45" t="str">
        <x:f>IF('Ubicaciones'!T109=1,"Ubicable",IF('Ubicaciones'!E109&lt;&gt;"Abierta","Fuera por estatus","Coordenadas pendientes"))</x:f>
        <x:v>Ubicable</x:v>
      </x:c>
    </x:row>
    <x:row r="110" ht="23" customHeight="1">
      <x:c r="A110" s="45" t="str">
        <x:f>'Ubicaciones'!C110</x:f>
        <x:v>38471</x:v>
      </x:c>
      <x:c r="B110" s="45" t="str">
        <x:f>'Ubicaciones'!A110</x:f>
        <x:v>Centro Sur</x:v>
      </x:c>
      <x:c r="C110" s="45" t="str">
        <x:f>'Ubicaciones'!B110</x:f>
        <x:v>Fernando Eduardo Verdugo Saldaña</x:v>
      </x:c>
      <x:c r="D110" s="45" t="str">
        <x:f>IF(COUNTIFS('Catalogos'!$A$2:$A$41,B110,'Catalogos'!$B$2:$B$41,C110)&gt;0,"Correcta","Revisar Región DM")</x:f>
        <x:v>Correcta</x:v>
      </x:c>
      <x:c r="E110" s="45" t="str">
        <x:f>IF(COUNTIFS('Ubicaciones'!$C$2:$C$10001,A110)=1,"Único","Duplicado")</x:f>
        <x:v>Único</x:v>
      </x:c>
      <x:c r="F110" s="45" t="str">
        <x:f>IF('Ubicaciones'!T110=1,"Ubicable",IF('Ubicaciones'!E110&lt;&gt;"Abierta","Fuera por estatus","Coordenadas pendientes"))</x:f>
        <x:v>Ubicable</x:v>
      </x:c>
    </x:row>
    <x:row r="111" ht="23" customHeight="1">
      <x:c r="A111" s="45" t="str">
        <x:f>'Ubicaciones'!C111</x:f>
        <x:v>38472</x:v>
      </x:c>
      <x:c r="B111" s="45" t="str">
        <x:f>'Ubicaciones'!A111</x:f>
        <x:v>Centro Sur</x:v>
      </x:c>
      <x:c r="C111" s="45" t="str">
        <x:f>'Ubicaciones'!B111</x:f>
        <x:v>Fernando Eduardo Verdugo Saldaña</x:v>
      </x:c>
      <x:c r="D111" s="45" t="str">
        <x:f>IF(COUNTIFS('Catalogos'!$A$2:$A$41,B111,'Catalogos'!$B$2:$B$41,C111)&gt;0,"Correcta","Revisar Región DM")</x:f>
        <x:v>Correcta</x:v>
      </x:c>
      <x:c r="E111" s="45" t="str">
        <x:f>IF(COUNTIFS('Ubicaciones'!$C$2:$C$10001,A111)=1,"Único","Duplicado")</x:f>
        <x:v>Único</x:v>
      </x:c>
      <x:c r="F111" s="45" t="str">
        <x:f>IF('Ubicaciones'!T111=1,"Ubicable",IF('Ubicaciones'!E111&lt;&gt;"Abierta","Fuera por estatus","Coordenadas pendientes"))</x:f>
        <x:v>Ubicable</x:v>
      </x:c>
    </x:row>
    <x:row r="112" ht="23" customHeight="1">
      <x:c r="A112" s="45" t="str">
        <x:f>'Ubicaciones'!C112</x:f>
        <x:v>38494</x:v>
      </x:c>
      <x:c r="B112" s="45" t="str">
        <x:f>'Ubicaciones'!A112</x:f>
        <x:v>Centro Sur</x:v>
      </x:c>
      <x:c r="C112" s="45" t="str">
        <x:f>'Ubicaciones'!B112</x:f>
        <x:v>Fernando Eduardo Verdugo Saldaña</x:v>
      </x:c>
      <x:c r="D112" s="45" t="str">
        <x:f>IF(COUNTIFS('Catalogos'!$A$2:$A$41,B112,'Catalogos'!$B$2:$B$41,C112)&gt;0,"Correcta","Revisar Región DM")</x:f>
        <x:v>Correcta</x:v>
      </x:c>
      <x:c r="E112" s="45" t="str">
        <x:f>IF(COUNTIFS('Ubicaciones'!$C$2:$C$10001,A112)=1,"Único","Duplicado")</x:f>
        <x:v>Único</x:v>
      </x:c>
      <x:c r="F112" s="45" t="str">
        <x:f>IF('Ubicaciones'!T112=1,"Ubicable",IF('Ubicaciones'!E112&lt;&gt;"Abierta","Fuera por estatus","Coordenadas pendientes"))</x:f>
        <x:v>Ubicable</x:v>
      </x:c>
    </x:row>
    <x:row r="113" ht="23" customHeight="1">
      <x:c r="A113" s="45" t="str">
        <x:f>'Ubicaciones'!C113</x:f>
        <x:v>38637</x:v>
      </x:c>
      <x:c r="B113" s="45" t="str">
        <x:f>'Ubicaciones'!A113</x:f>
        <x:v>Centro Sur</x:v>
      </x:c>
      <x:c r="C113" s="45" t="str">
        <x:f>'Ubicaciones'!B113</x:f>
        <x:v>Fernando Eduardo Verdugo Saldaña</x:v>
      </x:c>
      <x:c r="D113" s="45" t="str">
        <x:f>IF(COUNTIFS('Catalogos'!$A$2:$A$41,B113,'Catalogos'!$B$2:$B$41,C113)&gt;0,"Correcta","Revisar Región DM")</x:f>
        <x:v>Correcta</x:v>
      </x:c>
      <x:c r="E113" s="45" t="str">
        <x:f>IF(COUNTIFS('Ubicaciones'!$C$2:$C$10001,A113)=1,"Único","Duplicado")</x:f>
        <x:v>Único</x:v>
      </x:c>
      <x:c r="F113" s="45" t="str">
        <x:f>IF('Ubicaciones'!T113=1,"Ubicable",IF('Ubicaciones'!E113&lt;&gt;"Abierta","Fuera por estatus","Coordenadas pendientes"))</x:f>
        <x:v>Ubicable</x:v>
      </x:c>
    </x:row>
    <x:row r="114" ht="23" customHeight="1">
      <x:c r="A114" s="45" t="str">
        <x:f>'Ubicaciones'!C114</x:f>
        <x:v>38817</x:v>
      </x:c>
      <x:c r="B114" s="45" t="str">
        <x:f>'Ubicaciones'!A114</x:f>
        <x:v>Centro Sur</x:v>
      </x:c>
      <x:c r="C114" s="45" t="str">
        <x:f>'Ubicaciones'!B114</x:f>
        <x:v>Fernando Eduardo Verdugo Saldaña</x:v>
      </x:c>
      <x:c r="D114" s="45" t="str">
        <x:f>IF(COUNTIFS('Catalogos'!$A$2:$A$41,B114,'Catalogos'!$B$2:$B$41,C114)&gt;0,"Correcta","Revisar Región DM")</x:f>
        <x:v>Correcta</x:v>
      </x:c>
      <x:c r="E114" s="45" t="str">
        <x:f>IF(COUNTIFS('Ubicaciones'!$C$2:$C$10001,A114)=1,"Único","Duplicado")</x:f>
        <x:v>Único</x:v>
      </x:c>
      <x:c r="F114" s="45" t="str">
        <x:f>IF('Ubicaciones'!T114=1,"Ubicable",IF('Ubicaciones'!E114&lt;&gt;"Abierta","Fuera por estatus","Coordenadas pendientes"))</x:f>
        <x:v>Ubicable</x:v>
      </x:c>
    </x:row>
    <x:row r="115" ht="23" customHeight="1">
      <x:c r="A115" s="45" t="str">
        <x:f>'Ubicaciones'!C115</x:f>
        <x:v>38964</x:v>
      </x:c>
      <x:c r="B115" s="45" t="str">
        <x:f>'Ubicaciones'!A115</x:f>
        <x:v>Centro Sur</x:v>
      </x:c>
      <x:c r="C115" s="45" t="str">
        <x:f>'Ubicaciones'!B115</x:f>
        <x:v>Fernando Eduardo Verdugo Saldaña</x:v>
      </x:c>
      <x:c r="D115" s="45" t="str">
        <x:f>IF(COUNTIFS('Catalogos'!$A$2:$A$41,B115,'Catalogos'!$B$2:$B$41,C115)&gt;0,"Correcta","Revisar Región DM")</x:f>
        <x:v>Correcta</x:v>
      </x:c>
      <x:c r="E115" s="45" t="str">
        <x:f>IF(COUNTIFS('Ubicaciones'!$C$2:$C$10001,A115)=1,"Único","Duplicado")</x:f>
        <x:v>Único</x:v>
      </x:c>
      <x:c r="F115" s="45" t="str">
        <x:f>IF('Ubicaciones'!T115=1,"Ubicable",IF('Ubicaciones'!E115&lt;&gt;"Abierta","Fuera por estatus","Coordenadas pendientes"))</x:f>
        <x:v>Ubicable</x:v>
      </x:c>
    </x:row>
    <x:row r="116" ht="23" customHeight="1">
      <x:c r="A116" s="45" t="str">
        <x:f>'Ubicaciones'!C116</x:f>
        <x:v>38131</x:v>
      </x:c>
      <x:c r="B116" s="45" t="str">
        <x:f>'Ubicaciones'!A116</x:f>
        <x:v>Centro Sur</x:v>
      </x:c>
      <x:c r="C116" s="45" t="str">
        <x:f>'Ubicaciones'!B116</x:f>
        <x:v>Hazar Susim Trejo Hernandez</x:v>
      </x:c>
      <x:c r="D116" s="45" t="str">
        <x:f>IF(COUNTIFS('Catalogos'!$A$2:$A$41,B116,'Catalogos'!$B$2:$B$41,C116)&gt;0,"Correcta","Revisar Región DM")</x:f>
        <x:v>Correcta</x:v>
      </x:c>
      <x:c r="E116" s="45" t="str">
        <x:f>IF(COUNTIFS('Ubicaciones'!$C$2:$C$10001,A116)=1,"Único","Duplicado")</x:f>
        <x:v>Único</x:v>
      </x:c>
      <x:c r="F116" s="45" t="str">
        <x:f>IF('Ubicaciones'!T116=1,"Ubicable",IF('Ubicaciones'!E116&lt;&gt;"Abierta","Fuera por estatus","Coordenadas pendientes"))</x:f>
        <x:v>Ubicable</x:v>
      </x:c>
    </x:row>
    <x:row r="117" ht="23" customHeight="1">
      <x:c r="A117" s="45" t="str">
        <x:f>'Ubicaciones'!C117</x:f>
        <x:v>38172</x:v>
      </x:c>
      <x:c r="B117" s="45" t="str">
        <x:f>'Ubicaciones'!A117</x:f>
        <x:v>Centro Sur</x:v>
      </x:c>
      <x:c r="C117" s="45" t="str">
        <x:f>'Ubicaciones'!B117</x:f>
        <x:v>Hazar Susim Trejo Hernandez</x:v>
      </x:c>
      <x:c r="D117" s="45" t="str">
        <x:f>IF(COUNTIFS('Catalogos'!$A$2:$A$41,B117,'Catalogos'!$B$2:$B$41,C117)&gt;0,"Correcta","Revisar Región DM")</x:f>
        <x:v>Correcta</x:v>
      </x:c>
      <x:c r="E117" s="45" t="str">
        <x:f>IF(COUNTIFS('Ubicaciones'!$C$2:$C$10001,A117)=1,"Único","Duplicado")</x:f>
        <x:v>Único</x:v>
      </x:c>
      <x:c r="F117" s="45" t="str">
        <x:f>IF('Ubicaciones'!T117=1,"Ubicable",IF('Ubicaciones'!E117&lt;&gt;"Abierta","Fuera por estatus","Coordenadas pendientes"))</x:f>
        <x:v>Ubicable</x:v>
      </x:c>
    </x:row>
    <x:row r="118" ht="23" customHeight="1">
      <x:c r="A118" s="45" t="str">
        <x:f>'Ubicaciones'!C118</x:f>
        <x:v>38402</x:v>
      </x:c>
      <x:c r="B118" s="45" t="str">
        <x:f>'Ubicaciones'!A118</x:f>
        <x:v>Centro Sur</x:v>
      </x:c>
      <x:c r="C118" s="45" t="str">
        <x:f>'Ubicaciones'!B118</x:f>
        <x:v>Hazar Susim Trejo Hernandez</x:v>
      </x:c>
      <x:c r="D118" s="45" t="str">
        <x:f>IF(COUNTIFS('Catalogos'!$A$2:$A$41,B118,'Catalogos'!$B$2:$B$41,C118)&gt;0,"Correcta","Revisar Región DM")</x:f>
        <x:v>Correcta</x:v>
      </x:c>
      <x:c r="E118" s="45" t="str">
        <x:f>IF(COUNTIFS('Ubicaciones'!$C$2:$C$10001,A118)=1,"Único","Duplicado")</x:f>
        <x:v>Único</x:v>
      </x:c>
      <x:c r="F118" s="45" t="str">
        <x:f>IF('Ubicaciones'!T118=1,"Ubicable",IF('Ubicaciones'!E118&lt;&gt;"Abierta","Fuera por estatus","Coordenadas pendientes"))</x:f>
        <x:v>Ubicable</x:v>
      </x:c>
    </x:row>
    <x:row r="119" ht="23" customHeight="1">
      <x:c r="A119" s="45" t="str">
        <x:f>'Ubicaciones'!C119</x:f>
        <x:v>38406</x:v>
      </x:c>
      <x:c r="B119" s="45" t="str">
        <x:f>'Ubicaciones'!A119</x:f>
        <x:v>Centro Sur</x:v>
      </x:c>
      <x:c r="C119" s="45" t="str">
        <x:f>'Ubicaciones'!B119</x:f>
        <x:v>Hazar Susim Trejo Hernandez</x:v>
      </x:c>
      <x:c r="D119" s="45" t="str">
        <x:f>IF(COUNTIFS('Catalogos'!$A$2:$A$41,B119,'Catalogos'!$B$2:$B$41,C119)&gt;0,"Correcta","Revisar Región DM")</x:f>
        <x:v>Correcta</x:v>
      </x:c>
      <x:c r="E119" s="45" t="str">
        <x:f>IF(COUNTIFS('Ubicaciones'!$C$2:$C$10001,A119)=1,"Único","Duplicado")</x:f>
        <x:v>Único</x:v>
      </x:c>
      <x:c r="F119" s="45" t="str">
        <x:f>IF('Ubicaciones'!T119=1,"Ubicable",IF('Ubicaciones'!E119&lt;&gt;"Abierta","Fuera por estatus","Coordenadas pendientes"))</x:f>
        <x:v>Ubicable</x:v>
      </x:c>
    </x:row>
    <x:row r="120" ht="23" customHeight="1">
      <x:c r="A120" s="45" t="str">
        <x:f>'Ubicaciones'!C120</x:f>
        <x:v>38543</x:v>
      </x:c>
      <x:c r="B120" s="45" t="str">
        <x:f>'Ubicaciones'!A120</x:f>
        <x:v>Centro Sur</x:v>
      </x:c>
      <x:c r="C120" s="45" t="str">
        <x:f>'Ubicaciones'!B120</x:f>
        <x:v>Hazar Susim Trejo Hernandez</x:v>
      </x:c>
      <x:c r="D120" s="45" t="str">
        <x:f>IF(COUNTIFS('Catalogos'!$A$2:$A$41,B120,'Catalogos'!$B$2:$B$41,C120)&gt;0,"Correcta","Revisar Región DM")</x:f>
        <x:v>Correcta</x:v>
      </x:c>
      <x:c r="E120" s="45" t="str">
        <x:f>IF(COUNTIFS('Ubicaciones'!$C$2:$C$10001,A120)=1,"Único","Duplicado")</x:f>
        <x:v>Único</x:v>
      </x:c>
      <x:c r="F120" s="45" t="str">
        <x:f>IF('Ubicaciones'!T120=1,"Ubicable",IF('Ubicaciones'!E120&lt;&gt;"Abierta","Fuera por estatus","Coordenadas pendientes"))</x:f>
        <x:v>Ubicable</x:v>
      </x:c>
    </x:row>
    <x:row r="121" ht="23" customHeight="1">
      <x:c r="A121" s="45" t="str">
        <x:f>'Ubicaciones'!C121</x:f>
        <x:v>38560</x:v>
      </x:c>
      <x:c r="B121" s="45" t="str">
        <x:f>'Ubicaciones'!A121</x:f>
        <x:v>Centro Sur</x:v>
      </x:c>
      <x:c r="C121" s="45" t="str">
        <x:f>'Ubicaciones'!B121</x:f>
        <x:v>Hazar Susim Trejo Hernandez</x:v>
      </x:c>
      <x:c r="D121" s="45" t="str">
        <x:f>IF(COUNTIFS('Catalogos'!$A$2:$A$41,B121,'Catalogos'!$B$2:$B$41,C121)&gt;0,"Correcta","Revisar Región DM")</x:f>
        <x:v>Correcta</x:v>
      </x:c>
      <x:c r="E121" s="45" t="str">
        <x:f>IF(COUNTIFS('Ubicaciones'!$C$2:$C$10001,A121)=1,"Único","Duplicado")</x:f>
        <x:v>Único</x:v>
      </x:c>
      <x:c r="F121" s="45" t="str">
        <x:f>IF('Ubicaciones'!T121=1,"Ubicable",IF('Ubicaciones'!E121&lt;&gt;"Abierta","Fuera por estatus","Coordenadas pendientes"))</x:f>
        <x:v>Ubicable</x:v>
      </x:c>
    </x:row>
    <x:row r="122" ht="23" customHeight="1">
      <x:c r="A122" s="45" t="str">
        <x:f>'Ubicaciones'!C122</x:f>
        <x:v>38605</x:v>
      </x:c>
      <x:c r="B122" s="45" t="str">
        <x:f>'Ubicaciones'!A122</x:f>
        <x:v>Centro Sur</x:v>
      </x:c>
      <x:c r="C122" s="45" t="str">
        <x:f>'Ubicaciones'!B122</x:f>
        <x:v>Hazar Susim Trejo Hernandez</x:v>
      </x:c>
      <x:c r="D122" s="45" t="str">
        <x:f>IF(COUNTIFS('Catalogos'!$A$2:$A$41,B122,'Catalogos'!$B$2:$B$41,C122)&gt;0,"Correcta","Revisar Región DM")</x:f>
        <x:v>Correcta</x:v>
      </x:c>
      <x:c r="E122" s="45" t="str">
        <x:f>IF(COUNTIFS('Ubicaciones'!$C$2:$C$10001,A122)=1,"Único","Duplicado")</x:f>
        <x:v>Único</x:v>
      </x:c>
      <x:c r="F122" s="45" t="str">
        <x:f>IF('Ubicaciones'!T122=1,"Ubicable",IF('Ubicaciones'!E122&lt;&gt;"Abierta","Fuera por estatus","Coordenadas pendientes"))</x:f>
        <x:v>Ubicable</x:v>
      </x:c>
    </x:row>
    <x:row r="123" ht="23" customHeight="1">
      <x:c r="A123" s="45" t="str">
        <x:f>'Ubicaciones'!C123</x:f>
        <x:v>38625</x:v>
      </x:c>
      <x:c r="B123" s="45" t="str">
        <x:f>'Ubicaciones'!A123</x:f>
        <x:v>Centro Sur</x:v>
      </x:c>
      <x:c r="C123" s="45" t="str">
        <x:f>'Ubicaciones'!B123</x:f>
        <x:v>Hazar Susim Trejo Hernandez</x:v>
      </x:c>
      <x:c r="D123" s="45" t="str">
        <x:f>IF(COUNTIFS('Catalogos'!$A$2:$A$41,B123,'Catalogos'!$B$2:$B$41,C123)&gt;0,"Correcta","Revisar Región DM")</x:f>
        <x:v>Correcta</x:v>
      </x:c>
      <x:c r="E123" s="45" t="str">
        <x:f>IF(COUNTIFS('Ubicaciones'!$C$2:$C$10001,A123)=1,"Único","Duplicado")</x:f>
        <x:v>Único</x:v>
      </x:c>
      <x:c r="F123" s="45" t="str">
        <x:f>IF('Ubicaciones'!T123=1,"Ubicable",IF('Ubicaciones'!E123&lt;&gt;"Abierta","Fuera por estatus","Coordenadas pendientes"))</x:f>
        <x:v>Ubicable</x:v>
      </x:c>
    </x:row>
    <x:row r="124" ht="23" customHeight="1">
      <x:c r="A124" s="45" t="str">
        <x:f>'Ubicaciones'!C124</x:f>
        <x:v>38771</x:v>
      </x:c>
      <x:c r="B124" s="45" t="str">
        <x:f>'Ubicaciones'!A124</x:f>
        <x:v>Centro Sur</x:v>
      </x:c>
      <x:c r="C124" s="45" t="str">
        <x:f>'Ubicaciones'!B124</x:f>
        <x:v>Hazar Susim Trejo Hernandez</x:v>
      </x:c>
      <x:c r="D124" s="45" t="str">
        <x:f>IF(COUNTIFS('Catalogos'!$A$2:$A$41,B124,'Catalogos'!$B$2:$B$41,C124)&gt;0,"Correcta","Revisar Región DM")</x:f>
        <x:v>Correcta</x:v>
      </x:c>
      <x:c r="E124" s="45" t="str">
        <x:f>IF(COUNTIFS('Ubicaciones'!$C$2:$C$10001,A124)=1,"Único","Duplicado")</x:f>
        <x:v>Único</x:v>
      </x:c>
      <x:c r="F124" s="45" t="str">
        <x:f>IF('Ubicaciones'!T124=1,"Ubicable",IF('Ubicaciones'!E124&lt;&gt;"Abierta","Fuera por estatus","Coordenadas pendientes"))</x:f>
        <x:v>Fuera por estatus</x:v>
      </x:c>
    </x:row>
    <x:row r="125" ht="23" customHeight="1">
      <x:c r="A125" s="45" t="str">
        <x:f>'Ubicaciones'!C125</x:f>
        <x:v>38784</x:v>
      </x:c>
      <x:c r="B125" s="45" t="str">
        <x:f>'Ubicaciones'!A125</x:f>
        <x:v>Centro Sur</x:v>
      </x:c>
      <x:c r="C125" s="45" t="str">
        <x:f>'Ubicaciones'!B125</x:f>
        <x:v>Hazar Susim Trejo Hernandez</x:v>
      </x:c>
      <x:c r="D125" s="45" t="str">
        <x:f>IF(COUNTIFS('Catalogos'!$A$2:$A$41,B125,'Catalogos'!$B$2:$B$41,C125)&gt;0,"Correcta","Revisar Región DM")</x:f>
        <x:v>Correcta</x:v>
      </x:c>
      <x:c r="E125" s="45" t="str">
        <x:f>IF(COUNTIFS('Ubicaciones'!$C$2:$C$10001,A125)=1,"Único","Duplicado")</x:f>
        <x:v>Único</x:v>
      </x:c>
      <x:c r="F125" s="45" t="str">
        <x:f>IF('Ubicaciones'!T125=1,"Ubicable",IF('Ubicaciones'!E125&lt;&gt;"Abierta","Fuera por estatus","Coordenadas pendientes"))</x:f>
        <x:v>Ubicable</x:v>
      </x:c>
    </x:row>
    <x:row r="126" ht="23" customHeight="1">
      <x:c r="A126" s="45" t="str">
        <x:f>'Ubicaciones'!C126</x:f>
        <x:v>38791</x:v>
      </x:c>
      <x:c r="B126" s="45" t="str">
        <x:f>'Ubicaciones'!A126</x:f>
        <x:v>Centro Sur</x:v>
      </x:c>
      <x:c r="C126" s="45" t="str">
        <x:f>'Ubicaciones'!B126</x:f>
        <x:v>Hazar Susim Trejo Hernandez</x:v>
      </x:c>
      <x:c r="D126" s="45" t="str">
        <x:f>IF(COUNTIFS('Catalogos'!$A$2:$A$41,B126,'Catalogos'!$B$2:$B$41,C126)&gt;0,"Correcta","Revisar Región DM")</x:f>
        <x:v>Correcta</x:v>
      </x:c>
      <x:c r="E126" s="45" t="str">
        <x:f>IF(COUNTIFS('Ubicaciones'!$C$2:$C$10001,A126)=1,"Único","Duplicado")</x:f>
        <x:v>Único</x:v>
      </x:c>
      <x:c r="F126" s="45" t="str">
        <x:f>IF('Ubicaciones'!T126=1,"Ubicable",IF('Ubicaciones'!E126&lt;&gt;"Abierta","Fuera por estatus","Coordenadas pendientes"))</x:f>
        <x:v>Ubicable</x:v>
      </x:c>
    </x:row>
    <x:row r="127" ht="23" customHeight="1">
      <x:c r="A127" s="45" t="str">
        <x:f>'Ubicaciones'!C127</x:f>
        <x:v>38806</x:v>
      </x:c>
      <x:c r="B127" s="45" t="str">
        <x:f>'Ubicaciones'!A127</x:f>
        <x:v>Centro Sur</x:v>
      </x:c>
      <x:c r="C127" s="45" t="str">
        <x:f>'Ubicaciones'!B127</x:f>
        <x:v>Hazar Susim Trejo Hernandez</x:v>
      </x:c>
      <x:c r="D127" s="45" t="str">
        <x:f>IF(COUNTIFS('Catalogos'!$A$2:$A$41,B127,'Catalogos'!$B$2:$B$41,C127)&gt;0,"Correcta","Revisar Región DM")</x:f>
        <x:v>Correcta</x:v>
      </x:c>
      <x:c r="E127" s="45" t="str">
        <x:f>IF(COUNTIFS('Ubicaciones'!$C$2:$C$10001,A127)=1,"Único","Duplicado")</x:f>
        <x:v>Único</x:v>
      </x:c>
      <x:c r="F127" s="45" t="str">
        <x:f>IF('Ubicaciones'!T127=1,"Ubicable",IF('Ubicaciones'!E127&lt;&gt;"Abierta","Fuera por estatus","Coordenadas pendientes"))</x:f>
        <x:v>Ubicable</x:v>
      </x:c>
    </x:row>
    <x:row r="128" ht="23" customHeight="1">
      <x:c r="A128" s="45" t="str">
        <x:f>'Ubicaciones'!C128</x:f>
        <x:v>38866</x:v>
      </x:c>
      <x:c r="B128" s="45" t="str">
        <x:f>'Ubicaciones'!A128</x:f>
        <x:v>Centro Sur</x:v>
      </x:c>
      <x:c r="C128" s="45" t="str">
        <x:f>'Ubicaciones'!B128</x:f>
        <x:v>Hazar Susim Trejo Hernandez</x:v>
      </x:c>
      <x:c r="D128" s="45" t="str">
        <x:f>IF(COUNTIFS('Catalogos'!$A$2:$A$41,B128,'Catalogos'!$B$2:$B$41,C128)&gt;0,"Correcta","Revisar Región DM")</x:f>
        <x:v>Correcta</x:v>
      </x:c>
      <x:c r="E128" s="45" t="str">
        <x:f>IF(COUNTIFS('Ubicaciones'!$C$2:$C$10001,A128)=1,"Único","Duplicado")</x:f>
        <x:v>Único</x:v>
      </x:c>
      <x:c r="F128" s="45" t="str">
        <x:f>IF('Ubicaciones'!T128=1,"Ubicable",IF('Ubicaciones'!E128&lt;&gt;"Abierta","Fuera por estatus","Coordenadas pendientes"))</x:f>
        <x:v>Ubicable</x:v>
      </x:c>
    </x:row>
    <x:row r="129" ht="23" customHeight="1">
      <x:c r="A129" s="45" t="str">
        <x:f>'Ubicaciones'!C129</x:f>
        <x:v>38113</x:v>
      </x:c>
      <x:c r="B129" s="45" t="str">
        <x:f>'Ubicaciones'!A129</x:f>
        <x:v>Centro Sur</x:v>
      </x:c>
      <x:c r="C129" s="45" t="str">
        <x:f>'Ubicaciones'!B129</x:f>
        <x:v>Jaqueline Cortes Ayala</x:v>
      </x:c>
      <x:c r="D129" s="45" t="str">
        <x:f>IF(COUNTIFS('Catalogos'!$A$2:$A$41,B129,'Catalogos'!$B$2:$B$41,C129)&gt;0,"Correcta","Revisar Región DM")</x:f>
        <x:v>Correcta</x:v>
      </x:c>
      <x:c r="E129" s="45" t="str">
        <x:f>IF(COUNTIFS('Ubicaciones'!$C$2:$C$10001,A129)=1,"Único","Duplicado")</x:f>
        <x:v>Único</x:v>
      </x:c>
      <x:c r="F129" s="45" t="str">
        <x:f>IF('Ubicaciones'!T129=1,"Ubicable",IF('Ubicaciones'!E129&lt;&gt;"Abierta","Fuera por estatus","Coordenadas pendientes"))</x:f>
        <x:v>Ubicable</x:v>
      </x:c>
    </x:row>
    <x:row r="130" ht="23" customHeight="1">
      <x:c r="A130" s="45" t="str">
        <x:f>'Ubicaciones'!C130</x:f>
        <x:v>38139</x:v>
      </x:c>
      <x:c r="B130" s="45" t="str">
        <x:f>'Ubicaciones'!A130</x:f>
        <x:v>Centro Sur</x:v>
      </x:c>
      <x:c r="C130" s="45" t="str">
        <x:f>'Ubicaciones'!B130</x:f>
        <x:v>Jaqueline Cortes Ayala</x:v>
      </x:c>
      <x:c r="D130" s="45" t="str">
        <x:f>IF(COUNTIFS('Catalogos'!$A$2:$A$41,B130,'Catalogos'!$B$2:$B$41,C130)&gt;0,"Correcta","Revisar Región DM")</x:f>
        <x:v>Correcta</x:v>
      </x:c>
      <x:c r="E130" s="45" t="str">
        <x:f>IF(COUNTIFS('Ubicaciones'!$C$2:$C$10001,A130)=1,"Único","Duplicado")</x:f>
        <x:v>Único</x:v>
      </x:c>
      <x:c r="F130" s="45" t="str">
        <x:f>IF('Ubicaciones'!T130=1,"Ubicable",IF('Ubicaciones'!E130&lt;&gt;"Abierta","Fuera por estatus","Coordenadas pendientes"))</x:f>
        <x:v>Ubicable</x:v>
      </x:c>
    </x:row>
    <x:row r="131" ht="23" customHeight="1">
      <x:c r="A131" s="45" t="str">
        <x:f>'Ubicaciones'!C131</x:f>
        <x:v>38152</x:v>
      </x:c>
      <x:c r="B131" s="45" t="str">
        <x:f>'Ubicaciones'!A131</x:f>
        <x:v>Centro Sur</x:v>
      </x:c>
      <x:c r="C131" s="45" t="str">
        <x:f>'Ubicaciones'!B131</x:f>
        <x:v>Jaqueline Cortes Ayala</x:v>
      </x:c>
      <x:c r="D131" s="45" t="str">
        <x:f>IF(COUNTIFS('Catalogos'!$A$2:$A$41,B131,'Catalogos'!$B$2:$B$41,C131)&gt;0,"Correcta","Revisar Región DM")</x:f>
        <x:v>Correcta</x:v>
      </x:c>
      <x:c r="E131" s="45" t="str">
        <x:f>IF(COUNTIFS('Ubicaciones'!$C$2:$C$10001,A131)=1,"Único","Duplicado")</x:f>
        <x:v>Único</x:v>
      </x:c>
      <x:c r="F131" s="45" t="str">
        <x:f>IF('Ubicaciones'!T131=1,"Ubicable",IF('Ubicaciones'!E131&lt;&gt;"Abierta","Fuera por estatus","Coordenadas pendientes"))</x:f>
        <x:v>Ubicable</x:v>
      </x:c>
    </x:row>
    <x:row r="132" ht="23" customHeight="1">
      <x:c r="A132" s="45" t="str">
        <x:f>'Ubicaciones'!C132</x:f>
        <x:v>38208</x:v>
      </x:c>
      <x:c r="B132" s="45" t="str">
        <x:f>'Ubicaciones'!A132</x:f>
        <x:v>Centro Sur</x:v>
      </x:c>
      <x:c r="C132" s="45" t="str">
        <x:f>'Ubicaciones'!B132</x:f>
        <x:v>Jaqueline Cortes Ayala</x:v>
      </x:c>
      <x:c r="D132" s="45" t="str">
        <x:f>IF(COUNTIFS('Catalogos'!$A$2:$A$41,B132,'Catalogos'!$B$2:$B$41,C132)&gt;0,"Correcta","Revisar Región DM")</x:f>
        <x:v>Correcta</x:v>
      </x:c>
      <x:c r="E132" s="45" t="str">
        <x:f>IF(COUNTIFS('Ubicaciones'!$C$2:$C$10001,A132)=1,"Único","Duplicado")</x:f>
        <x:v>Único</x:v>
      </x:c>
      <x:c r="F132" s="45" t="str">
        <x:f>IF('Ubicaciones'!T132=1,"Ubicable",IF('Ubicaciones'!E132&lt;&gt;"Abierta","Fuera por estatus","Coordenadas pendientes"))</x:f>
        <x:v>Ubicable</x:v>
      </x:c>
    </x:row>
    <x:row r="133" ht="23" customHeight="1">
      <x:c r="A133" s="45" t="str">
        <x:f>'Ubicaciones'!C133</x:f>
        <x:v>38239</x:v>
      </x:c>
      <x:c r="B133" s="45" t="str">
        <x:f>'Ubicaciones'!A133</x:f>
        <x:v>Centro Sur</x:v>
      </x:c>
      <x:c r="C133" s="45" t="str">
        <x:f>'Ubicaciones'!B133</x:f>
        <x:v>Jaqueline Cortes Ayala</x:v>
      </x:c>
      <x:c r="D133" s="45" t="str">
        <x:f>IF(COUNTIFS('Catalogos'!$A$2:$A$41,B133,'Catalogos'!$B$2:$B$41,C133)&gt;0,"Correcta","Revisar Región DM")</x:f>
        <x:v>Correcta</x:v>
      </x:c>
      <x:c r="E133" s="45" t="str">
        <x:f>IF(COUNTIFS('Ubicaciones'!$C$2:$C$10001,A133)=1,"Único","Duplicado")</x:f>
        <x:v>Único</x:v>
      </x:c>
      <x:c r="F133" s="45" t="str">
        <x:f>IF('Ubicaciones'!T133=1,"Ubicable",IF('Ubicaciones'!E133&lt;&gt;"Abierta","Fuera por estatus","Coordenadas pendientes"))</x:f>
        <x:v>Ubicable</x:v>
      </x:c>
    </x:row>
    <x:row r="134" ht="23" customHeight="1">
      <x:c r="A134" s="45" t="str">
        <x:f>'Ubicaciones'!C134</x:f>
        <x:v>38365</x:v>
      </x:c>
      <x:c r="B134" s="45" t="str">
        <x:f>'Ubicaciones'!A134</x:f>
        <x:v>Centro Sur</x:v>
      </x:c>
      <x:c r="C134" s="45" t="str">
        <x:f>'Ubicaciones'!B134</x:f>
        <x:v>Jaqueline Cortes Ayala</x:v>
      </x:c>
      <x:c r="D134" s="45" t="str">
        <x:f>IF(COUNTIFS('Catalogos'!$A$2:$A$41,B134,'Catalogos'!$B$2:$B$41,C134)&gt;0,"Correcta","Revisar Región DM")</x:f>
        <x:v>Correcta</x:v>
      </x:c>
      <x:c r="E134" s="45" t="str">
        <x:f>IF(COUNTIFS('Ubicaciones'!$C$2:$C$10001,A134)=1,"Único","Duplicado")</x:f>
        <x:v>Único</x:v>
      </x:c>
      <x:c r="F134" s="45" t="str">
        <x:f>IF('Ubicaciones'!T134=1,"Ubicable",IF('Ubicaciones'!E134&lt;&gt;"Abierta","Fuera por estatus","Coordenadas pendientes"))</x:f>
        <x:v>Ubicable</x:v>
      </x:c>
    </x:row>
    <x:row r="135" ht="23" customHeight="1">
      <x:c r="A135" s="45" t="str">
        <x:f>'Ubicaciones'!C135</x:f>
        <x:v>38417</x:v>
      </x:c>
      <x:c r="B135" s="45" t="str">
        <x:f>'Ubicaciones'!A135</x:f>
        <x:v>Centro Sur</x:v>
      </x:c>
      <x:c r="C135" s="45" t="str">
        <x:f>'Ubicaciones'!B135</x:f>
        <x:v>Jaqueline Cortes Ayala</x:v>
      </x:c>
      <x:c r="D135" s="45" t="str">
        <x:f>IF(COUNTIFS('Catalogos'!$A$2:$A$41,B135,'Catalogos'!$B$2:$B$41,C135)&gt;0,"Correcta","Revisar Región DM")</x:f>
        <x:v>Correcta</x:v>
      </x:c>
      <x:c r="E135" s="45" t="str">
        <x:f>IF(COUNTIFS('Ubicaciones'!$C$2:$C$10001,A135)=1,"Único","Duplicado")</x:f>
        <x:v>Único</x:v>
      </x:c>
      <x:c r="F135" s="45" t="str">
        <x:f>IF('Ubicaciones'!T135=1,"Ubicable",IF('Ubicaciones'!E135&lt;&gt;"Abierta","Fuera por estatus","Coordenadas pendientes"))</x:f>
        <x:v>Ubicable</x:v>
      </x:c>
    </x:row>
    <x:row r="136" ht="23" customHeight="1">
      <x:c r="A136" s="45" t="str">
        <x:f>'Ubicaciones'!C136</x:f>
        <x:v>38430</x:v>
      </x:c>
      <x:c r="B136" s="45" t="str">
        <x:f>'Ubicaciones'!A136</x:f>
        <x:v>Centro Sur</x:v>
      </x:c>
      <x:c r="C136" s="45" t="str">
        <x:f>'Ubicaciones'!B136</x:f>
        <x:v>Jaqueline Cortes Ayala</x:v>
      </x:c>
      <x:c r="D136" s="45" t="str">
        <x:f>IF(COUNTIFS('Catalogos'!$A$2:$A$41,B136,'Catalogos'!$B$2:$B$41,C136)&gt;0,"Correcta","Revisar Región DM")</x:f>
        <x:v>Correcta</x:v>
      </x:c>
      <x:c r="E136" s="45" t="str">
        <x:f>IF(COUNTIFS('Ubicaciones'!$C$2:$C$10001,A136)=1,"Único","Duplicado")</x:f>
        <x:v>Único</x:v>
      </x:c>
      <x:c r="F136" s="45" t="str">
        <x:f>IF('Ubicaciones'!T136=1,"Ubicable",IF('Ubicaciones'!E136&lt;&gt;"Abierta","Fuera por estatus","Coordenadas pendientes"))</x:f>
        <x:v>Ubicable</x:v>
      </x:c>
    </x:row>
    <x:row r="137" ht="23" customHeight="1">
      <x:c r="A137" s="45" t="str">
        <x:f>'Ubicaciones'!C137</x:f>
        <x:v>38484</x:v>
      </x:c>
      <x:c r="B137" s="45" t="str">
        <x:f>'Ubicaciones'!A137</x:f>
        <x:v>Centro Sur</x:v>
      </x:c>
      <x:c r="C137" s="45" t="str">
        <x:f>'Ubicaciones'!B137</x:f>
        <x:v>Jaqueline Cortes Ayala</x:v>
      </x:c>
      <x:c r="D137" s="45" t="str">
        <x:f>IF(COUNTIFS('Catalogos'!$A$2:$A$41,B137,'Catalogos'!$B$2:$B$41,C137)&gt;0,"Correcta","Revisar Región DM")</x:f>
        <x:v>Correcta</x:v>
      </x:c>
      <x:c r="E137" s="45" t="str">
        <x:f>IF(COUNTIFS('Ubicaciones'!$C$2:$C$10001,A137)=1,"Único","Duplicado")</x:f>
        <x:v>Único</x:v>
      </x:c>
      <x:c r="F137" s="45" t="str">
        <x:f>IF('Ubicaciones'!T137=1,"Ubicable",IF('Ubicaciones'!E137&lt;&gt;"Abierta","Fuera por estatus","Coordenadas pendientes"))</x:f>
        <x:v>Ubicable</x:v>
      </x:c>
    </x:row>
    <x:row r="138" ht="23" customHeight="1">
      <x:c r="A138" s="45" t="str">
        <x:f>'Ubicaciones'!C138</x:f>
        <x:v>38585</x:v>
      </x:c>
      <x:c r="B138" s="45" t="str">
        <x:f>'Ubicaciones'!A138</x:f>
        <x:v>Centro Sur</x:v>
      </x:c>
      <x:c r="C138" s="45" t="str">
        <x:f>'Ubicaciones'!B138</x:f>
        <x:v>Jaqueline Cortes Ayala</x:v>
      </x:c>
      <x:c r="D138" s="45" t="str">
        <x:f>IF(COUNTIFS('Catalogos'!$A$2:$A$41,B138,'Catalogos'!$B$2:$B$41,C138)&gt;0,"Correcta","Revisar Región DM")</x:f>
        <x:v>Correcta</x:v>
      </x:c>
      <x:c r="E138" s="45" t="str">
        <x:f>IF(COUNTIFS('Ubicaciones'!$C$2:$C$10001,A138)=1,"Único","Duplicado")</x:f>
        <x:v>Único</x:v>
      </x:c>
      <x:c r="F138" s="45" t="str">
        <x:f>IF('Ubicaciones'!T138=1,"Ubicable",IF('Ubicaciones'!E138&lt;&gt;"Abierta","Fuera por estatus","Coordenadas pendientes"))</x:f>
        <x:v>Ubicable</x:v>
      </x:c>
    </x:row>
    <x:row r="139" ht="23" customHeight="1">
      <x:c r="A139" s="45" t="str">
        <x:f>'Ubicaciones'!C139</x:f>
        <x:v>38620</x:v>
      </x:c>
      <x:c r="B139" s="45" t="str">
        <x:f>'Ubicaciones'!A139</x:f>
        <x:v>Centro Sur</x:v>
      </x:c>
      <x:c r="C139" s="45" t="str">
        <x:f>'Ubicaciones'!B139</x:f>
        <x:v>Jaqueline Cortes Ayala</x:v>
      </x:c>
      <x:c r="D139" s="45" t="str">
        <x:f>IF(COUNTIFS('Catalogos'!$A$2:$A$41,B139,'Catalogos'!$B$2:$B$41,C139)&gt;0,"Correcta","Revisar Región DM")</x:f>
        <x:v>Correcta</x:v>
      </x:c>
      <x:c r="E139" s="45" t="str">
        <x:f>IF(COUNTIFS('Ubicaciones'!$C$2:$C$10001,A139)=1,"Único","Duplicado")</x:f>
        <x:v>Único</x:v>
      </x:c>
      <x:c r="F139" s="45" t="str">
        <x:f>IF('Ubicaciones'!T139=1,"Ubicable",IF('Ubicaciones'!E139&lt;&gt;"Abierta","Fuera por estatus","Coordenadas pendientes"))</x:f>
        <x:v>Ubicable</x:v>
      </x:c>
    </x:row>
    <x:row r="140" ht="23" customHeight="1">
      <x:c r="A140" s="45" t="str">
        <x:f>'Ubicaciones'!C140</x:f>
        <x:v>38663</x:v>
      </x:c>
      <x:c r="B140" s="45" t="str">
        <x:f>'Ubicaciones'!A140</x:f>
        <x:v>Centro Sur</x:v>
      </x:c>
      <x:c r="C140" s="45" t="str">
        <x:f>'Ubicaciones'!B140</x:f>
        <x:v>Jaqueline Cortes Ayala</x:v>
      </x:c>
      <x:c r="D140" s="45" t="str">
        <x:f>IF(COUNTIFS('Catalogos'!$A$2:$A$41,B140,'Catalogos'!$B$2:$B$41,C140)&gt;0,"Correcta","Revisar Región DM")</x:f>
        <x:v>Correcta</x:v>
      </x:c>
      <x:c r="E140" s="45" t="str">
        <x:f>IF(COUNTIFS('Ubicaciones'!$C$2:$C$10001,A140)=1,"Único","Duplicado")</x:f>
        <x:v>Único</x:v>
      </x:c>
      <x:c r="F140" s="45" t="str">
        <x:f>IF('Ubicaciones'!T140=1,"Ubicable",IF('Ubicaciones'!E140&lt;&gt;"Abierta","Fuera por estatus","Coordenadas pendientes"))</x:f>
        <x:v>Ubicable</x:v>
      </x:c>
    </x:row>
    <x:row r="141" ht="23" customHeight="1">
      <x:c r="A141" s="45" t="str">
        <x:f>'Ubicaciones'!C141</x:f>
        <x:v>43025</x:v>
      </x:c>
      <x:c r="B141" s="45" t="str">
        <x:f>'Ubicaciones'!A141</x:f>
        <x:v>Centro Sur</x:v>
      </x:c>
      <x:c r="C141" s="45" t="str">
        <x:f>'Ubicaciones'!B141</x:f>
        <x:v>Jaqueline Cortes Ayala</x:v>
      </x:c>
      <x:c r="D141" s="45" t="str">
        <x:f>IF(COUNTIFS('Catalogos'!$A$2:$A$41,B141,'Catalogos'!$B$2:$B$41,C141)&gt;0,"Correcta","Revisar Región DM")</x:f>
        <x:v>Correcta</x:v>
      </x:c>
      <x:c r="E141" s="45" t="str">
        <x:f>IF(COUNTIFS('Ubicaciones'!$C$2:$C$10001,A141)=1,"Único","Duplicado")</x:f>
        <x:v>Único</x:v>
      </x:c>
      <x:c r="F141" s="45" t="str">
        <x:f>IF('Ubicaciones'!T141=1,"Ubicable",IF('Ubicaciones'!E141&lt;&gt;"Abierta","Fuera por estatus","Coordenadas pendientes"))</x:f>
        <x:v>Ubicable</x:v>
      </x:c>
    </x:row>
    <x:row r="142" ht="23" customHeight="1">
      <x:c r="A142" s="45" t="str">
        <x:f>'Ubicaciones'!C142</x:f>
        <x:v>38502</x:v>
      </x:c>
      <x:c r="B142" s="45" t="str">
        <x:f>'Ubicaciones'!A142</x:f>
        <x:v>Centro Sur</x:v>
      </x:c>
      <x:c r="C142" s="45" t="str">
        <x:f>'Ubicaciones'!B142</x:f>
        <x:v>Jesus Antonio Elguera Flores</x:v>
      </x:c>
      <x:c r="D142" s="45" t="str">
        <x:f>IF(COUNTIFS('Catalogos'!$A$2:$A$41,B142,'Catalogos'!$B$2:$B$41,C142)&gt;0,"Correcta","Revisar Región DM")</x:f>
        <x:v>Correcta</x:v>
      </x:c>
      <x:c r="E142" s="45" t="str">
        <x:f>IF(COUNTIFS('Ubicaciones'!$C$2:$C$10001,A142)=1,"Único","Duplicado")</x:f>
        <x:v>Único</x:v>
      </x:c>
      <x:c r="F142" s="45" t="str">
        <x:f>IF('Ubicaciones'!T142=1,"Ubicable",IF('Ubicaciones'!E142&lt;&gt;"Abierta","Fuera por estatus","Coordenadas pendientes"))</x:f>
        <x:v>Ubicable</x:v>
      </x:c>
    </x:row>
    <x:row r="143" ht="23" customHeight="1">
      <x:c r="A143" s="45" t="str">
        <x:f>'Ubicaciones'!C143</x:f>
        <x:v>38594</x:v>
      </x:c>
      <x:c r="B143" s="45" t="str">
        <x:f>'Ubicaciones'!A143</x:f>
        <x:v>Centro Sur</x:v>
      </x:c>
      <x:c r="C143" s="45" t="str">
        <x:f>'Ubicaciones'!B143</x:f>
        <x:v>Jesus Antonio Elguera Flores</x:v>
      </x:c>
      <x:c r="D143" s="45" t="str">
        <x:f>IF(COUNTIFS('Catalogos'!$A$2:$A$41,B143,'Catalogos'!$B$2:$B$41,C143)&gt;0,"Correcta","Revisar Región DM")</x:f>
        <x:v>Correcta</x:v>
      </x:c>
      <x:c r="E143" s="45" t="str">
        <x:f>IF(COUNTIFS('Ubicaciones'!$C$2:$C$10001,A143)=1,"Único","Duplicado")</x:f>
        <x:v>Único</x:v>
      </x:c>
      <x:c r="F143" s="45" t="str">
        <x:f>IF('Ubicaciones'!T143=1,"Ubicable",IF('Ubicaciones'!E143&lt;&gt;"Abierta","Fuera por estatus","Coordenadas pendientes"))</x:f>
        <x:v>Ubicable</x:v>
      </x:c>
    </x:row>
    <x:row r="144" ht="23" customHeight="1">
      <x:c r="A144" s="45" t="str">
        <x:f>'Ubicaciones'!C144</x:f>
        <x:v>38657</x:v>
      </x:c>
      <x:c r="B144" s="45" t="str">
        <x:f>'Ubicaciones'!A144</x:f>
        <x:v>Centro Sur</x:v>
      </x:c>
      <x:c r="C144" s="45" t="str">
        <x:f>'Ubicaciones'!B144</x:f>
        <x:v>Jesus Antonio Elguera Flores</x:v>
      </x:c>
      <x:c r="D144" s="45" t="str">
        <x:f>IF(COUNTIFS('Catalogos'!$A$2:$A$41,B144,'Catalogos'!$B$2:$B$41,C144)&gt;0,"Correcta","Revisar Región DM")</x:f>
        <x:v>Correcta</x:v>
      </x:c>
      <x:c r="E144" s="45" t="str">
        <x:f>IF(COUNTIFS('Ubicaciones'!$C$2:$C$10001,A144)=1,"Único","Duplicado")</x:f>
        <x:v>Único</x:v>
      </x:c>
      <x:c r="F144" s="45" t="str">
        <x:f>IF('Ubicaciones'!T144=1,"Ubicable",IF('Ubicaciones'!E144&lt;&gt;"Abierta","Fuera por estatus","Coordenadas pendientes"))</x:f>
        <x:v>Ubicable</x:v>
      </x:c>
    </x:row>
    <x:row r="145" ht="23" customHeight="1">
      <x:c r="A145" s="45" t="str">
        <x:f>'Ubicaciones'!C145</x:f>
        <x:v>38659</x:v>
      </x:c>
      <x:c r="B145" s="45" t="str">
        <x:f>'Ubicaciones'!A145</x:f>
        <x:v>Centro Sur</x:v>
      </x:c>
      <x:c r="C145" s="45" t="str">
        <x:f>'Ubicaciones'!B145</x:f>
        <x:v>Jesus Antonio Elguera Flores</x:v>
      </x:c>
      <x:c r="D145" s="45" t="str">
        <x:f>IF(COUNTIFS('Catalogos'!$A$2:$A$41,B145,'Catalogos'!$B$2:$B$41,C145)&gt;0,"Correcta","Revisar Región DM")</x:f>
        <x:v>Correcta</x:v>
      </x:c>
      <x:c r="E145" s="45" t="str">
        <x:f>IF(COUNTIFS('Ubicaciones'!$C$2:$C$10001,A145)=1,"Único","Duplicado")</x:f>
        <x:v>Único</x:v>
      </x:c>
      <x:c r="F145" s="45" t="str">
        <x:f>IF('Ubicaciones'!T145=1,"Ubicable",IF('Ubicaciones'!E145&lt;&gt;"Abierta","Fuera por estatus","Coordenadas pendientes"))</x:f>
        <x:v>Ubicable</x:v>
      </x:c>
    </x:row>
    <x:row r="146" ht="23" customHeight="1">
      <x:c r="A146" s="45" t="str">
        <x:f>'Ubicaciones'!C146</x:f>
        <x:v>38800</x:v>
      </x:c>
      <x:c r="B146" s="45" t="str">
        <x:f>'Ubicaciones'!A146</x:f>
        <x:v>Centro Sur</x:v>
      </x:c>
      <x:c r="C146" s="45" t="str">
        <x:f>'Ubicaciones'!B146</x:f>
        <x:v>Jesus Antonio Elguera Flores</x:v>
      </x:c>
      <x:c r="D146" s="45" t="str">
        <x:f>IF(COUNTIFS('Catalogos'!$A$2:$A$41,B146,'Catalogos'!$B$2:$B$41,C146)&gt;0,"Correcta","Revisar Región DM")</x:f>
        <x:v>Correcta</x:v>
      </x:c>
      <x:c r="E146" s="45" t="str">
        <x:f>IF(COUNTIFS('Ubicaciones'!$C$2:$C$10001,A146)=1,"Único","Duplicado")</x:f>
        <x:v>Único</x:v>
      </x:c>
      <x:c r="F146" s="45" t="str">
        <x:f>IF('Ubicaciones'!T146=1,"Ubicable",IF('Ubicaciones'!E146&lt;&gt;"Abierta","Fuera por estatus","Coordenadas pendientes"))</x:f>
        <x:v>Ubicable</x:v>
      </x:c>
    </x:row>
    <x:row r="147" ht="23" customHeight="1">
      <x:c r="A147" s="45" t="str">
        <x:f>'Ubicaciones'!C147</x:f>
        <x:v>38801</x:v>
      </x:c>
      <x:c r="B147" s="45" t="str">
        <x:f>'Ubicaciones'!A147</x:f>
        <x:v>Centro Sur</x:v>
      </x:c>
      <x:c r="C147" s="45" t="str">
        <x:f>'Ubicaciones'!B147</x:f>
        <x:v>Jesus Antonio Elguera Flores</x:v>
      </x:c>
      <x:c r="D147" s="45" t="str">
        <x:f>IF(COUNTIFS('Catalogos'!$A$2:$A$41,B147,'Catalogos'!$B$2:$B$41,C147)&gt;0,"Correcta","Revisar Región DM")</x:f>
        <x:v>Correcta</x:v>
      </x:c>
      <x:c r="E147" s="45" t="str">
        <x:f>IF(COUNTIFS('Ubicaciones'!$C$2:$C$10001,A147)=1,"Único","Duplicado")</x:f>
        <x:v>Único</x:v>
      </x:c>
      <x:c r="F147" s="45" t="str">
        <x:f>IF('Ubicaciones'!T147=1,"Ubicable",IF('Ubicaciones'!E147&lt;&gt;"Abierta","Fuera por estatus","Coordenadas pendientes"))</x:f>
        <x:v>Ubicable</x:v>
      </x:c>
    </x:row>
    <x:row r="148" ht="23" customHeight="1">
      <x:c r="A148" s="45" t="str">
        <x:f>'Ubicaciones'!C148</x:f>
        <x:v>38855</x:v>
      </x:c>
      <x:c r="B148" s="45" t="str">
        <x:f>'Ubicaciones'!A148</x:f>
        <x:v>Centro Sur</x:v>
      </x:c>
      <x:c r="C148" s="45" t="str">
        <x:f>'Ubicaciones'!B148</x:f>
        <x:v>Jesus Antonio Elguera Flores</x:v>
      </x:c>
      <x:c r="D148" s="45" t="str">
        <x:f>IF(COUNTIFS('Catalogos'!$A$2:$A$41,B148,'Catalogos'!$B$2:$B$41,C148)&gt;0,"Correcta","Revisar Región DM")</x:f>
        <x:v>Correcta</x:v>
      </x:c>
      <x:c r="E148" s="45" t="str">
        <x:f>IF(COUNTIFS('Ubicaciones'!$C$2:$C$10001,A148)=1,"Único","Duplicado")</x:f>
        <x:v>Único</x:v>
      </x:c>
      <x:c r="F148" s="45" t="str">
        <x:f>IF('Ubicaciones'!T148=1,"Ubicable",IF('Ubicaciones'!E148&lt;&gt;"Abierta","Fuera por estatus","Coordenadas pendientes"))</x:f>
        <x:v>Ubicable</x:v>
      </x:c>
    </x:row>
    <x:row r="149" ht="23" customHeight="1">
      <x:c r="A149" s="45" t="str">
        <x:f>'Ubicaciones'!C149</x:f>
        <x:v>43026</x:v>
      </x:c>
      <x:c r="B149" s="45" t="str">
        <x:f>'Ubicaciones'!A149</x:f>
        <x:v>Centro Sur</x:v>
      </x:c>
      <x:c r="C149" s="45" t="str">
        <x:f>'Ubicaciones'!B149</x:f>
        <x:v>Jesus Antonio Elguera Flores</x:v>
      </x:c>
      <x:c r="D149" s="45" t="str">
        <x:f>IF(COUNTIFS('Catalogos'!$A$2:$A$41,B149,'Catalogos'!$B$2:$B$41,C149)&gt;0,"Correcta","Revisar Región DM")</x:f>
        <x:v>Correcta</x:v>
      </x:c>
      <x:c r="E149" s="45" t="str">
        <x:f>IF(COUNTIFS('Ubicaciones'!$C$2:$C$10001,A149)=1,"Único","Duplicado")</x:f>
        <x:v>Único</x:v>
      </x:c>
      <x:c r="F149" s="45" t="str">
        <x:f>IF('Ubicaciones'!T149=1,"Ubicable",IF('Ubicaciones'!E149&lt;&gt;"Abierta","Fuera por estatus","Coordenadas pendientes"))</x:f>
        <x:v>Ubicable</x:v>
      </x:c>
    </x:row>
    <x:row r="150" ht="23" customHeight="1">
      <x:c r="A150" s="45" t="str">
        <x:f>'Ubicaciones'!C150</x:f>
        <x:v>43163</x:v>
      </x:c>
      <x:c r="B150" s="45" t="str">
        <x:f>'Ubicaciones'!A150</x:f>
        <x:v>Centro Sur</x:v>
      </x:c>
      <x:c r="C150" s="45" t="str">
        <x:f>'Ubicaciones'!B150</x:f>
        <x:v>Jesus Antonio Elguera Flores</x:v>
      </x:c>
      <x:c r="D150" s="45" t="str">
        <x:f>IF(COUNTIFS('Catalogos'!$A$2:$A$41,B150,'Catalogos'!$B$2:$B$41,C150)&gt;0,"Correcta","Revisar Región DM")</x:f>
        <x:v>Correcta</x:v>
      </x:c>
      <x:c r="E150" s="45" t="str">
        <x:f>IF(COUNTIFS('Ubicaciones'!$C$2:$C$10001,A150)=1,"Único","Duplicado")</x:f>
        <x:v>Único</x:v>
      </x:c>
      <x:c r="F150" s="45" t="str">
        <x:f>IF('Ubicaciones'!T150=1,"Ubicable",IF('Ubicaciones'!E150&lt;&gt;"Abierta","Fuera por estatus","Coordenadas pendientes"))</x:f>
        <x:v>Ubicable</x:v>
      </x:c>
    </x:row>
    <x:row r="151" ht="23" customHeight="1">
      <x:c r="A151" s="45" t="str">
        <x:f>'Ubicaciones'!C151</x:f>
        <x:v>43169</x:v>
      </x:c>
      <x:c r="B151" s="45" t="str">
        <x:f>'Ubicaciones'!A151</x:f>
        <x:v>Centro Sur</x:v>
      </x:c>
      <x:c r="C151" s="45" t="str">
        <x:f>'Ubicaciones'!B151</x:f>
        <x:v>Jesus Antonio Elguera Flores</x:v>
      </x:c>
      <x:c r="D151" s="45" t="str">
        <x:f>IF(COUNTIFS('Catalogos'!$A$2:$A$41,B151,'Catalogos'!$B$2:$B$41,C151)&gt;0,"Correcta","Revisar Región DM")</x:f>
        <x:v>Correcta</x:v>
      </x:c>
      <x:c r="E151" s="45" t="str">
        <x:f>IF(COUNTIFS('Ubicaciones'!$C$2:$C$10001,A151)=1,"Único","Duplicado")</x:f>
        <x:v>Único</x:v>
      </x:c>
      <x:c r="F151" s="45" t="str">
        <x:f>IF('Ubicaciones'!T151=1,"Ubicable",IF('Ubicaciones'!E151&lt;&gt;"Abierta","Fuera por estatus","Coordenadas pendientes"))</x:f>
        <x:v>Ubicable</x:v>
      </x:c>
    </x:row>
    <x:row r="152" ht="23" customHeight="1">
      <x:c r="A152" s="45" t="str">
        <x:f>'Ubicaciones'!C152</x:f>
        <x:v>38134</x:v>
      </x:c>
      <x:c r="B152" s="45" t="str">
        <x:f>'Ubicaciones'!A152</x:f>
        <x:v>Centro Sur</x:v>
      </x:c>
      <x:c r="C152" s="45" t="str">
        <x:f>'Ubicaciones'!B152</x:f>
        <x:v>Luis Alberto Quevedo Rodriguez</x:v>
      </x:c>
      <x:c r="D152" s="45" t="str">
        <x:f>IF(COUNTIFS('Catalogos'!$A$2:$A$41,B152,'Catalogos'!$B$2:$B$41,C152)&gt;0,"Correcta","Revisar Región DM")</x:f>
        <x:v>Correcta</x:v>
      </x:c>
      <x:c r="E152" s="45" t="str">
        <x:f>IF(COUNTIFS('Ubicaciones'!$C$2:$C$10001,A152)=1,"Único","Duplicado")</x:f>
        <x:v>Único</x:v>
      </x:c>
      <x:c r="F152" s="45" t="str">
        <x:f>IF('Ubicaciones'!T152=1,"Ubicable",IF('Ubicaciones'!E152&lt;&gt;"Abierta","Fuera por estatus","Coordenadas pendientes"))</x:f>
        <x:v>Ubicable</x:v>
      </x:c>
    </x:row>
    <x:row r="153" ht="23" customHeight="1">
      <x:c r="A153" s="45" t="str">
        <x:f>'Ubicaciones'!C153</x:f>
        <x:v>38260</x:v>
      </x:c>
      <x:c r="B153" s="45" t="str">
        <x:f>'Ubicaciones'!A153</x:f>
        <x:v>Centro Sur</x:v>
      </x:c>
      <x:c r="C153" s="45" t="str">
        <x:f>'Ubicaciones'!B153</x:f>
        <x:v>Luis Alberto Quevedo Rodriguez</x:v>
      </x:c>
      <x:c r="D153" s="45" t="str">
        <x:f>IF(COUNTIFS('Catalogos'!$A$2:$A$41,B153,'Catalogos'!$B$2:$B$41,C153)&gt;0,"Correcta","Revisar Región DM")</x:f>
        <x:v>Correcta</x:v>
      </x:c>
      <x:c r="E153" s="45" t="str">
        <x:f>IF(COUNTIFS('Ubicaciones'!$C$2:$C$10001,A153)=1,"Único","Duplicado")</x:f>
        <x:v>Único</x:v>
      </x:c>
      <x:c r="F153" s="45" t="str">
        <x:f>IF('Ubicaciones'!T153=1,"Ubicable",IF('Ubicaciones'!E153&lt;&gt;"Abierta","Fuera por estatus","Coordenadas pendientes"))</x:f>
        <x:v>Ubicable</x:v>
      </x:c>
    </x:row>
    <x:row r="154" ht="23" customHeight="1">
      <x:c r="A154" s="45" t="str">
        <x:f>'Ubicaciones'!C154</x:f>
        <x:v>38340</x:v>
      </x:c>
      <x:c r="B154" s="45" t="str">
        <x:f>'Ubicaciones'!A154</x:f>
        <x:v>Centro Sur</x:v>
      </x:c>
      <x:c r="C154" s="45" t="str">
        <x:f>'Ubicaciones'!B154</x:f>
        <x:v>Luis Alberto Quevedo Rodriguez</x:v>
      </x:c>
      <x:c r="D154" s="45" t="str">
        <x:f>IF(COUNTIFS('Catalogos'!$A$2:$A$41,B154,'Catalogos'!$B$2:$B$41,C154)&gt;0,"Correcta","Revisar Región DM")</x:f>
        <x:v>Correcta</x:v>
      </x:c>
      <x:c r="E154" s="45" t="str">
        <x:f>IF(COUNTIFS('Ubicaciones'!$C$2:$C$10001,A154)=1,"Único","Duplicado")</x:f>
        <x:v>Único</x:v>
      </x:c>
      <x:c r="F154" s="45" t="str">
        <x:f>IF('Ubicaciones'!T154=1,"Ubicable",IF('Ubicaciones'!E154&lt;&gt;"Abierta","Fuera por estatus","Coordenadas pendientes"))</x:f>
        <x:v>Ubicable</x:v>
      </x:c>
    </x:row>
    <x:row r="155" ht="23" customHeight="1">
      <x:c r="A155" s="45" t="str">
        <x:f>'Ubicaciones'!C155</x:f>
        <x:v>38464</x:v>
      </x:c>
      <x:c r="B155" s="45" t="str">
        <x:f>'Ubicaciones'!A155</x:f>
        <x:v>Centro Sur</x:v>
      </x:c>
      <x:c r="C155" s="45" t="str">
        <x:f>'Ubicaciones'!B155</x:f>
        <x:v>Luis Alberto Quevedo Rodriguez</x:v>
      </x:c>
      <x:c r="D155" s="45" t="str">
        <x:f>IF(COUNTIFS('Catalogos'!$A$2:$A$41,B155,'Catalogos'!$B$2:$B$41,C155)&gt;0,"Correcta","Revisar Región DM")</x:f>
        <x:v>Correcta</x:v>
      </x:c>
      <x:c r="E155" s="45" t="str">
        <x:f>IF(COUNTIFS('Ubicaciones'!$C$2:$C$10001,A155)=1,"Único","Duplicado")</x:f>
        <x:v>Único</x:v>
      </x:c>
      <x:c r="F155" s="45" t="str">
        <x:f>IF('Ubicaciones'!T155=1,"Ubicable",IF('Ubicaciones'!E155&lt;&gt;"Abierta","Fuera por estatus","Coordenadas pendientes"))</x:f>
        <x:v>Ubicable</x:v>
      </x:c>
    </x:row>
    <x:row r="156" ht="23" customHeight="1">
      <x:c r="A156" s="45" t="str">
        <x:f>'Ubicaciones'!C156</x:f>
        <x:v>38482</x:v>
      </x:c>
      <x:c r="B156" s="45" t="str">
        <x:f>'Ubicaciones'!A156</x:f>
        <x:v>Centro Sur</x:v>
      </x:c>
      <x:c r="C156" s="45" t="str">
        <x:f>'Ubicaciones'!B156</x:f>
        <x:v>Luis Alberto Quevedo Rodriguez</x:v>
      </x:c>
      <x:c r="D156" s="45" t="str">
        <x:f>IF(COUNTIFS('Catalogos'!$A$2:$A$41,B156,'Catalogos'!$B$2:$B$41,C156)&gt;0,"Correcta","Revisar Región DM")</x:f>
        <x:v>Correcta</x:v>
      </x:c>
      <x:c r="E156" s="45" t="str">
        <x:f>IF(COUNTIFS('Ubicaciones'!$C$2:$C$10001,A156)=1,"Único","Duplicado")</x:f>
        <x:v>Único</x:v>
      </x:c>
      <x:c r="F156" s="45" t="str">
        <x:f>IF('Ubicaciones'!T156=1,"Ubicable",IF('Ubicaciones'!E156&lt;&gt;"Abierta","Fuera por estatus","Coordenadas pendientes"))</x:f>
        <x:v>Ubicable</x:v>
      </x:c>
    </x:row>
    <x:row r="157" ht="23" customHeight="1">
      <x:c r="A157" s="45" t="str">
        <x:f>'Ubicaciones'!C157</x:f>
        <x:v>38501</x:v>
      </x:c>
      <x:c r="B157" s="45" t="str">
        <x:f>'Ubicaciones'!A157</x:f>
        <x:v>Centro Sur</x:v>
      </x:c>
      <x:c r="C157" s="45" t="str">
        <x:f>'Ubicaciones'!B157</x:f>
        <x:v>Luis Alberto Quevedo Rodriguez</x:v>
      </x:c>
      <x:c r="D157" s="45" t="str">
        <x:f>IF(COUNTIFS('Catalogos'!$A$2:$A$41,B157,'Catalogos'!$B$2:$B$41,C157)&gt;0,"Correcta","Revisar Región DM")</x:f>
        <x:v>Correcta</x:v>
      </x:c>
      <x:c r="E157" s="45" t="str">
        <x:f>IF(COUNTIFS('Ubicaciones'!$C$2:$C$10001,A157)=1,"Único","Duplicado")</x:f>
        <x:v>Único</x:v>
      </x:c>
      <x:c r="F157" s="45" t="str">
        <x:f>IF('Ubicaciones'!T157=1,"Ubicable",IF('Ubicaciones'!E157&lt;&gt;"Abierta","Fuera por estatus","Coordenadas pendientes"))</x:f>
        <x:v>Ubicable</x:v>
      </x:c>
    </x:row>
    <x:row r="158" ht="23" customHeight="1">
      <x:c r="A158" s="45" t="str">
        <x:f>'Ubicaciones'!C158</x:f>
        <x:v>38513</x:v>
      </x:c>
      <x:c r="B158" s="45" t="str">
        <x:f>'Ubicaciones'!A158</x:f>
        <x:v>Centro Sur</x:v>
      </x:c>
      <x:c r="C158" s="45" t="str">
        <x:f>'Ubicaciones'!B158</x:f>
        <x:v>Luis Alberto Quevedo Rodriguez</x:v>
      </x:c>
      <x:c r="D158" s="45" t="str">
        <x:f>IF(COUNTIFS('Catalogos'!$A$2:$A$41,B158,'Catalogos'!$B$2:$B$41,C158)&gt;0,"Correcta","Revisar Región DM")</x:f>
        <x:v>Correcta</x:v>
      </x:c>
      <x:c r="E158" s="45" t="str">
        <x:f>IF(COUNTIFS('Ubicaciones'!$C$2:$C$10001,A158)=1,"Único","Duplicado")</x:f>
        <x:v>Único</x:v>
      </x:c>
      <x:c r="F158" s="45" t="str">
        <x:f>IF('Ubicaciones'!T158=1,"Ubicable",IF('Ubicaciones'!E158&lt;&gt;"Abierta","Fuera por estatus","Coordenadas pendientes"))</x:f>
        <x:v>Ubicable</x:v>
      </x:c>
    </x:row>
    <x:row r="159" ht="23" customHeight="1">
      <x:c r="A159" s="45" t="str">
        <x:f>'Ubicaciones'!C159</x:f>
        <x:v>38526</x:v>
      </x:c>
      <x:c r="B159" s="45" t="str">
        <x:f>'Ubicaciones'!A159</x:f>
        <x:v>Centro Sur</x:v>
      </x:c>
      <x:c r="C159" s="45" t="str">
        <x:f>'Ubicaciones'!B159</x:f>
        <x:v>Luis Alberto Quevedo Rodriguez</x:v>
      </x:c>
      <x:c r="D159" s="45" t="str">
        <x:f>IF(COUNTIFS('Catalogos'!$A$2:$A$41,B159,'Catalogos'!$B$2:$B$41,C159)&gt;0,"Correcta","Revisar Región DM")</x:f>
        <x:v>Correcta</x:v>
      </x:c>
      <x:c r="E159" s="45" t="str">
        <x:f>IF(COUNTIFS('Ubicaciones'!$C$2:$C$10001,A159)=1,"Único","Duplicado")</x:f>
        <x:v>Único</x:v>
      </x:c>
      <x:c r="F159" s="45" t="str">
        <x:f>IF('Ubicaciones'!T159=1,"Ubicable",IF('Ubicaciones'!E159&lt;&gt;"Abierta","Fuera por estatus","Coordenadas pendientes"))</x:f>
        <x:v>Ubicable</x:v>
      </x:c>
    </x:row>
    <x:row r="160" ht="23" customHeight="1">
      <x:c r="A160" s="45" t="str">
        <x:f>'Ubicaciones'!C160</x:f>
        <x:v>38569</x:v>
      </x:c>
      <x:c r="B160" s="45" t="str">
        <x:f>'Ubicaciones'!A160</x:f>
        <x:v>Centro Sur</x:v>
      </x:c>
      <x:c r="C160" s="45" t="str">
        <x:f>'Ubicaciones'!B160</x:f>
        <x:v>Luis Alberto Quevedo Rodriguez</x:v>
      </x:c>
      <x:c r="D160" s="45" t="str">
        <x:f>IF(COUNTIFS('Catalogos'!$A$2:$A$41,B160,'Catalogos'!$B$2:$B$41,C160)&gt;0,"Correcta","Revisar Región DM")</x:f>
        <x:v>Correcta</x:v>
      </x:c>
      <x:c r="E160" s="45" t="str">
        <x:f>IF(COUNTIFS('Ubicaciones'!$C$2:$C$10001,A160)=1,"Único","Duplicado")</x:f>
        <x:v>Único</x:v>
      </x:c>
      <x:c r="F160" s="45" t="str">
        <x:f>IF('Ubicaciones'!T160=1,"Ubicable",IF('Ubicaciones'!E160&lt;&gt;"Abierta","Fuera por estatus","Coordenadas pendientes"))</x:f>
        <x:v>Ubicable</x:v>
      </x:c>
    </x:row>
    <x:row r="161" ht="23" customHeight="1">
      <x:c r="A161" s="45" t="str">
        <x:f>'Ubicaciones'!C161</x:f>
        <x:v>38570</x:v>
      </x:c>
      <x:c r="B161" s="45" t="str">
        <x:f>'Ubicaciones'!A161</x:f>
        <x:v>Centro Sur</x:v>
      </x:c>
      <x:c r="C161" s="45" t="str">
        <x:f>'Ubicaciones'!B161</x:f>
        <x:v>Luis Alberto Quevedo Rodriguez</x:v>
      </x:c>
      <x:c r="D161" s="45" t="str">
        <x:f>IF(COUNTIFS('Catalogos'!$A$2:$A$41,B161,'Catalogos'!$B$2:$B$41,C161)&gt;0,"Correcta","Revisar Región DM")</x:f>
        <x:v>Correcta</x:v>
      </x:c>
      <x:c r="E161" s="45" t="str">
        <x:f>IF(COUNTIFS('Ubicaciones'!$C$2:$C$10001,A161)=1,"Único","Duplicado")</x:f>
        <x:v>Único</x:v>
      </x:c>
      <x:c r="F161" s="45" t="str">
        <x:f>IF('Ubicaciones'!T161=1,"Ubicable",IF('Ubicaciones'!E161&lt;&gt;"Abierta","Fuera por estatus","Coordenadas pendientes"))</x:f>
        <x:v>Ubicable</x:v>
      </x:c>
    </x:row>
    <x:row r="162" ht="23" customHeight="1">
      <x:c r="A162" s="45" t="str">
        <x:f>'Ubicaciones'!C162</x:f>
        <x:v>38579</x:v>
      </x:c>
      <x:c r="B162" s="45" t="str">
        <x:f>'Ubicaciones'!A162</x:f>
        <x:v>Centro Sur</x:v>
      </x:c>
      <x:c r="C162" s="45" t="str">
        <x:f>'Ubicaciones'!B162</x:f>
        <x:v>Luis Alberto Quevedo Rodriguez</x:v>
      </x:c>
      <x:c r="D162" s="45" t="str">
        <x:f>IF(COUNTIFS('Catalogos'!$A$2:$A$41,B162,'Catalogos'!$B$2:$B$41,C162)&gt;0,"Correcta","Revisar Región DM")</x:f>
        <x:v>Correcta</x:v>
      </x:c>
      <x:c r="E162" s="45" t="str">
        <x:f>IF(COUNTIFS('Ubicaciones'!$C$2:$C$10001,A162)=1,"Único","Duplicado")</x:f>
        <x:v>Único</x:v>
      </x:c>
      <x:c r="F162" s="45" t="str">
        <x:f>IF('Ubicaciones'!T162=1,"Ubicable",IF('Ubicaciones'!E162&lt;&gt;"Abierta","Fuera por estatus","Coordenadas pendientes"))</x:f>
        <x:v>Ubicable</x:v>
      </x:c>
    </x:row>
    <x:row r="163" ht="23" customHeight="1">
      <x:c r="A163" s="45" t="str">
        <x:f>'Ubicaciones'!C163</x:f>
        <x:v>38619</x:v>
      </x:c>
      <x:c r="B163" s="45" t="str">
        <x:f>'Ubicaciones'!A163</x:f>
        <x:v>Centro Sur</x:v>
      </x:c>
      <x:c r="C163" s="45" t="str">
        <x:f>'Ubicaciones'!B163</x:f>
        <x:v>Luis Alberto Quevedo Rodriguez</x:v>
      </x:c>
      <x:c r="D163" s="45" t="str">
        <x:f>IF(COUNTIFS('Catalogos'!$A$2:$A$41,B163,'Catalogos'!$B$2:$B$41,C163)&gt;0,"Correcta","Revisar Región DM")</x:f>
        <x:v>Correcta</x:v>
      </x:c>
      <x:c r="E163" s="45" t="str">
        <x:f>IF(COUNTIFS('Ubicaciones'!$C$2:$C$10001,A163)=1,"Único","Duplicado")</x:f>
        <x:v>Único</x:v>
      </x:c>
      <x:c r="F163" s="45" t="str">
        <x:f>IF('Ubicaciones'!T163=1,"Ubicable",IF('Ubicaciones'!E163&lt;&gt;"Abierta","Fuera por estatus","Coordenadas pendientes"))</x:f>
        <x:v>Ubicable</x:v>
      </x:c>
    </x:row>
    <x:row r="164" ht="23" customHeight="1">
      <x:c r="A164" s="45" t="str">
        <x:f>'Ubicaciones'!C164</x:f>
        <x:v>38888</x:v>
      </x:c>
      <x:c r="B164" s="45" t="str">
        <x:f>'Ubicaciones'!A164</x:f>
        <x:v>Centro Sur</x:v>
      </x:c>
      <x:c r="C164" s="45" t="str">
        <x:f>'Ubicaciones'!B164</x:f>
        <x:v>Luis Alberto Quevedo Rodriguez</x:v>
      </x:c>
      <x:c r="D164" s="45" t="str">
        <x:f>IF(COUNTIFS('Catalogos'!$A$2:$A$41,B164,'Catalogos'!$B$2:$B$41,C164)&gt;0,"Correcta","Revisar Región DM")</x:f>
        <x:v>Correcta</x:v>
      </x:c>
      <x:c r="E164" s="45" t="str">
        <x:f>IF(COUNTIFS('Ubicaciones'!$C$2:$C$10001,A164)=1,"Único","Duplicado")</x:f>
        <x:v>Único</x:v>
      </x:c>
      <x:c r="F164" s="45" t="str">
        <x:f>IF('Ubicaciones'!T164=1,"Ubicable",IF('Ubicaciones'!E164&lt;&gt;"Abierta","Fuera por estatus","Coordenadas pendientes"))</x:f>
        <x:v>Ubicable</x:v>
      </x:c>
    </x:row>
    <x:row r="165" ht="23" customHeight="1">
      <x:c r="A165" s="45" t="str">
        <x:f>'Ubicaciones'!C165</x:f>
        <x:v>38941</x:v>
      </x:c>
      <x:c r="B165" s="45" t="str">
        <x:f>'Ubicaciones'!A165</x:f>
        <x:v>Centro Sur</x:v>
      </x:c>
      <x:c r="C165" s="45" t="str">
        <x:f>'Ubicaciones'!B165</x:f>
        <x:v>Luis Alberto Quevedo Rodriguez</x:v>
      </x:c>
      <x:c r="D165" s="45" t="str">
        <x:f>IF(COUNTIFS('Catalogos'!$A$2:$A$41,B165,'Catalogos'!$B$2:$B$41,C165)&gt;0,"Correcta","Revisar Región DM")</x:f>
        <x:v>Correcta</x:v>
      </x:c>
      <x:c r="E165" s="45" t="str">
        <x:f>IF(COUNTIFS('Ubicaciones'!$C$2:$C$10001,A165)=1,"Único","Duplicado")</x:f>
        <x:v>Único</x:v>
      </x:c>
      <x:c r="F165" s="45" t="str">
        <x:f>IF('Ubicaciones'!T165=1,"Ubicable",IF('Ubicaciones'!E165&lt;&gt;"Abierta","Fuera por estatus","Coordenadas pendientes"))</x:f>
        <x:v>Ubicable</x:v>
      </x:c>
    </x:row>
    <x:row r="166" ht="23" customHeight="1">
      <x:c r="A166" s="45" t="str">
        <x:f>'Ubicaciones'!C166</x:f>
        <x:v>38351</x:v>
      </x:c>
      <x:c r="B166" s="45" t="str">
        <x:f>'Ubicaciones'!A166</x:f>
        <x:v>Centro Sur</x:v>
      </x:c>
      <x:c r="C166" s="45" t="str">
        <x:f>'Ubicaciones'!B166</x:f>
        <x:v>Moni Morales</x:v>
      </x:c>
      <x:c r="D166" s="45" t="str">
        <x:f>IF(COUNTIFS('Catalogos'!$A$2:$A$41,B166,'Catalogos'!$B$2:$B$41,C166)&gt;0,"Correcta","Revisar Región DM")</x:f>
        <x:v>Correcta</x:v>
      </x:c>
      <x:c r="E166" s="45" t="str">
        <x:f>IF(COUNTIFS('Ubicaciones'!$C$2:$C$10001,A166)=1,"Único","Duplicado")</x:f>
        <x:v>Único</x:v>
      </x:c>
      <x:c r="F166" s="45" t="str">
        <x:f>IF('Ubicaciones'!T166=1,"Ubicable",IF('Ubicaciones'!E166&lt;&gt;"Abierta","Fuera por estatus","Coordenadas pendientes"))</x:f>
        <x:v>Ubicable</x:v>
      </x:c>
    </x:row>
    <x:row r="167" ht="23" customHeight="1">
      <x:c r="A167" s="45" t="str">
        <x:f>'Ubicaciones'!C167</x:f>
        <x:v>38375</x:v>
      </x:c>
      <x:c r="B167" s="45" t="str">
        <x:f>'Ubicaciones'!A167</x:f>
        <x:v>Centro Sur</x:v>
      </x:c>
      <x:c r="C167" s="45" t="str">
        <x:f>'Ubicaciones'!B167</x:f>
        <x:v>Moni Morales</x:v>
      </x:c>
      <x:c r="D167" s="45" t="str">
        <x:f>IF(COUNTIFS('Catalogos'!$A$2:$A$41,B167,'Catalogos'!$B$2:$B$41,C167)&gt;0,"Correcta","Revisar Región DM")</x:f>
        <x:v>Correcta</x:v>
      </x:c>
      <x:c r="E167" s="45" t="str">
        <x:f>IF(COUNTIFS('Ubicaciones'!$C$2:$C$10001,A167)=1,"Único","Duplicado")</x:f>
        <x:v>Único</x:v>
      </x:c>
      <x:c r="F167" s="45" t="str">
        <x:f>IF('Ubicaciones'!T167=1,"Ubicable",IF('Ubicaciones'!E167&lt;&gt;"Abierta","Fuera por estatus","Coordenadas pendientes"))</x:f>
        <x:v>Ubicable</x:v>
      </x:c>
    </x:row>
    <x:row r="168" ht="23" customHeight="1">
      <x:c r="A168" s="45" t="str">
        <x:f>'Ubicaciones'!C168</x:f>
        <x:v>38429</x:v>
      </x:c>
      <x:c r="B168" s="45" t="str">
        <x:f>'Ubicaciones'!A168</x:f>
        <x:v>Centro Sur</x:v>
      </x:c>
      <x:c r="C168" s="45" t="str">
        <x:f>'Ubicaciones'!B168</x:f>
        <x:v>Moni Morales</x:v>
      </x:c>
      <x:c r="D168" s="45" t="str">
        <x:f>IF(COUNTIFS('Catalogos'!$A$2:$A$41,B168,'Catalogos'!$B$2:$B$41,C168)&gt;0,"Correcta","Revisar Región DM")</x:f>
        <x:v>Correcta</x:v>
      </x:c>
      <x:c r="E168" s="45" t="str">
        <x:f>IF(COUNTIFS('Ubicaciones'!$C$2:$C$10001,A168)=1,"Único","Duplicado")</x:f>
        <x:v>Único</x:v>
      </x:c>
      <x:c r="F168" s="45" t="str">
        <x:f>IF('Ubicaciones'!T168=1,"Ubicable",IF('Ubicaciones'!E168&lt;&gt;"Abierta","Fuera por estatus","Coordenadas pendientes"))</x:f>
        <x:v>Ubicable</x:v>
      </x:c>
    </x:row>
    <x:row r="169" ht="23" customHeight="1">
      <x:c r="A169" s="45" t="str">
        <x:f>'Ubicaciones'!C169</x:f>
        <x:v>38511</x:v>
      </x:c>
      <x:c r="B169" s="45" t="str">
        <x:f>'Ubicaciones'!A169</x:f>
        <x:v>Centro Sur</x:v>
      </x:c>
      <x:c r="C169" s="45" t="str">
        <x:f>'Ubicaciones'!B169</x:f>
        <x:v>Moni Morales</x:v>
      </x:c>
      <x:c r="D169" s="45" t="str">
        <x:f>IF(COUNTIFS('Catalogos'!$A$2:$A$41,B169,'Catalogos'!$B$2:$B$41,C169)&gt;0,"Correcta","Revisar Región DM")</x:f>
        <x:v>Correcta</x:v>
      </x:c>
      <x:c r="E169" s="45" t="str">
        <x:f>IF(COUNTIFS('Ubicaciones'!$C$2:$C$10001,A169)=1,"Único","Duplicado")</x:f>
        <x:v>Único</x:v>
      </x:c>
      <x:c r="F169" s="45" t="str">
        <x:f>IF('Ubicaciones'!T169=1,"Ubicable",IF('Ubicaciones'!E169&lt;&gt;"Abierta","Fuera por estatus","Coordenadas pendientes"))</x:f>
        <x:v>Ubicable</x:v>
      </x:c>
    </x:row>
    <x:row r="170" ht="23" customHeight="1">
      <x:c r="A170" s="45" t="str">
        <x:f>'Ubicaciones'!C170</x:f>
        <x:v>38567</x:v>
      </x:c>
      <x:c r="B170" s="45" t="str">
        <x:f>'Ubicaciones'!A170</x:f>
        <x:v>Centro Sur</x:v>
      </x:c>
      <x:c r="C170" s="45" t="str">
        <x:f>'Ubicaciones'!B170</x:f>
        <x:v>Moni Morales</x:v>
      </x:c>
      <x:c r="D170" s="45" t="str">
        <x:f>IF(COUNTIFS('Catalogos'!$A$2:$A$41,B170,'Catalogos'!$B$2:$B$41,C170)&gt;0,"Correcta","Revisar Región DM")</x:f>
        <x:v>Correcta</x:v>
      </x:c>
      <x:c r="E170" s="45" t="str">
        <x:f>IF(COUNTIFS('Ubicaciones'!$C$2:$C$10001,A170)=1,"Único","Duplicado")</x:f>
        <x:v>Único</x:v>
      </x:c>
      <x:c r="F170" s="45" t="str">
        <x:f>IF('Ubicaciones'!T170=1,"Ubicable",IF('Ubicaciones'!E170&lt;&gt;"Abierta","Fuera por estatus","Coordenadas pendientes"))</x:f>
        <x:v>Ubicable</x:v>
      </x:c>
    </x:row>
    <x:row r="171" ht="23" customHeight="1">
      <x:c r="A171" s="45" t="str">
        <x:f>'Ubicaciones'!C171</x:f>
        <x:v>38678</x:v>
      </x:c>
      <x:c r="B171" s="45" t="str">
        <x:f>'Ubicaciones'!A171</x:f>
        <x:v>Centro Sur</x:v>
      </x:c>
      <x:c r="C171" s="45" t="str">
        <x:f>'Ubicaciones'!B171</x:f>
        <x:v>Moni Morales</x:v>
      </x:c>
      <x:c r="D171" s="45" t="str">
        <x:f>IF(COUNTIFS('Catalogos'!$A$2:$A$41,B171,'Catalogos'!$B$2:$B$41,C171)&gt;0,"Correcta","Revisar Región DM")</x:f>
        <x:v>Correcta</x:v>
      </x:c>
      <x:c r="E171" s="45" t="str">
        <x:f>IF(COUNTIFS('Ubicaciones'!$C$2:$C$10001,A171)=1,"Único","Duplicado")</x:f>
        <x:v>Único</x:v>
      </x:c>
      <x:c r="F171" s="45" t="str">
        <x:f>IF('Ubicaciones'!T171=1,"Ubicable",IF('Ubicaciones'!E171&lt;&gt;"Abierta","Fuera por estatus","Coordenadas pendientes"))</x:f>
        <x:v>Ubicable</x:v>
      </x:c>
    </x:row>
    <x:row r="172" ht="23" customHeight="1">
      <x:c r="A172" s="45" t="str">
        <x:f>'Ubicaciones'!C172</x:f>
        <x:v>38684</x:v>
      </x:c>
      <x:c r="B172" s="45" t="str">
        <x:f>'Ubicaciones'!A172</x:f>
        <x:v>Centro Sur</x:v>
      </x:c>
      <x:c r="C172" s="45" t="str">
        <x:f>'Ubicaciones'!B172</x:f>
        <x:v>Moni Morales</x:v>
      </x:c>
      <x:c r="D172" s="45" t="str">
        <x:f>IF(COUNTIFS('Catalogos'!$A$2:$A$41,B172,'Catalogos'!$B$2:$B$41,C172)&gt;0,"Correcta","Revisar Región DM")</x:f>
        <x:v>Correcta</x:v>
      </x:c>
      <x:c r="E172" s="45" t="str">
        <x:f>IF(COUNTIFS('Ubicaciones'!$C$2:$C$10001,A172)=1,"Único","Duplicado")</x:f>
        <x:v>Único</x:v>
      </x:c>
      <x:c r="F172" s="45" t="str">
        <x:f>IF('Ubicaciones'!T172=1,"Ubicable",IF('Ubicaciones'!E172&lt;&gt;"Abierta","Fuera por estatus","Coordenadas pendientes"))</x:f>
        <x:v>Ubicable</x:v>
      </x:c>
    </x:row>
    <x:row r="173" ht="23" customHeight="1">
      <x:c r="A173" s="45" t="str">
        <x:f>'Ubicaciones'!C173</x:f>
        <x:v>38716</x:v>
      </x:c>
      <x:c r="B173" s="45" t="str">
        <x:f>'Ubicaciones'!A173</x:f>
        <x:v>Centro Sur</x:v>
      </x:c>
      <x:c r="C173" s="45" t="str">
        <x:f>'Ubicaciones'!B173</x:f>
        <x:v>Moni Morales</x:v>
      </x:c>
      <x:c r="D173" s="45" t="str">
        <x:f>IF(COUNTIFS('Catalogos'!$A$2:$A$41,B173,'Catalogos'!$B$2:$B$41,C173)&gt;0,"Correcta","Revisar Región DM")</x:f>
        <x:v>Correcta</x:v>
      </x:c>
      <x:c r="E173" s="45" t="str">
        <x:f>IF(COUNTIFS('Ubicaciones'!$C$2:$C$10001,A173)=1,"Único","Duplicado")</x:f>
        <x:v>Único</x:v>
      </x:c>
      <x:c r="F173" s="45" t="str">
        <x:f>IF('Ubicaciones'!T173=1,"Ubicable",IF('Ubicaciones'!E173&lt;&gt;"Abierta","Fuera por estatus","Coordenadas pendientes"))</x:f>
        <x:v>Ubicable</x:v>
      </x:c>
    </x:row>
    <x:row r="174" ht="23" customHeight="1">
      <x:c r="A174" s="45" t="str">
        <x:f>'Ubicaciones'!C174</x:f>
        <x:v>38718</x:v>
      </x:c>
      <x:c r="B174" s="45" t="str">
        <x:f>'Ubicaciones'!A174</x:f>
        <x:v>Centro Sur</x:v>
      </x:c>
      <x:c r="C174" s="45" t="str">
        <x:f>'Ubicaciones'!B174</x:f>
        <x:v>Moni Morales</x:v>
      </x:c>
      <x:c r="D174" s="45" t="str">
        <x:f>IF(COUNTIFS('Catalogos'!$A$2:$A$41,B174,'Catalogos'!$B$2:$B$41,C174)&gt;0,"Correcta","Revisar Región DM")</x:f>
        <x:v>Correcta</x:v>
      </x:c>
      <x:c r="E174" s="45" t="str">
        <x:f>IF(COUNTIFS('Ubicaciones'!$C$2:$C$10001,A174)=1,"Único","Duplicado")</x:f>
        <x:v>Único</x:v>
      </x:c>
      <x:c r="F174" s="45" t="str">
        <x:f>IF('Ubicaciones'!T174=1,"Ubicable",IF('Ubicaciones'!E174&lt;&gt;"Abierta","Fuera por estatus","Coordenadas pendientes"))</x:f>
        <x:v>Ubicable</x:v>
      </x:c>
    </x:row>
    <x:row r="175" ht="23" customHeight="1">
      <x:c r="A175" s="45" t="str">
        <x:f>'Ubicaciones'!C175</x:f>
        <x:v>38996</x:v>
      </x:c>
      <x:c r="B175" s="45" t="str">
        <x:f>'Ubicaciones'!A175</x:f>
        <x:v>Centro Sur</x:v>
      </x:c>
      <x:c r="C175" s="45" t="str">
        <x:f>'Ubicaciones'!B175</x:f>
        <x:v>Moni Morales</x:v>
      </x:c>
      <x:c r="D175" s="45" t="str">
        <x:f>IF(COUNTIFS('Catalogos'!$A$2:$A$41,B175,'Catalogos'!$B$2:$B$41,C175)&gt;0,"Correcta","Revisar Región DM")</x:f>
        <x:v>Correcta</x:v>
      </x:c>
      <x:c r="E175" s="45" t="str">
        <x:f>IF(COUNTIFS('Ubicaciones'!$C$2:$C$10001,A175)=1,"Único","Duplicado")</x:f>
        <x:v>Único</x:v>
      </x:c>
      <x:c r="F175" s="45" t="str">
        <x:f>IF('Ubicaciones'!T175=1,"Ubicable",IF('Ubicaciones'!E175&lt;&gt;"Abierta","Fuera por estatus","Coordenadas pendientes"))</x:f>
        <x:v>Ubicable</x:v>
      </x:c>
    </x:row>
    <x:row r="176" ht="23" customHeight="1">
      <x:c r="A176" s="45" t="str">
        <x:f>'Ubicaciones'!C176</x:f>
        <x:v>43034</x:v>
      </x:c>
      <x:c r="B176" s="45" t="str">
        <x:f>'Ubicaciones'!A176</x:f>
        <x:v>Centro Sur</x:v>
      </x:c>
      <x:c r="C176" s="45" t="str">
        <x:f>'Ubicaciones'!B176</x:f>
        <x:v>Moni Morales</x:v>
      </x:c>
      <x:c r="D176" s="45" t="str">
        <x:f>IF(COUNTIFS('Catalogos'!$A$2:$A$41,B176,'Catalogos'!$B$2:$B$41,C176)&gt;0,"Correcta","Revisar Región DM")</x:f>
        <x:v>Correcta</x:v>
      </x:c>
      <x:c r="E176" s="45" t="str">
        <x:f>IF(COUNTIFS('Ubicaciones'!$C$2:$C$10001,A176)=1,"Único","Duplicado")</x:f>
        <x:v>Único</x:v>
      </x:c>
      <x:c r="F176" s="45" t="str">
        <x:f>IF('Ubicaciones'!T176=1,"Ubicable",IF('Ubicaciones'!E176&lt;&gt;"Abierta","Fuera por estatus","Coordenadas pendientes"))</x:f>
        <x:v>Ubicable</x:v>
      </x:c>
    </x:row>
    <x:row r="177" ht="23" customHeight="1">
      <x:c r="A177" s="45" t="str">
        <x:f>'Ubicaciones'!C177</x:f>
        <x:v>43164</x:v>
      </x:c>
      <x:c r="B177" s="45" t="str">
        <x:f>'Ubicaciones'!A177</x:f>
        <x:v>Centro Sur</x:v>
      </x:c>
      <x:c r="C177" s="45" t="str">
        <x:f>'Ubicaciones'!B177</x:f>
        <x:v>Moni Morales</x:v>
      </x:c>
      <x:c r="D177" s="45" t="str">
        <x:f>IF(COUNTIFS('Catalogos'!$A$2:$A$41,B177,'Catalogos'!$B$2:$B$41,C177)&gt;0,"Correcta","Revisar Región DM")</x:f>
        <x:v>Correcta</x:v>
      </x:c>
      <x:c r="E177" s="45" t="str">
        <x:f>IF(COUNTIFS('Ubicaciones'!$C$2:$C$10001,A177)=1,"Único","Duplicado")</x:f>
        <x:v>Único</x:v>
      </x:c>
      <x:c r="F177" s="45" t="str">
        <x:f>IF('Ubicaciones'!T177=1,"Ubicable",IF('Ubicaciones'!E177&lt;&gt;"Abierta","Fuera por estatus","Coordenadas pendientes"))</x:f>
        <x:v>Ubicable</x:v>
      </x:c>
    </x:row>
    <x:row r="178" ht="23" customHeight="1">
      <x:c r="A178" s="45" t="str">
        <x:f>'Ubicaciones'!C178</x:f>
        <x:v>43183</x:v>
      </x:c>
      <x:c r="B178" s="45" t="str">
        <x:f>'Ubicaciones'!A178</x:f>
        <x:v>Centro Sur</x:v>
      </x:c>
      <x:c r="C178" s="45" t="str">
        <x:f>'Ubicaciones'!B178</x:f>
        <x:v>Moni Morales</x:v>
      </x:c>
      <x:c r="D178" s="45" t="str">
        <x:f>IF(COUNTIFS('Catalogos'!$A$2:$A$41,B178,'Catalogos'!$B$2:$B$41,C178)&gt;0,"Correcta","Revisar Región DM")</x:f>
        <x:v>Correcta</x:v>
      </x:c>
      <x:c r="E178" s="45" t="str">
        <x:f>IF(COUNTIFS('Ubicaciones'!$C$2:$C$10001,A178)=1,"Único","Duplicado")</x:f>
        <x:v>Único</x:v>
      </x:c>
      <x:c r="F178" s="45" t="str">
        <x:f>IF('Ubicaciones'!T178=1,"Ubicable",IF('Ubicaciones'!E178&lt;&gt;"Abierta","Fuera por estatus","Coordenadas pendientes"))</x:f>
        <x:v>Ubicable</x:v>
      </x:c>
    </x:row>
    <x:row r="179" ht="23" customHeight="1">
      <x:c r="A179" s="45" t="str">
        <x:f>'Ubicaciones'!C179</x:f>
        <x:v>38140</x:v>
      </x:c>
      <x:c r="B179" s="45" t="str">
        <x:f>'Ubicaciones'!A179</x:f>
        <x:v>Centro Sur</x:v>
      </x:c>
      <x:c r="C179" s="45" t="str">
        <x:f>'Ubicaciones'!B179</x:f>
        <x:v>Sin asignación</x:v>
      </x:c>
      <x:c r="D179" s="45" t="str">
        <x:f>IF(COUNTIFS('Catalogos'!$A$2:$A$41,B179,'Catalogos'!$B$2:$B$41,C179)&gt;0,"Correcta","Revisar Región DM")</x:f>
        <x:v>Correcta</x:v>
      </x:c>
      <x:c r="E179" s="45" t="str">
        <x:f>IF(COUNTIFS('Ubicaciones'!$C$2:$C$10001,A179)=1,"Único","Duplicado")</x:f>
        <x:v>Único</x:v>
      </x:c>
      <x:c r="F179" s="45" t="str">
        <x:f>IF('Ubicaciones'!T179=1,"Ubicable",IF('Ubicaciones'!E179&lt;&gt;"Abierta","Fuera por estatus","Coordenadas pendientes"))</x:f>
        <x:v>Fuera por estatus</x:v>
      </x:c>
    </x:row>
    <x:row r="180" ht="23" customHeight="1">
      <x:c r="A180" s="45" t="str">
        <x:f>'Ubicaciones'!C180</x:f>
        <x:v>38856</x:v>
      </x:c>
      <x:c r="B180" s="45" t="str">
        <x:f>'Ubicaciones'!A180</x:f>
        <x:v>Centro Sur</x:v>
      </x:c>
      <x:c r="C180" s="45" t="str">
        <x:f>'Ubicaciones'!B180</x:f>
        <x:v>Sin asignación</x:v>
      </x:c>
      <x:c r="D180" s="45" t="str">
        <x:f>IF(COUNTIFS('Catalogos'!$A$2:$A$41,B180,'Catalogos'!$B$2:$B$41,C180)&gt;0,"Correcta","Revisar Región DM")</x:f>
        <x:v>Correcta</x:v>
      </x:c>
      <x:c r="E180" s="45" t="str">
        <x:f>IF(COUNTIFS('Ubicaciones'!$C$2:$C$10001,A180)=1,"Único","Duplicado")</x:f>
        <x:v>Único</x:v>
      </x:c>
      <x:c r="F180" s="45" t="str">
        <x:f>IF('Ubicaciones'!T180=1,"Ubicable",IF('Ubicaciones'!E180&lt;&gt;"Abierta","Fuera por estatus","Coordenadas pendientes"))</x:f>
        <x:v>Fuera por estatus</x:v>
      </x:c>
    </x:row>
    <x:row r="181" ht="23" customHeight="1">
      <x:c r="A181" s="45" t="str">
        <x:f>'Ubicaciones'!C181</x:f>
        <x:v>38103</x:v>
      </x:c>
      <x:c r="B181" s="45" t="str">
        <x:f>'Ubicaciones'!A181</x:f>
        <x:v>Centro Poniente</x:v>
      </x:c>
      <x:c r="C181" s="45" t="str">
        <x:f>'Ubicaciones'!B181</x:f>
        <x:v>Adriana Alejandra Tanus Buhler</x:v>
      </x:c>
      <x:c r="D181" s="45" t="str">
        <x:f>IF(COUNTIFS('Catalogos'!$A$2:$A$41,B181,'Catalogos'!$B$2:$B$41,C181)&gt;0,"Correcta","Revisar Región DM")</x:f>
        <x:v>Correcta</x:v>
      </x:c>
      <x:c r="E181" s="45" t="str">
        <x:f>IF(COUNTIFS('Ubicaciones'!$C$2:$C$10001,A181)=1,"Único","Duplicado")</x:f>
        <x:v>Único</x:v>
      </x:c>
      <x:c r="F181" s="45" t="str">
        <x:f>IF('Ubicaciones'!T181=1,"Ubicable",IF('Ubicaciones'!E181&lt;&gt;"Abierta","Fuera por estatus","Coordenadas pendientes"))</x:f>
        <x:v>Ubicable</x:v>
      </x:c>
    </x:row>
    <x:row r="182" ht="23" customHeight="1">
      <x:c r="A182" s="45" t="str">
        <x:f>'Ubicaciones'!C182</x:f>
        <x:v>38104</x:v>
      </x:c>
      <x:c r="B182" s="45" t="str">
        <x:f>'Ubicaciones'!A182</x:f>
        <x:v>Centro Poniente</x:v>
      </x:c>
      <x:c r="C182" s="45" t="str">
        <x:f>'Ubicaciones'!B182</x:f>
        <x:v>Adriana Alejandra Tanus Buhler</x:v>
      </x:c>
      <x:c r="D182" s="45" t="str">
        <x:f>IF(COUNTIFS('Catalogos'!$A$2:$A$41,B182,'Catalogos'!$B$2:$B$41,C182)&gt;0,"Correcta","Revisar Región DM")</x:f>
        <x:v>Correcta</x:v>
      </x:c>
      <x:c r="E182" s="45" t="str">
        <x:f>IF(COUNTIFS('Ubicaciones'!$C$2:$C$10001,A182)=1,"Único","Duplicado")</x:f>
        <x:v>Único</x:v>
      </x:c>
      <x:c r="F182" s="45" t="str">
        <x:f>IF('Ubicaciones'!T182=1,"Ubicable",IF('Ubicaciones'!E182&lt;&gt;"Abierta","Fuera por estatus","Coordenadas pendientes"))</x:f>
        <x:v>Fuera por estatus</x:v>
      </x:c>
    </x:row>
    <x:row r="183" ht="23" customHeight="1">
      <x:c r="A183" s="45" t="str">
        <x:f>'Ubicaciones'!C183</x:f>
        <x:v>38106</x:v>
      </x:c>
      <x:c r="B183" s="45" t="str">
        <x:f>'Ubicaciones'!A183</x:f>
        <x:v>Centro Poniente</x:v>
      </x:c>
      <x:c r="C183" s="45" t="str">
        <x:f>'Ubicaciones'!B183</x:f>
        <x:v>Adriana Alejandra Tanus Buhler</x:v>
      </x:c>
      <x:c r="D183" s="45" t="str">
        <x:f>IF(COUNTIFS('Catalogos'!$A$2:$A$41,B183,'Catalogos'!$B$2:$B$41,C183)&gt;0,"Correcta","Revisar Región DM")</x:f>
        <x:v>Correcta</x:v>
      </x:c>
      <x:c r="E183" s="45" t="str">
        <x:f>IF(COUNTIFS('Ubicaciones'!$C$2:$C$10001,A183)=1,"Único","Duplicado")</x:f>
        <x:v>Único</x:v>
      </x:c>
      <x:c r="F183" s="45" t="str">
        <x:f>IF('Ubicaciones'!T183=1,"Ubicable",IF('Ubicaciones'!E183&lt;&gt;"Abierta","Fuera por estatus","Coordenadas pendientes"))</x:f>
        <x:v>Ubicable</x:v>
      </x:c>
    </x:row>
    <x:row r="184" ht="23" customHeight="1">
      <x:c r="A184" s="45" t="str">
        <x:f>'Ubicaciones'!C184</x:f>
        <x:v>38112</x:v>
      </x:c>
      <x:c r="B184" s="45" t="str">
        <x:f>'Ubicaciones'!A184</x:f>
        <x:v>Centro Poniente</x:v>
      </x:c>
      <x:c r="C184" s="45" t="str">
        <x:f>'Ubicaciones'!B184</x:f>
        <x:v>Adriana Alejandra Tanus Buhler</x:v>
      </x:c>
      <x:c r="D184" s="45" t="str">
        <x:f>IF(COUNTIFS('Catalogos'!$A$2:$A$41,B184,'Catalogos'!$B$2:$B$41,C184)&gt;0,"Correcta","Revisar Región DM")</x:f>
        <x:v>Correcta</x:v>
      </x:c>
      <x:c r="E184" s="45" t="str">
        <x:f>IF(COUNTIFS('Ubicaciones'!$C$2:$C$10001,A184)=1,"Único","Duplicado")</x:f>
        <x:v>Único</x:v>
      </x:c>
      <x:c r="F184" s="45" t="str">
        <x:f>IF('Ubicaciones'!T184=1,"Ubicable",IF('Ubicaciones'!E184&lt;&gt;"Abierta","Fuera por estatus","Coordenadas pendientes"))</x:f>
        <x:v>Ubicable</x:v>
      </x:c>
    </x:row>
    <x:row r="185" ht="23" customHeight="1">
      <x:c r="A185" s="45" t="str">
        <x:f>'Ubicaciones'!C185</x:f>
        <x:v>38188</x:v>
      </x:c>
      <x:c r="B185" s="45" t="str">
        <x:f>'Ubicaciones'!A185</x:f>
        <x:v>Centro Poniente</x:v>
      </x:c>
      <x:c r="C185" s="45" t="str">
        <x:f>'Ubicaciones'!B185</x:f>
        <x:v>Adriana Alejandra Tanus Buhler</x:v>
      </x:c>
      <x:c r="D185" s="45" t="str">
        <x:f>IF(COUNTIFS('Catalogos'!$A$2:$A$41,B185,'Catalogos'!$B$2:$B$41,C185)&gt;0,"Correcta","Revisar Región DM")</x:f>
        <x:v>Correcta</x:v>
      </x:c>
      <x:c r="E185" s="45" t="str">
        <x:f>IF(COUNTIFS('Ubicaciones'!$C$2:$C$10001,A185)=1,"Único","Duplicado")</x:f>
        <x:v>Único</x:v>
      </x:c>
      <x:c r="F185" s="45" t="str">
        <x:f>IF('Ubicaciones'!T185=1,"Ubicable",IF('Ubicaciones'!E185&lt;&gt;"Abierta","Fuera por estatus","Coordenadas pendientes"))</x:f>
        <x:v>Ubicable</x:v>
      </x:c>
    </x:row>
    <x:row r="186" ht="23" customHeight="1">
      <x:c r="A186" s="45" t="str">
        <x:f>'Ubicaciones'!C186</x:f>
        <x:v>38227</x:v>
      </x:c>
      <x:c r="B186" s="45" t="str">
        <x:f>'Ubicaciones'!A186</x:f>
        <x:v>Centro Poniente</x:v>
      </x:c>
      <x:c r="C186" s="45" t="str">
        <x:f>'Ubicaciones'!B186</x:f>
        <x:v>Adriana Alejandra Tanus Buhler</x:v>
      </x:c>
      <x:c r="D186" s="45" t="str">
        <x:f>IF(COUNTIFS('Catalogos'!$A$2:$A$41,B186,'Catalogos'!$B$2:$B$41,C186)&gt;0,"Correcta","Revisar Región DM")</x:f>
        <x:v>Correcta</x:v>
      </x:c>
      <x:c r="E186" s="45" t="str">
        <x:f>IF(COUNTIFS('Ubicaciones'!$C$2:$C$10001,A186)=1,"Único","Duplicado")</x:f>
        <x:v>Único</x:v>
      </x:c>
      <x:c r="F186" s="45" t="str">
        <x:f>IF('Ubicaciones'!T186=1,"Ubicable",IF('Ubicaciones'!E186&lt;&gt;"Abierta","Fuera por estatus","Coordenadas pendientes"))</x:f>
        <x:v>Ubicable</x:v>
      </x:c>
    </x:row>
    <x:row r="187" ht="23" customHeight="1">
      <x:c r="A187" s="45" t="str">
        <x:f>'Ubicaciones'!C187</x:f>
        <x:v>38617</x:v>
      </x:c>
      <x:c r="B187" s="45" t="str">
        <x:f>'Ubicaciones'!A187</x:f>
        <x:v>Centro Poniente</x:v>
      </x:c>
      <x:c r="C187" s="45" t="str">
        <x:f>'Ubicaciones'!B187</x:f>
        <x:v>Adriana Alejandra Tanus Buhler</x:v>
      </x:c>
      <x:c r="D187" s="45" t="str">
        <x:f>IF(COUNTIFS('Catalogos'!$A$2:$A$41,B187,'Catalogos'!$B$2:$B$41,C187)&gt;0,"Correcta","Revisar Región DM")</x:f>
        <x:v>Correcta</x:v>
      </x:c>
      <x:c r="E187" s="45" t="str">
        <x:f>IF(COUNTIFS('Ubicaciones'!$C$2:$C$10001,A187)=1,"Único","Duplicado")</x:f>
        <x:v>Único</x:v>
      </x:c>
      <x:c r="F187" s="45" t="str">
        <x:f>IF('Ubicaciones'!T187=1,"Ubicable",IF('Ubicaciones'!E187&lt;&gt;"Abierta","Fuera por estatus","Coordenadas pendientes"))</x:f>
        <x:v>Ubicable</x:v>
      </x:c>
    </x:row>
    <x:row r="188" ht="23" customHeight="1">
      <x:c r="A188" s="45" t="str">
        <x:f>'Ubicaciones'!C188</x:f>
        <x:v>38646</x:v>
      </x:c>
      <x:c r="B188" s="45" t="str">
        <x:f>'Ubicaciones'!A188</x:f>
        <x:v>Centro Poniente</x:v>
      </x:c>
      <x:c r="C188" s="45" t="str">
        <x:f>'Ubicaciones'!B188</x:f>
        <x:v>Adriana Alejandra Tanus Buhler</x:v>
      </x:c>
      <x:c r="D188" s="45" t="str">
        <x:f>IF(COUNTIFS('Catalogos'!$A$2:$A$41,B188,'Catalogos'!$B$2:$B$41,C188)&gt;0,"Correcta","Revisar Región DM")</x:f>
        <x:v>Correcta</x:v>
      </x:c>
      <x:c r="E188" s="45" t="str">
        <x:f>IF(COUNTIFS('Ubicaciones'!$C$2:$C$10001,A188)=1,"Único","Duplicado")</x:f>
        <x:v>Único</x:v>
      </x:c>
      <x:c r="F188" s="45" t="str">
        <x:f>IF('Ubicaciones'!T188=1,"Ubicable",IF('Ubicaciones'!E188&lt;&gt;"Abierta","Fuera por estatus","Coordenadas pendientes"))</x:f>
        <x:v>Ubicable</x:v>
      </x:c>
    </x:row>
    <x:row r="189" ht="23" customHeight="1">
      <x:c r="A189" s="45" t="str">
        <x:f>'Ubicaciones'!C189</x:f>
        <x:v>38692</x:v>
      </x:c>
      <x:c r="B189" s="45" t="str">
        <x:f>'Ubicaciones'!A189</x:f>
        <x:v>Centro Poniente</x:v>
      </x:c>
      <x:c r="C189" s="45" t="str">
        <x:f>'Ubicaciones'!B189</x:f>
        <x:v>Adriana Alejandra Tanus Buhler</x:v>
      </x:c>
      <x:c r="D189" s="45" t="str">
        <x:f>IF(COUNTIFS('Catalogos'!$A$2:$A$41,B189,'Catalogos'!$B$2:$B$41,C189)&gt;0,"Correcta","Revisar Región DM")</x:f>
        <x:v>Correcta</x:v>
      </x:c>
      <x:c r="E189" s="45" t="str">
        <x:f>IF(COUNTIFS('Ubicaciones'!$C$2:$C$10001,A189)=1,"Único","Duplicado")</x:f>
        <x:v>Único</x:v>
      </x:c>
      <x:c r="F189" s="45" t="str">
        <x:f>IF('Ubicaciones'!T189=1,"Ubicable",IF('Ubicaciones'!E189&lt;&gt;"Abierta","Fuera por estatus","Coordenadas pendientes"))</x:f>
        <x:v>Ubicable</x:v>
      </x:c>
    </x:row>
    <x:row r="190" ht="23" customHeight="1">
      <x:c r="A190" s="45" t="str">
        <x:f>'Ubicaciones'!C190</x:f>
        <x:v>38730</x:v>
      </x:c>
      <x:c r="B190" s="45" t="str">
        <x:f>'Ubicaciones'!A190</x:f>
        <x:v>Centro Poniente</x:v>
      </x:c>
      <x:c r="C190" s="45" t="str">
        <x:f>'Ubicaciones'!B190</x:f>
        <x:v>Adriana Alejandra Tanus Buhler</x:v>
      </x:c>
      <x:c r="D190" s="45" t="str">
        <x:f>IF(COUNTIFS('Catalogos'!$A$2:$A$41,B190,'Catalogos'!$B$2:$B$41,C190)&gt;0,"Correcta","Revisar Región DM")</x:f>
        <x:v>Correcta</x:v>
      </x:c>
      <x:c r="E190" s="45" t="str">
        <x:f>IF(COUNTIFS('Ubicaciones'!$C$2:$C$10001,A190)=1,"Único","Duplicado")</x:f>
        <x:v>Único</x:v>
      </x:c>
      <x:c r="F190" s="45" t="str">
        <x:f>IF('Ubicaciones'!T190=1,"Ubicable",IF('Ubicaciones'!E190&lt;&gt;"Abierta","Fuera por estatus","Coordenadas pendientes"))</x:f>
        <x:v>Ubicable</x:v>
      </x:c>
    </x:row>
    <x:row r="191" ht="23" customHeight="1">
      <x:c r="A191" s="45" t="str">
        <x:f>'Ubicaciones'!C191</x:f>
        <x:v>38746</x:v>
      </x:c>
      <x:c r="B191" s="45" t="str">
        <x:f>'Ubicaciones'!A191</x:f>
        <x:v>Centro Poniente</x:v>
      </x:c>
      <x:c r="C191" s="45" t="str">
        <x:f>'Ubicaciones'!B191</x:f>
        <x:v>Adriana Alejandra Tanus Buhler</x:v>
      </x:c>
      <x:c r="D191" s="45" t="str">
        <x:f>IF(COUNTIFS('Catalogos'!$A$2:$A$41,B191,'Catalogos'!$B$2:$B$41,C191)&gt;0,"Correcta","Revisar Región DM")</x:f>
        <x:v>Correcta</x:v>
      </x:c>
      <x:c r="E191" s="45" t="str">
        <x:f>IF(COUNTIFS('Ubicaciones'!$C$2:$C$10001,A191)=1,"Único","Duplicado")</x:f>
        <x:v>Único</x:v>
      </x:c>
      <x:c r="F191" s="45" t="str">
        <x:f>IF('Ubicaciones'!T191=1,"Ubicable",IF('Ubicaciones'!E191&lt;&gt;"Abierta","Fuera por estatus","Coordenadas pendientes"))</x:f>
        <x:v>Ubicable</x:v>
      </x:c>
    </x:row>
    <x:row r="192" ht="23" customHeight="1">
      <x:c r="A192" s="45" t="str">
        <x:f>'Ubicaciones'!C192</x:f>
        <x:v>38954</x:v>
      </x:c>
      <x:c r="B192" s="45" t="str">
        <x:f>'Ubicaciones'!A192</x:f>
        <x:v>Centro Poniente</x:v>
      </x:c>
      <x:c r="C192" s="45" t="str">
        <x:f>'Ubicaciones'!B192</x:f>
        <x:v>Adriana Alejandra Tanus Buhler</x:v>
      </x:c>
      <x:c r="D192" s="45" t="str">
        <x:f>IF(COUNTIFS('Catalogos'!$A$2:$A$41,B192,'Catalogos'!$B$2:$B$41,C192)&gt;0,"Correcta","Revisar Región DM")</x:f>
        <x:v>Correcta</x:v>
      </x:c>
      <x:c r="E192" s="45" t="str">
        <x:f>IF(COUNTIFS('Ubicaciones'!$C$2:$C$10001,A192)=1,"Único","Duplicado")</x:f>
        <x:v>Único</x:v>
      </x:c>
      <x:c r="F192" s="45" t="str">
        <x:f>IF('Ubicaciones'!T192=1,"Ubicable",IF('Ubicaciones'!E192&lt;&gt;"Abierta","Fuera por estatus","Coordenadas pendientes"))</x:f>
        <x:v>Ubicable</x:v>
      </x:c>
    </x:row>
    <x:row r="193" ht="23" customHeight="1">
      <x:c r="A193" s="45" t="str">
        <x:f>'Ubicaciones'!C193</x:f>
        <x:v>43142</x:v>
      </x:c>
      <x:c r="B193" s="45" t="str">
        <x:f>'Ubicaciones'!A193</x:f>
        <x:v>Centro Poniente</x:v>
      </x:c>
      <x:c r="C193" s="45" t="str">
        <x:f>'Ubicaciones'!B193</x:f>
        <x:v>Adriana Alejandra Tanus Buhler</x:v>
      </x:c>
      <x:c r="D193" s="45" t="str">
        <x:f>IF(COUNTIFS('Catalogos'!$A$2:$A$41,B193,'Catalogos'!$B$2:$B$41,C193)&gt;0,"Correcta","Revisar Región DM")</x:f>
        <x:v>Correcta</x:v>
      </x:c>
      <x:c r="E193" s="45" t="str">
        <x:f>IF(COUNTIFS('Ubicaciones'!$C$2:$C$10001,A193)=1,"Único","Duplicado")</x:f>
        <x:v>Único</x:v>
      </x:c>
      <x:c r="F193" s="45" t="str">
        <x:f>IF('Ubicaciones'!T193=1,"Ubicable",IF('Ubicaciones'!E193&lt;&gt;"Abierta","Fuera por estatus","Coordenadas pendientes"))</x:f>
        <x:v>Ubicable</x:v>
      </x:c>
    </x:row>
    <x:row r="194" ht="23" customHeight="1">
      <x:c r="A194" s="45" t="str">
        <x:f>'Ubicaciones'!C194</x:f>
        <x:v>38233</x:v>
      </x:c>
      <x:c r="B194" s="45" t="str">
        <x:f>'Ubicaciones'!A194</x:f>
        <x:v>Centro Poniente</x:v>
      </x:c>
      <x:c r="C194" s="45" t="str">
        <x:f>'Ubicaciones'!B194</x:f>
        <x:v>Andrea Nava Guzman</x:v>
      </x:c>
      <x:c r="D194" s="45" t="str">
        <x:f>IF(COUNTIFS('Catalogos'!$A$2:$A$41,B194,'Catalogos'!$B$2:$B$41,C194)&gt;0,"Correcta","Revisar Región DM")</x:f>
        <x:v>Correcta</x:v>
      </x:c>
      <x:c r="E194" s="45" t="str">
        <x:f>IF(COUNTIFS('Ubicaciones'!$C$2:$C$10001,A194)=1,"Único","Duplicado")</x:f>
        <x:v>Único</x:v>
      </x:c>
      <x:c r="F194" s="45" t="str">
        <x:f>IF('Ubicaciones'!T194=1,"Ubicable",IF('Ubicaciones'!E194&lt;&gt;"Abierta","Fuera por estatus","Coordenadas pendientes"))</x:f>
        <x:v>Ubicable</x:v>
      </x:c>
    </x:row>
    <x:row r="195" ht="23" customHeight="1">
      <x:c r="A195" s="45" t="str">
        <x:f>'Ubicaciones'!C195</x:f>
        <x:v>38578</x:v>
      </x:c>
      <x:c r="B195" s="45" t="str">
        <x:f>'Ubicaciones'!A195</x:f>
        <x:v>Centro Poniente</x:v>
      </x:c>
      <x:c r="C195" s="45" t="str">
        <x:f>'Ubicaciones'!B195</x:f>
        <x:v>Andrea Nava Guzman</x:v>
      </x:c>
      <x:c r="D195" s="45" t="str">
        <x:f>IF(COUNTIFS('Catalogos'!$A$2:$A$41,B195,'Catalogos'!$B$2:$B$41,C195)&gt;0,"Correcta","Revisar Región DM")</x:f>
        <x:v>Correcta</x:v>
      </x:c>
      <x:c r="E195" s="45" t="str">
        <x:f>IF(COUNTIFS('Ubicaciones'!$C$2:$C$10001,A195)=1,"Único","Duplicado")</x:f>
        <x:v>Único</x:v>
      </x:c>
      <x:c r="F195" s="45" t="str">
        <x:f>IF('Ubicaciones'!T195=1,"Ubicable",IF('Ubicaciones'!E195&lt;&gt;"Abierta","Fuera por estatus","Coordenadas pendientes"))</x:f>
        <x:v>Ubicable</x:v>
      </x:c>
    </x:row>
    <x:row r="196" ht="23" customHeight="1">
      <x:c r="A196" s="45" t="str">
        <x:f>'Ubicaciones'!C196</x:f>
        <x:v>38769</x:v>
      </x:c>
      <x:c r="B196" s="45" t="str">
        <x:f>'Ubicaciones'!A196</x:f>
        <x:v>Centro Poniente</x:v>
      </x:c>
      <x:c r="C196" s="45" t="str">
        <x:f>'Ubicaciones'!B196</x:f>
        <x:v>Andrea Nava Guzman</x:v>
      </x:c>
      <x:c r="D196" s="45" t="str">
        <x:f>IF(COUNTIFS('Catalogos'!$A$2:$A$41,B196,'Catalogos'!$B$2:$B$41,C196)&gt;0,"Correcta","Revisar Región DM")</x:f>
        <x:v>Correcta</x:v>
      </x:c>
      <x:c r="E196" s="45" t="str">
        <x:f>IF(COUNTIFS('Ubicaciones'!$C$2:$C$10001,A196)=1,"Único","Duplicado")</x:f>
        <x:v>Único</x:v>
      </x:c>
      <x:c r="F196" s="45" t="str">
        <x:f>IF('Ubicaciones'!T196=1,"Ubicable",IF('Ubicaciones'!E196&lt;&gt;"Abierta","Fuera por estatus","Coordenadas pendientes"))</x:f>
        <x:v>Ubicable</x:v>
      </x:c>
    </x:row>
    <x:row r="197" ht="23" customHeight="1">
      <x:c r="A197" s="45" t="str">
        <x:f>'Ubicaciones'!C197</x:f>
        <x:v>38829</x:v>
      </x:c>
      <x:c r="B197" s="45" t="str">
        <x:f>'Ubicaciones'!A197</x:f>
        <x:v>Centro Poniente</x:v>
      </x:c>
      <x:c r="C197" s="45" t="str">
        <x:f>'Ubicaciones'!B197</x:f>
        <x:v>Andrea Nava Guzman</x:v>
      </x:c>
      <x:c r="D197" s="45" t="str">
        <x:f>IF(COUNTIFS('Catalogos'!$A$2:$A$41,B197,'Catalogos'!$B$2:$B$41,C197)&gt;0,"Correcta","Revisar Región DM")</x:f>
        <x:v>Correcta</x:v>
      </x:c>
      <x:c r="E197" s="45" t="str">
        <x:f>IF(COUNTIFS('Ubicaciones'!$C$2:$C$10001,A197)=1,"Único","Duplicado")</x:f>
        <x:v>Único</x:v>
      </x:c>
      <x:c r="F197" s="45" t="str">
        <x:f>IF('Ubicaciones'!T197=1,"Ubicable",IF('Ubicaciones'!E197&lt;&gt;"Abierta","Fuera por estatus","Coordenadas pendientes"))</x:f>
        <x:v>Ubicable</x:v>
      </x:c>
    </x:row>
    <x:row r="198" ht="23" customHeight="1">
      <x:c r="A198" s="45" t="str">
        <x:f>'Ubicaciones'!C198</x:f>
        <x:v>38847</x:v>
      </x:c>
      <x:c r="B198" s="45" t="str">
        <x:f>'Ubicaciones'!A198</x:f>
        <x:v>Centro Poniente</x:v>
      </x:c>
      <x:c r="C198" s="45" t="str">
        <x:f>'Ubicaciones'!B198</x:f>
        <x:v>Andrea Nava Guzman</x:v>
      </x:c>
      <x:c r="D198" s="45" t="str">
        <x:f>IF(COUNTIFS('Catalogos'!$A$2:$A$41,B198,'Catalogos'!$B$2:$B$41,C198)&gt;0,"Correcta","Revisar Región DM")</x:f>
        <x:v>Correcta</x:v>
      </x:c>
      <x:c r="E198" s="45" t="str">
        <x:f>IF(COUNTIFS('Ubicaciones'!$C$2:$C$10001,A198)=1,"Único","Duplicado")</x:f>
        <x:v>Único</x:v>
      </x:c>
      <x:c r="F198" s="45" t="str">
        <x:f>IF('Ubicaciones'!T198=1,"Ubicable",IF('Ubicaciones'!E198&lt;&gt;"Abierta","Fuera por estatus","Coordenadas pendientes"))</x:f>
        <x:v>Ubicable</x:v>
      </x:c>
    </x:row>
    <x:row r="199" ht="23" customHeight="1">
      <x:c r="A199" s="45" t="str">
        <x:f>'Ubicaciones'!C199</x:f>
        <x:v>43011</x:v>
      </x:c>
      <x:c r="B199" s="45" t="str">
        <x:f>'Ubicaciones'!A199</x:f>
        <x:v>Centro Poniente</x:v>
      </x:c>
      <x:c r="C199" s="45" t="str">
        <x:f>'Ubicaciones'!B199</x:f>
        <x:v>Andrea Nava Guzman</x:v>
      </x:c>
      <x:c r="D199" s="45" t="str">
        <x:f>IF(COUNTIFS('Catalogos'!$A$2:$A$41,B199,'Catalogos'!$B$2:$B$41,C199)&gt;0,"Correcta","Revisar Región DM")</x:f>
        <x:v>Correcta</x:v>
      </x:c>
      <x:c r="E199" s="45" t="str">
        <x:f>IF(COUNTIFS('Ubicaciones'!$C$2:$C$10001,A199)=1,"Único","Duplicado")</x:f>
        <x:v>Único</x:v>
      </x:c>
      <x:c r="F199" s="45" t="str">
        <x:f>IF('Ubicaciones'!T199=1,"Ubicable",IF('Ubicaciones'!E199&lt;&gt;"Abierta","Fuera por estatus","Coordenadas pendientes"))</x:f>
        <x:v>Ubicable</x:v>
      </x:c>
    </x:row>
    <x:row r="200" ht="23" customHeight="1">
      <x:c r="A200" s="45" t="str">
        <x:f>'Ubicaciones'!C200</x:f>
        <x:v>43058</x:v>
      </x:c>
      <x:c r="B200" s="45" t="str">
        <x:f>'Ubicaciones'!A200</x:f>
        <x:v>Centro Poniente</x:v>
      </x:c>
      <x:c r="C200" s="45" t="str">
        <x:f>'Ubicaciones'!B200</x:f>
        <x:v>Andrea Nava Guzman</x:v>
      </x:c>
      <x:c r="D200" s="45" t="str">
        <x:f>IF(COUNTIFS('Catalogos'!$A$2:$A$41,B200,'Catalogos'!$B$2:$B$41,C200)&gt;0,"Correcta","Revisar Región DM")</x:f>
        <x:v>Correcta</x:v>
      </x:c>
      <x:c r="E200" s="45" t="str">
        <x:f>IF(COUNTIFS('Ubicaciones'!$C$2:$C$10001,A200)=1,"Único","Duplicado")</x:f>
        <x:v>Único</x:v>
      </x:c>
      <x:c r="F200" s="45" t="str">
        <x:f>IF('Ubicaciones'!T200=1,"Ubicable",IF('Ubicaciones'!E200&lt;&gt;"Abierta","Fuera por estatus","Coordenadas pendientes"))</x:f>
        <x:v>Ubicable</x:v>
      </x:c>
    </x:row>
    <x:row r="201" ht="23" customHeight="1">
      <x:c r="A201" s="45" t="str">
        <x:f>'Ubicaciones'!C201</x:f>
        <x:v>43147</x:v>
      </x:c>
      <x:c r="B201" s="45" t="str">
        <x:f>'Ubicaciones'!A201</x:f>
        <x:v>Centro Poniente</x:v>
      </x:c>
      <x:c r="C201" s="45" t="str">
        <x:f>'Ubicaciones'!B201</x:f>
        <x:v>Andrea Nava Guzman</x:v>
      </x:c>
      <x:c r="D201" s="45" t="str">
        <x:f>IF(COUNTIFS('Catalogos'!$A$2:$A$41,B201,'Catalogos'!$B$2:$B$41,C201)&gt;0,"Correcta","Revisar Región DM")</x:f>
        <x:v>Correcta</x:v>
      </x:c>
      <x:c r="E201" s="45" t="str">
        <x:f>IF(COUNTIFS('Ubicaciones'!$C$2:$C$10001,A201)=1,"Único","Duplicado")</x:f>
        <x:v>Único</x:v>
      </x:c>
      <x:c r="F201" s="45" t="str">
        <x:f>IF('Ubicaciones'!T201=1,"Ubicable",IF('Ubicaciones'!E201&lt;&gt;"Abierta","Fuera por estatus","Coordenadas pendientes"))</x:f>
        <x:v>Ubicable</x:v>
      </x:c>
    </x:row>
    <x:row r="202" ht="23" customHeight="1">
      <x:c r="A202" s="45" t="str">
        <x:f>'Ubicaciones'!C202</x:f>
        <x:v>38126</x:v>
      </x:c>
      <x:c r="B202" s="45" t="str">
        <x:f>'Ubicaciones'!A202</x:f>
        <x:v>Centro Poniente</x:v>
      </x:c>
      <x:c r="C202" s="45" t="str">
        <x:f>'Ubicaciones'!B202</x:f>
        <x:v>Areli Anahi Lazcano Lezama</x:v>
      </x:c>
      <x:c r="D202" s="45" t="str">
        <x:f>IF(COUNTIFS('Catalogos'!$A$2:$A$41,B202,'Catalogos'!$B$2:$B$41,C202)&gt;0,"Correcta","Revisar Región DM")</x:f>
        <x:v>Correcta</x:v>
      </x:c>
      <x:c r="E202" s="45" t="str">
        <x:f>IF(COUNTIFS('Ubicaciones'!$C$2:$C$10001,A202)=1,"Único","Duplicado")</x:f>
        <x:v>Único</x:v>
      </x:c>
      <x:c r="F202" s="45" t="str">
        <x:f>IF('Ubicaciones'!T202=1,"Ubicable",IF('Ubicaciones'!E202&lt;&gt;"Abierta","Fuera por estatus","Coordenadas pendientes"))</x:f>
        <x:v>Ubicable</x:v>
      </x:c>
    </x:row>
    <x:row r="203" ht="23" customHeight="1">
      <x:c r="A203" s="45" t="str">
        <x:f>'Ubicaciones'!C203</x:f>
        <x:v>38179</x:v>
      </x:c>
      <x:c r="B203" s="45" t="str">
        <x:f>'Ubicaciones'!A203</x:f>
        <x:v>Centro Poniente</x:v>
      </x:c>
      <x:c r="C203" s="45" t="str">
        <x:f>'Ubicaciones'!B203</x:f>
        <x:v>Areli Anahi Lazcano Lezama</x:v>
      </x:c>
      <x:c r="D203" s="45" t="str">
        <x:f>IF(COUNTIFS('Catalogos'!$A$2:$A$41,B203,'Catalogos'!$B$2:$B$41,C203)&gt;0,"Correcta","Revisar Región DM")</x:f>
        <x:v>Correcta</x:v>
      </x:c>
      <x:c r="E203" s="45" t="str">
        <x:f>IF(COUNTIFS('Ubicaciones'!$C$2:$C$10001,A203)=1,"Único","Duplicado")</x:f>
        <x:v>Único</x:v>
      </x:c>
      <x:c r="F203" s="45" t="str">
        <x:f>IF('Ubicaciones'!T203=1,"Ubicable",IF('Ubicaciones'!E203&lt;&gt;"Abierta","Fuera por estatus","Coordenadas pendientes"))</x:f>
        <x:v>Ubicable</x:v>
      </x:c>
    </x:row>
    <x:row r="204" ht="23" customHeight="1">
      <x:c r="A204" s="45" t="str">
        <x:f>'Ubicaciones'!C204</x:f>
        <x:v>38185</x:v>
      </x:c>
      <x:c r="B204" s="45" t="str">
        <x:f>'Ubicaciones'!A204</x:f>
        <x:v>Centro Poniente</x:v>
      </x:c>
      <x:c r="C204" s="45" t="str">
        <x:f>'Ubicaciones'!B204</x:f>
        <x:v>Areli Anahi Lazcano Lezama</x:v>
      </x:c>
      <x:c r="D204" s="45" t="str">
        <x:f>IF(COUNTIFS('Catalogos'!$A$2:$A$41,B204,'Catalogos'!$B$2:$B$41,C204)&gt;0,"Correcta","Revisar Región DM")</x:f>
        <x:v>Correcta</x:v>
      </x:c>
      <x:c r="E204" s="45" t="str">
        <x:f>IF(COUNTIFS('Ubicaciones'!$C$2:$C$10001,A204)=1,"Único","Duplicado")</x:f>
        <x:v>Único</x:v>
      </x:c>
      <x:c r="F204" s="45" t="str">
        <x:f>IF('Ubicaciones'!T204=1,"Ubicable",IF('Ubicaciones'!E204&lt;&gt;"Abierta","Fuera por estatus","Coordenadas pendientes"))</x:f>
        <x:v>Ubicable</x:v>
      </x:c>
    </x:row>
    <x:row r="205" ht="23" customHeight="1">
      <x:c r="A205" s="45" t="str">
        <x:f>'Ubicaciones'!C205</x:f>
        <x:v>38292</x:v>
      </x:c>
      <x:c r="B205" s="45" t="str">
        <x:f>'Ubicaciones'!A205</x:f>
        <x:v>Centro Poniente</x:v>
      </x:c>
      <x:c r="C205" s="45" t="str">
        <x:f>'Ubicaciones'!B205</x:f>
        <x:v>Areli Anahi Lazcano Lezama</x:v>
      </x:c>
      <x:c r="D205" s="45" t="str">
        <x:f>IF(COUNTIFS('Catalogos'!$A$2:$A$41,B205,'Catalogos'!$B$2:$B$41,C205)&gt;0,"Correcta","Revisar Región DM")</x:f>
        <x:v>Correcta</x:v>
      </x:c>
      <x:c r="E205" s="45" t="str">
        <x:f>IF(COUNTIFS('Ubicaciones'!$C$2:$C$10001,A205)=1,"Único","Duplicado")</x:f>
        <x:v>Único</x:v>
      </x:c>
      <x:c r="F205" s="45" t="str">
        <x:f>IF('Ubicaciones'!T205=1,"Ubicable",IF('Ubicaciones'!E205&lt;&gt;"Abierta","Fuera por estatus","Coordenadas pendientes"))</x:f>
        <x:v>Ubicable</x:v>
      </x:c>
    </x:row>
    <x:row r="206" ht="23" customHeight="1">
      <x:c r="A206" s="45" t="str">
        <x:f>'Ubicaciones'!C206</x:f>
        <x:v>38439</x:v>
      </x:c>
      <x:c r="B206" s="45" t="str">
        <x:f>'Ubicaciones'!A206</x:f>
        <x:v>Centro Poniente</x:v>
      </x:c>
      <x:c r="C206" s="45" t="str">
        <x:f>'Ubicaciones'!B206</x:f>
        <x:v>Areli Anahi Lazcano Lezama</x:v>
      </x:c>
      <x:c r="D206" s="45" t="str">
        <x:f>IF(COUNTIFS('Catalogos'!$A$2:$A$41,B206,'Catalogos'!$B$2:$B$41,C206)&gt;0,"Correcta","Revisar Región DM")</x:f>
        <x:v>Correcta</x:v>
      </x:c>
      <x:c r="E206" s="45" t="str">
        <x:f>IF(COUNTIFS('Ubicaciones'!$C$2:$C$10001,A206)=1,"Único","Duplicado")</x:f>
        <x:v>Único</x:v>
      </x:c>
      <x:c r="F206" s="45" t="str">
        <x:f>IF('Ubicaciones'!T206=1,"Ubicable",IF('Ubicaciones'!E206&lt;&gt;"Abierta","Fuera por estatus","Coordenadas pendientes"))</x:f>
        <x:v>Ubicable</x:v>
      </x:c>
    </x:row>
    <x:row r="207" ht="23" customHeight="1">
      <x:c r="A207" s="45" t="str">
        <x:f>'Ubicaciones'!C207</x:f>
        <x:v>38452</x:v>
      </x:c>
      <x:c r="B207" s="45" t="str">
        <x:f>'Ubicaciones'!A207</x:f>
        <x:v>Centro Poniente</x:v>
      </x:c>
      <x:c r="C207" s="45" t="str">
        <x:f>'Ubicaciones'!B207</x:f>
        <x:v>Areli Anahi Lazcano Lezama</x:v>
      </x:c>
      <x:c r="D207" s="45" t="str">
        <x:f>IF(COUNTIFS('Catalogos'!$A$2:$A$41,B207,'Catalogos'!$B$2:$B$41,C207)&gt;0,"Correcta","Revisar Región DM")</x:f>
        <x:v>Correcta</x:v>
      </x:c>
      <x:c r="E207" s="45" t="str">
        <x:f>IF(COUNTIFS('Ubicaciones'!$C$2:$C$10001,A207)=1,"Único","Duplicado")</x:f>
        <x:v>Único</x:v>
      </x:c>
      <x:c r="F207" s="45" t="str">
        <x:f>IF('Ubicaciones'!T207=1,"Ubicable",IF('Ubicaciones'!E207&lt;&gt;"Abierta","Fuera por estatus","Coordenadas pendientes"))</x:f>
        <x:v>Ubicable</x:v>
      </x:c>
    </x:row>
    <x:row r="208" ht="23" customHeight="1">
      <x:c r="A208" s="45" t="str">
        <x:f>'Ubicaciones'!C208</x:f>
        <x:v>38466</x:v>
      </x:c>
      <x:c r="B208" s="45" t="str">
        <x:f>'Ubicaciones'!A208</x:f>
        <x:v>Centro Poniente</x:v>
      </x:c>
      <x:c r="C208" s="45" t="str">
        <x:f>'Ubicaciones'!B208</x:f>
        <x:v>Areli Anahi Lazcano Lezama</x:v>
      </x:c>
      <x:c r="D208" s="45" t="str">
        <x:f>IF(COUNTIFS('Catalogos'!$A$2:$A$41,B208,'Catalogos'!$B$2:$B$41,C208)&gt;0,"Correcta","Revisar Región DM")</x:f>
        <x:v>Correcta</x:v>
      </x:c>
      <x:c r="E208" s="45" t="str">
        <x:f>IF(COUNTIFS('Ubicaciones'!$C$2:$C$10001,A208)=1,"Único","Duplicado")</x:f>
        <x:v>Único</x:v>
      </x:c>
      <x:c r="F208" s="45" t="str">
        <x:f>IF('Ubicaciones'!T208=1,"Ubicable",IF('Ubicaciones'!E208&lt;&gt;"Abierta","Fuera por estatus","Coordenadas pendientes"))</x:f>
        <x:v>Ubicable</x:v>
      </x:c>
    </x:row>
    <x:row r="209" ht="23" customHeight="1">
      <x:c r="A209" s="45" t="str">
        <x:f>'Ubicaciones'!C209</x:f>
        <x:v>38553</x:v>
      </x:c>
      <x:c r="B209" s="45" t="str">
        <x:f>'Ubicaciones'!A209</x:f>
        <x:v>Centro Poniente</x:v>
      </x:c>
      <x:c r="C209" s="45" t="str">
        <x:f>'Ubicaciones'!B209</x:f>
        <x:v>Areli Anahi Lazcano Lezama</x:v>
      </x:c>
      <x:c r="D209" s="45" t="str">
        <x:f>IF(COUNTIFS('Catalogos'!$A$2:$A$41,B209,'Catalogos'!$B$2:$B$41,C209)&gt;0,"Correcta","Revisar Región DM")</x:f>
        <x:v>Correcta</x:v>
      </x:c>
      <x:c r="E209" s="45" t="str">
        <x:f>IF(COUNTIFS('Ubicaciones'!$C$2:$C$10001,A209)=1,"Único","Duplicado")</x:f>
        <x:v>Único</x:v>
      </x:c>
      <x:c r="F209" s="45" t="str">
        <x:f>IF('Ubicaciones'!T209=1,"Ubicable",IF('Ubicaciones'!E209&lt;&gt;"Abierta","Fuera por estatus","Coordenadas pendientes"))</x:f>
        <x:v>Ubicable</x:v>
      </x:c>
    </x:row>
    <x:row r="210" ht="23" customHeight="1">
      <x:c r="A210" s="45" t="str">
        <x:f>'Ubicaciones'!C210</x:f>
        <x:v>38568</x:v>
      </x:c>
      <x:c r="B210" s="45" t="str">
        <x:f>'Ubicaciones'!A210</x:f>
        <x:v>Centro Poniente</x:v>
      </x:c>
      <x:c r="C210" s="45" t="str">
        <x:f>'Ubicaciones'!B210</x:f>
        <x:v>Areli Anahi Lazcano Lezama</x:v>
      </x:c>
      <x:c r="D210" s="45" t="str">
        <x:f>IF(COUNTIFS('Catalogos'!$A$2:$A$41,B210,'Catalogos'!$B$2:$B$41,C210)&gt;0,"Correcta","Revisar Región DM")</x:f>
        <x:v>Correcta</x:v>
      </x:c>
      <x:c r="E210" s="45" t="str">
        <x:f>IF(COUNTIFS('Ubicaciones'!$C$2:$C$10001,A210)=1,"Único","Duplicado")</x:f>
        <x:v>Único</x:v>
      </x:c>
      <x:c r="F210" s="45" t="str">
        <x:f>IF('Ubicaciones'!T210=1,"Ubicable",IF('Ubicaciones'!E210&lt;&gt;"Abierta","Fuera por estatus","Coordenadas pendientes"))</x:f>
        <x:v>Ubicable</x:v>
      </x:c>
    </x:row>
    <x:row r="211" ht="23" customHeight="1">
      <x:c r="A211" s="45" t="str">
        <x:f>'Ubicaciones'!C211</x:f>
        <x:v>38799</x:v>
      </x:c>
      <x:c r="B211" s="45" t="str">
        <x:f>'Ubicaciones'!A211</x:f>
        <x:v>Centro Poniente</x:v>
      </x:c>
      <x:c r="C211" s="45" t="str">
        <x:f>'Ubicaciones'!B211</x:f>
        <x:v>Areli Anahi Lazcano Lezama</x:v>
      </x:c>
      <x:c r="D211" s="45" t="str">
        <x:f>IF(COUNTIFS('Catalogos'!$A$2:$A$41,B211,'Catalogos'!$B$2:$B$41,C211)&gt;0,"Correcta","Revisar Región DM")</x:f>
        <x:v>Correcta</x:v>
      </x:c>
      <x:c r="E211" s="45" t="str">
        <x:f>IF(COUNTIFS('Ubicaciones'!$C$2:$C$10001,A211)=1,"Único","Duplicado")</x:f>
        <x:v>Único</x:v>
      </x:c>
      <x:c r="F211" s="45" t="str">
        <x:f>IF('Ubicaciones'!T211=1,"Ubicable",IF('Ubicaciones'!E211&lt;&gt;"Abierta","Fuera por estatus","Coordenadas pendientes"))</x:f>
        <x:v>Ubicable</x:v>
      </x:c>
    </x:row>
    <x:row r="212" ht="23" customHeight="1">
      <x:c r="A212" s="45" t="str">
        <x:f>'Ubicaciones'!C212</x:f>
        <x:v>38815</x:v>
      </x:c>
      <x:c r="B212" s="45" t="str">
        <x:f>'Ubicaciones'!A212</x:f>
        <x:v>Centro Poniente</x:v>
      </x:c>
      <x:c r="C212" s="45" t="str">
        <x:f>'Ubicaciones'!B212</x:f>
        <x:v>Areli Anahi Lazcano Lezama</x:v>
      </x:c>
      <x:c r="D212" s="45" t="str">
        <x:f>IF(COUNTIFS('Catalogos'!$A$2:$A$41,B212,'Catalogos'!$B$2:$B$41,C212)&gt;0,"Correcta","Revisar Región DM")</x:f>
        <x:v>Correcta</x:v>
      </x:c>
      <x:c r="E212" s="45" t="str">
        <x:f>IF(COUNTIFS('Ubicaciones'!$C$2:$C$10001,A212)=1,"Único","Duplicado")</x:f>
        <x:v>Único</x:v>
      </x:c>
      <x:c r="F212" s="45" t="str">
        <x:f>IF('Ubicaciones'!T212=1,"Ubicable",IF('Ubicaciones'!E212&lt;&gt;"Abierta","Fuera por estatus","Coordenadas pendientes"))</x:f>
        <x:v>Ubicable</x:v>
      </x:c>
    </x:row>
    <x:row r="213" ht="23" customHeight="1">
      <x:c r="A213" s="45" t="str">
        <x:f>'Ubicaciones'!C213</x:f>
        <x:v>38918</x:v>
      </x:c>
      <x:c r="B213" s="45" t="str">
        <x:f>'Ubicaciones'!A213</x:f>
        <x:v>Centro Poniente</x:v>
      </x:c>
      <x:c r="C213" s="45" t="str">
        <x:f>'Ubicaciones'!B213</x:f>
        <x:v>Areli Anahi Lazcano Lezama</x:v>
      </x:c>
      <x:c r="D213" s="45" t="str">
        <x:f>IF(COUNTIFS('Catalogos'!$A$2:$A$41,B213,'Catalogos'!$B$2:$B$41,C213)&gt;0,"Correcta","Revisar Región DM")</x:f>
        <x:v>Correcta</x:v>
      </x:c>
      <x:c r="E213" s="45" t="str">
        <x:f>IF(COUNTIFS('Ubicaciones'!$C$2:$C$10001,A213)=1,"Único","Duplicado")</x:f>
        <x:v>Único</x:v>
      </x:c>
      <x:c r="F213" s="45" t="str">
        <x:f>IF('Ubicaciones'!T213=1,"Ubicable",IF('Ubicaciones'!E213&lt;&gt;"Abierta","Fuera por estatus","Coordenadas pendientes"))</x:f>
        <x:v>Ubicable</x:v>
      </x:c>
    </x:row>
    <x:row r="214" ht="23" customHeight="1">
      <x:c r="A214" s="45" t="str">
        <x:f>'Ubicaciones'!C214</x:f>
        <x:v>43107</x:v>
      </x:c>
      <x:c r="B214" s="45" t="str">
        <x:f>'Ubicaciones'!A214</x:f>
        <x:v>Centro Poniente</x:v>
      </x:c>
      <x:c r="C214" s="45" t="str">
        <x:f>'Ubicaciones'!B214</x:f>
        <x:v>Areli Anahi Lazcano Lezama</x:v>
      </x:c>
      <x:c r="D214" s="45" t="str">
        <x:f>IF(COUNTIFS('Catalogos'!$A$2:$A$41,B214,'Catalogos'!$B$2:$B$41,C214)&gt;0,"Correcta","Revisar Región DM")</x:f>
        <x:v>Correcta</x:v>
      </x:c>
      <x:c r="E214" s="45" t="str">
        <x:f>IF(COUNTIFS('Ubicaciones'!$C$2:$C$10001,A214)=1,"Único","Duplicado")</x:f>
        <x:v>Único</x:v>
      </x:c>
      <x:c r="F214" s="45" t="str">
        <x:f>IF('Ubicaciones'!T214=1,"Ubicable",IF('Ubicaciones'!E214&lt;&gt;"Abierta","Fuera por estatus","Coordenadas pendientes"))</x:f>
        <x:v>Ubicable</x:v>
      </x:c>
    </x:row>
    <x:row r="215" ht="23" customHeight="1">
      <x:c r="A215" s="45" t="str">
        <x:f>'Ubicaciones'!C215</x:f>
        <x:v>38138</x:v>
      </x:c>
      <x:c r="B215" s="45" t="str">
        <x:f>'Ubicaciones'!A215</x:f>
        <x:v>Centro Poniente</x:v>
      </x:c>
      <x:c r="C215" s="45" t="str">
        <x:f>'Ubicaciones'!B215</x:f>
        <x:v>Daniel Flores Maldonado</x:v>
      </x:c>
      <x:c r="D215" s="45" t="str">
        <x:f>IF(COUNTIFS('Catalogos'!$A$2:$A$41,B215,'Catalogos'!$B$2:$B$41,C215)&gt;0,"Correcta","Revisar Región DM")</x:f>
        <x:v>Correcta</x:v>
      </x:c>
      <x:c r="E215" s="45" t="str">
        <x:f>IF(COUNTIFS('Ubicaciones'!$C$2:$C$10001,A215)=1,"Único","Duplicado")</x:f>
        <x:v>Único</x:v>
      </x:c>
      <x:c r="F215" s="45" t="str">
        <x:f>IF('Ubicaciones'!T215=1,"Ubicable",IF('Ubicaciones'!E215&lt;&gt;"Abierta","Fuera por estatus","Coordenadas pendientes"))</x:f>
        <x:v>Ubicable</x:v>
      </x:c>
    </x:row>
    <x:row r="216" ht="23" customHeight="1">
      <x:c r="A216" s="45" t="str">
        <x:f>'Ubicaciones'!C216</x:f>
        <x:v>38141</x:v>
      </x:c>
      <x:c r="B216" s="45" t="str">
        <x:f>'Ubicaciones'!A216</x:f>
        <x:v>Centro Poniente</x:v>
      </x:c>
      <x:c r="C216" s="45" t="str">
        <x:f>'Ubicaciones'!B216</x:f>
        <x:v>Daniel Flores Maldonado</x:v>
      </x:c>
      <x:c r="D216" s="45" t="str">
        <x:f>IF(COUNTIFS('Catalogos'!$A$2:$A$41,B216,'Catalogos'!$B$2:$B$41,C216)&gt;0,"Correcta","Revisar Región DM")</x:f>
        <x:v>Correcta</x:v>
      </x:c>
      <x:c r="E216" s="45" t="str">
        <x:f>IF(COUNTIFS('Ubicaciones'!$C$2:$C$10001,A216)=1,"Único","Duplicado")</x:f>
        <x:v>Único</x:v>
      </x:c>
      <x:c r="F216" s="45" t="str">
        <x:f>IF('Ubicaciones'!T216=1,"Ubicable",IF('Ubicaciones'!E216&lt;&gt;"Abierta","Fuera por estatus","Coordenadas pendientes"))</x:f>
        <x:v>Ubicable</x:v>
      </x:c>
    </x:row>
    <x:row r="217" ht="23" customHeight="1">
      <x:c r="A217" s="45" t="str">
        <x:f>'Ubicaciones'!C217</x:f>
        <x:v>38319</x:v>
      </x:c>
      <x:c r="B217" s="45" t="str">
        <x:f>'Ubicaciones'!A217</x:f>
        <x:v>Centro Poniente</x:v>
      </x:c>
      <x:c r="C217" s="45" t="str">
        <x:f>'Ubicaciones'!B217</x:f>
        <x:v>Daniel Flores Maldonado</x:v>
      </x:c>
      <x:c r="D217" s="45" t="str">
        <x:f>IF(COUNTIFS('Catalogos'!$A$2:$A$41,B217,'Catalogos'!$B$2:$B$41,C217)&gt;0,"Correcta","Revisar Región DM")</x:f>
        <x:v>Correcta</x:v>
      </x:c>
      <x:c r="E217" s="45" t="str">
        <x:f>IF(COUNTIFS('Ubicaciones'!$C$2:$C$10001,A217)=1,"Único","Duplicado")</x:f>
        <x:v>Único</x:v>
      </x:c>
      <x:c r="F217" s="45" t="str">
        <x:f>IF('Ubicaciones'!T217=1,"Ubicable",IF('Ubicaciones'!E217&lt;&gt;"Abierta","Fuera por estatus","Coordenadas pendientes"))</x:f>
        <x:v>Ubicable</x:v>
      </x:c>
    </x:row>
    <x:row r="218" ht="23" customHeight="1">
      <x:c r="A218" s="45" t="str">
        <x:f>'Ubicaciones'!C218</x:f>
        <x:v>38441</x:v>
      </x:c>
      <x:c r="B218" s="45" t="str">
        <x:f>'Ubicaciones'!A218</x:f>
        <x:v>Centro Poniente</x:v>
      </x:c>
      <x:c r="C218" s="45" t="str">
        <x:f>'Ubicaciones'!B218</x:f>
        <x:v>Daniel Flores Maldonado</x:v>
      </x:c>
      <x:c r="D218" s="45" t="str">
        <x:f>IF(COUNTIFS('Catalogos'!$A$2:$A$41,B218,'Catalogos'!$B$2:$B$41,C218)&gt;0,"Correcta","Revisar Región DM")</x:f>
        <x:v>Correcta</x:v>
      </x:c>
      <x:c r="E218" s="45" t="str">
        <x:f>IF(COUNTIFS('Ubicaciones'!$C$2:$C$10001,A218)=1,"Único","Duplicado")</x:f>
        <x:v>Único</x:v>
      </x:c>
      <x:c r="F218" s="45" t="str">
        <x:f>IF('Ubicaciones'!T218=1,"Ubicable",IF('Ubicaciones'!E218&lt;&gt;"Abierta","Fuera por estatus","Coordenadas pendientes"))</x:f>
        <x:v>Ubicable</x:v>
      </x:c>
    </x:row>
    <x:row r="219" ht="23" customHeight="1">
      <x:c r="A219" s="45" t="str">
        <x:f>'Ubicaciones'!C219</x:f>
        <x:v>38485</x:v>
      </x:c>
      <x:c r="B219" s="45" t="str">
        <x:f>'Ubicaciones'!A219</x:f>
        <x:v>Centro Poniente</x:v>
      </x:c>
      <x:c r="C219" s="45" t="str">
        <x:f>'Ubicaciones'!B219</x:f>
        <x:v>Daniel Flores Maldonado</x:v>
      </x:c>
      <x:c r="D219" s="45" t="str">
        <x:f>IF(COUNTIFS('Catalogos'!$A$2:$A$41,B219,'Catalogos'!$B$2:$B$41,C219)&gt;0,"Correcta","Revisar Región DM")</x:f>
        <x:v>Correcta</x:v>
      </x:c>
      <x:c r="E219" s="45" t="str">
        <x:f>IF(COUNTIFS('Ubicaciones'!$C$2:$C$10001,A219)=1,"Único","Duplicado")</x:f>
        <x:v>Único</x:v>
      </x:c>
      <x:c r="F219" s="45" t="str">
        <x:f>IF('Ubicaciones'!T219=1,"Ubicable",IF('Ubicaciones'!E219&lt;&gt;"Abierta","Fuera por estatus","Coordenadas pendientes"))</x:f>
        <x:v>Ubicable</x:v>
      </x:c>
    </x:row>
    <x:row r="220" ht="23" customHeight="1">
      <x:c r="A220" s="45" t="str">
        <x:f>'Ubicaciones'!C220</x:f>
        <x:v>38547</x:v>
      </x:c>
      <x:c r="B220" s="45" t="str">
        <x:f>'Ubicaciones'!A220</x:f>
        <x:v>Centro Poniente</x:v>
      </x:c>
      <x:c r="C220" s="45" t="str">
        <x:f>'Ubicaciones'!B220</x:f>
        <x:v>Daniel Flores Maldonado</x:v>
      </x:c>
      <x:c r="D220" s="45" t="str">
        <x:f>IF(COUNTIFS('Catalogos'!$A$2:$A$41,B220,'Catalogos'!$B$2:$B$41,C220)&gt;0,"Correcta","Revisar Región DM")</x:f>
        <x:v>Correcta</x:v>
      </x:c>
      <x:c r="E220" s="45" t="str">
        <x:f>IF(COUNTIFS('Ubicaciones'!$C$2:$C$10001,A220)=1,"Único","Duplicado")</x:f>
        <x:v>Único</x:v>
      </x:c>
      <x:c r="F220" s="45" t="str">
        <x:f>IF('Ubicaciones'!T220=1,"Ubicable",IF('Ubicaciones'!E220&lt;&gt;"Abierta","Fuera por estatus","Coordenadas pendientes"))</x:f>
        <x:v>Ubicable</x:v>
      </x:c>
    </x:row>
    <x:row r="221" ht="23" customHeight="1">
      <x:c r="A221" s="45" t="str">
        <x:f>'Ubicaciones'!C221</x:f>
        <x:v>38668</x:v>
      </x:c>
      <x:c r="B221" s="45" t="str">
        <x:f>'Ubicaciones'!A221</x:f>
        <x:v>Centro Poniente</x:v>
      </x:c>
      <x:c r="C221" s="45" t="str">
        <x:f>'Ubicaciones'!B221</x:f>
        <x:v>Daniel Flores Maldonado</x:v>
      </x:c>
      <x:c r="D221" s="45" t="str">
        <x:f>IF(COUNTIFS('Catalogos'!$A$2:$A$41,B221,'Catalogos'!$B$2:$B$41,C221)&gt;0,"Correcta","Revisar Región DM")</x:f>
        <x:v>Correcta</x:v>
      </x:c>
      <x:c r="E221" s="45" t="str">
        <x:f>IF(COUNTIFS('Ubicaciones'!$C$2:$C$10001,A221)=1,"Único","Duplicado")</x:f>
        <x:v>Único</x:v>
      </x:c>
      <x:c r="F221" s="45" t="str">
        <x:f>IF('Ubicaciones'!T221=1,"Ubicable",IF('Ubicaciones'!E221&lt;&gt;"Abierta","Fuera por estatus","Coordenadas pendientes"))</x:f>
        <x:v>Ubicable</x:v>
      </x:c>
    </x:row>
    <x:row r="222" ht="23" customHeight="1">
      <x:c r="A222" s="45" t="str">
        <x:f>'Ubicaciones'!C222</x:f>
        <x:v>38841</x:v>
      </x:c>
      <x:c r="B222" s="45" t="str">
        <x:f>'Ubicaciones'!A222</x:f>
        <x:v>Centro Poniente</x:v>
      </x:c>
      <x:c r="C222" s="45" t="str">
        <x:f>'Ubicaciones'!B222</x:f>
        <x:v>Daniel Flores Maldonado</x:v>
      </x:c>
      <x:c r="D222" s="45" t="str">
        <x:f>IF(COUNTIFS('Catalogos'!$A$2:$A$41,B222,'Catalogos'!$B$2:$B$41,C222)&gt;0,"Correcta","Revisar Región DM")</x:f>
        <x:v>Correcta</x:v>
      </x:c>
      <x:c r="E222" s="45" t="str">
        <x:f>IF(COUNTIFS('Ubicaciones'!$C$2:$C$10001,A222)=1,"Único","Duplicado")</x:f>
        <x:v>Único</x:v>
      </x:c>
      <x:c r="F222" s="45" t="str">
        <x:f>IF('Ubicaciones'!T222=1,"Ubicable",IF('Ubicaciones'!E222&lt;&gt;"Abierta","Fuera por estatus","Coordenadas pendientes"))</x:f>
        <x:v>Ubicable</x:v>
      </x:c>
    </x:row>
    <x:row r="223" ht="23" customHeight="1">
      <x:c r="A223" s="45" t="str">
        <x:f>'Ubicaciones'!C223</x:f>
        <x:v>38896</x:v>
      </x:c>
      <x:c r="B223" s="45" t="str">
        <x:f>'Ubicaciones'!A223</x:f>
        <x:v>Centro Poniente</x:v>
      </x:c>
      <x:c r="C223" s="45" t="str">
        <x:f>'Ubicaciones'!B223</x:f>
        <x:v>Daniel Flores Maldonado</x:v>
      </x:c>
      <x:c r="D223" s="45" t="str">
        <x:f>IF(COUNTIFS('Catalogos'!$A$2:$A$41,B223,'Catalogos'!$B$2:$B$41,C223)&gt;0,"Correcta","Revisar Región DM")</x:f>
        <x:v>Correcta</x:v>
      </x:c>
      <x:c r="E223" s="45" t="str">
        <x:f>IF(COUNTIFS('Ubicaciones'!$C$2:$C$10001,A223)=1,"Único","Duplicado")</x:f>
        <x:v>Único</x:v>
      </x:c>
      <x:c r="F223" s="45" t="str">
        <x:f>IF('Ubicaciones'!T223=1,"Ubicable",IF('Ubicaciones'!E223&lt;&gt;"Abierta","Fuera por estatus","Coordenadas pendientes"))</x:f>
        <x:v>Ubicable</x:v>
      </x:c>
    </x:row>
    <x:row r="224" ht="23" customHeight="1">
      <x:c r="A224" s="45" t="str">
        <x:f>'Ubicaciones'!C224</x:f>
        <x:v>38957</x:v>
      </x:c>
      <x:c r="B224" s="45" t="str">
        <x:f>'Ubicaciones'!A224</x:f>
        <x:v>Centro Poniente</x:v>
      </x:c>
      <x:c r="C224" s="45" t="str">
        <x:f>'Ubicaciones'!B224</x:f>
        <x:v>Daniel Flores Maldonado</x:v>
      </x:c>
      <x:c r="D224" s="45" t="str">
        <x:f>IF(COUNTIFS('Catalogos'!$A$2:$A$41,B224,'Catalogos'!$B$2:$B$41,C224)&gt;0,"Correcta","Revisar Región DM")</x:f>
        <x:v>Correcta</x:v>
      </x:c>
      <x:c r="E224" s="45" t="str">
        <x:f>IF(COUNTIFS('Ubicaciones'!$C$2:$C$10001,A224)=1,"Único","Duplicado")</x:f>
        <x:v>Único</x:v>
      </x:c>
      <x:c r="F224" s="45" t="str">
        <x:f>IF('Ubicaciones'!T224=1,"Ubicable",IF('Ubicaciones'!E224&lt;&gt;"Abierta","Fuera por estatus","Coordenadas pendientes"))</x:f>
        <x:v>Ubicable</x:v>
      </x:c>
    </x:row>
    <x:row r="225" ht="23" customHeight="1">
      <x:c r="A225" s="45" t="str">
        <x:f>'Ubicaciones'!C225</x:f>
        <x:v>38987</x:v>
      </x:c>
      <x:c r="B225" s="45" t="str">
        <x:f>'Ubicaciones'!A225</x:f>
        <x:v>Centro Poniente</x:v>
      </x:c>
      <x:c r="C225" s="45" t="str">
        <x:f>'Ubicaciones'!B225</x:f>
        <x:v>Daniel Flores Maldonado</x:v>
      </x:c>
      <x:c r="D225" s="45" t="str">
        <x:f>IF(COUNTIFS('Catalogos'!$A$2:$A$41,B225,'Catalogos'!$B$2:$B$41,C225)&gt;0,"Correcta","Revisar Región DM")</x:f>
        <x:v>Correcta</x:v>
      </x:c>
      <x:c r="E225" s="45" t="str">
        <x:f>IF(COUNTIFS('Ubicaciones'!$C$2:$C$10001,A225)=1,"Único","Duplicado")</x:f>
        <x:v>Único</x:v>
      </x:c>
      <x:c r="F225" s="45" t="str">
        <x:f>IF('Ubicaciones'!T225=1,"Ubicable",IF('Ubicaciones'!E225&lt;&gt;"Abierta","Fuera por estatus","Coordenadas pendientes"))</x:f>
        <x:v>Ubicable</x:v>
      </x:c>
    </x:row>
    <x:row r="226" ht="23" customHeight="1">
      <x:c r="A226" s="45" t="str">
        <x:f>'Ubicaciones'!C226</x:f>
        <x:v>43059</x:v>
      </x:c>
      <x:c r="B226" s="45" t="str">
        <x:f>'Ubicaciones'!A226</x:f>
        <x:v>Centro Poniente</x:v>
      </x:c>
      <x:c r="C226" s="45" t="str">
        <x:f>'Ubicaciones'!B226</x:f>
        <x:v>Daniel Flores Maldonado</x:v>
      </x:c>
      <x:c r="D226" s="45" t="str">
        <x:f>IF(COUNTIFS('Catalogos'!$A$2:$A$41,B226,'Catalogos'!$B$2:$B$41,C226)&gt;0,"Correcta","Revisar Región DM")</x:f>
        <x:v>Correcta</x:v>
      </x:c>
      <x:c r="E226" s="45" t="str">
        <x:f>IF(COUNTIFS('Ubicaciones'!$C$2:$C$10001,A226)=1,"Único","Duplicado")</x:f>
        <x:v>Único</x:v>
      </x:c>
      <x:c r="F226" s="45" t="str">
        <x:f>IF('Ubicaciones'!T226=1,"Ubicable",IF('Ubicaciones'!E226&lt;&gt;"Abierta","Fuera por estatus","Coordenadas pendientes"))</x:f>
        <x:v>Ubicable</x:v>
      </x:c>
    </x:row>
    <x:row r="227" ht="23" customHeight="1">
      <x:c r="A227" s="45" t="str">
        <x:f>'Ubicaciones'!C227</x:f>
        <x:v>43068</x:v>
      </x:c>
      <x:c r="B227" s="45" t="str">
        <x:f>'Ubicaciones'!A227</x:f>
        <x:v>Centro Poniente</x:v>
      </x:c>
      <x:c r="C227" s="45" t="str">
        <x:f>'Ubicaciones'!B227</x:f>
        <x:v>Daniel Flores Maldonado</x:v>
      </x:c>
      <x:c r="D227" s="45" t="str">
        <x:f>IF(COUNTIFS('Catalogos'!$A$2:$A$41,B227,'Catalogos'!$B$2:$B$41,C227)&gt;0,"Correcta","Revisar Región DM")</x:f>
        <x:v>Correcta</x:v>
      </x:c>
      <x:c r="E227" s="45" t="str">
        <x:f>IF(COUNTIFS('Ubicaciones'!$C$2:$C$10001,A227)=1,"Único","Duplicado")</x:f>
        <x:v>Único</x:v>
      </x:c>
      <x:c r="F227" s="45" t="str">
        <x:f>IF('Ubicaciones'!T227=1,"Ubicable",IF('Ubicaciones'!E227&lt;&gt;"Abierta","Fuera por estatus","Coordenadas pendientes"))</x:f>
        <x:v>Ubicable</x:v>
      </x:c>
    </x:row>
    <x:row r="228" ht="23" customHeight="1">
      <x:c r="A228" s="45" t="str">
        <x:f>'Ubicaciones'!C228</x:f>
        <x:v>38122</x:v>
      </x:c>
      <x:c r="B228" s="45" t="str">
        <x:f>'Ubicaciones'!A228</x:f>
        <x:v>Centro Poniente</x:v>
      </x:c>
      <x:c r="C228" s="45" t="str">
        <x:f>'Ubicaciones'!B228</x:f>
        <x:v>Erika Julieta Contreras Aguilar</x:v>
      </x:c>
      <x:c r="D228" s="45" t="str">
        <x:f>IF(COUNTIFS('Catalogos'!$A$2:$A$41,B228,'Catalogos'!$B$2:$B$41,C228)&gt;0,"Correcta","Revisar Región DM")</x:f>
        <x:v>Correcta</x:v>
      </x:c>
      <x:c r="E228" s="45" t="str">
        <x:f>IF(COUNTIFS('Ubicaciones'!$C$2:$C$10001,A228)=1,"Único","Duplicado")</x:f>
        <x:v>Único</x:v>
      </x:c>
      <x:c r="F228" s="45" t="str">
        <x:f>IF('Ubicaciones'!T228=1,"Ubicable",IF('Ubicaciones'!E228&lt;&gt;"Abierta","Fuera por estatus","Coordenadas pendientes"))</x:f>
        <x:v>Ubicable</x:v>
      </x:c>
    </x:row>
    <x:row r="229" ht="23" customHeight="1">
      <x:c r="A229" s="45" t="str">
        <x:f>'Ubicaciones'!C229</x:f>
        <x:v>38148</x:v>
      </x:c>
      <x:c r="B229" s="45" t="str">
        <x:f>'Ubicaciones'!A229</x:f>
        <x:v>Centro Poniente</x:v>
      </x:c>
      <x:c r="C229" s="45" t="str">
        <x:f>'Ubicaciones'!B229</x:f>
        <x:v>Erika Julieta Contreras Aguilar</x:v>
      </x:c>
      <x:c r="D229" s="45" t="str">
        <x:f>IF(COUNTIFS('Catalogos'!$A$2:$A$41,B229,'Catalogos'!$B$2:$B$41,C229)&gt;0,"Correcta","Revisar Región DM")</x:f>
        <x:v>Correcta</x:v>
      </x:c>
      <x:c r="E229" s="45" t="str">
        <x:f>IF(COUNTIFS('Ubicaciones'!$C$2:$C$10001,A229)=1,"Único","Duplicado")</x:f>
        <x:v>Único</x:v>
      </x:c>
      <x:c r="F229" s="45" t="str">
        <x:f>IF('Ubicaciones'!T229=1,"Ubicable",IF('Ubicaciones'!E229&lt;&gt;"Abierta","Fuera por estatus","Coordenadas pendientes"))</x:f>
        <x:v>Ubicable</x:v>
      </x:c>
    </x:row>
    <x:row r="230" ht="23" customHeight="1">
      <x:c r="A230" s="45" t="str">
        <x:f>'Ubicaciones'!C230</x:f>
        <x:v>38150</x:v>
      </x:c>
      <x:c r="B230" s="45" t="str">
        <x:f>'Ubicaciones'!A230</x:f>
        <x:v>Centro Poniente</x:v>
      </x:c>
      <x:c r="C230" s="45" t="str">
        <x:f>'Ubicaciones'!B230</x:f>
        <x:v>Erika Julieta Contreras Aguilar</x:v>
      </x:c>
      <x:c r="D230" s="45" t="str">
        <x:f>IF(COUNTIFS('Catalogos'!$A$2:$A$41,B230,'Catalogos'!$B$2:$B$41,C230)&gt;0,"Correcta","Revisar Región DM")</x:f>
        <x:v>Correcta</x:v>
      </x:c>
      <x:c r="E230" s="45" t="str">
        <x:f>IF(COUNTIFS('Ubicaciones'!$C$2:$C$10001,A230)=1,"Único","Duplicado")</x:f>
        <x:v>Único</x:v>
      </x:c>
      <x:c r="F230" s="45" t="str">
        <x:f>IF('Ubicaciones'!T230=1,"Ubicable",IF('Ubicaciones'!E230&lt;&gt;"Abierta","Fuera por estatus","Coordenadas pendientes"))</x:f>
        <x:v>Ubicable</x:v>
      </x:c>
    </x:row>
    <x:row r="231" ht="23" customHeight="1">
      <x:c r="A231" s="45" t="str">
        <x:f>'Ubicaciones'!C231</x:f>
        <x:v>38189</x:v>
      </x:c>
      <x:c r="B231" s="45" t="str">
        <x:f>'Ubicaciones'!A231</x:f>
        <x:v>Centro Poniente</x:v>
      </x:c>
      <x:c r="C231" s="45" t="str">
        <x:f>'Ubicaciones'!B231</x:f>
        <x:v>Erika Julieta Contreras Aguilar</x:v>
      </x:c>
      <x:c r="D231" s="45" t="str">
        <x:f>IF(COUNTIFS('Catalogos'!$A$2:$A$41,B231,'Catalogos'!$B$2:$B$41,C231)&gt;0,"Correcta","Revisar Región DM")</x:f>
        <x:v>Correcta</x:v>
      </x:c>
      <x:c r="E231" s="45" t="str">
        <x:f>IF(COUNTIFS('Ubicaciones'!$C$2:$C$10001,A231)=1,"Único","Duplicado")</x:f>
        <x:v>Único</x:v>
      </x:c>
      <x:c r="F231" s="45" t="str">
        <x:f>IF('Ubicaciones'!T231=1,"Ubicable",IF('Ubicaciones'!E231&lt;&gt;"Abierta","Fuera por estatus","Coordenadas pendientes"))</x:f>
        <x:v>Ubicable</x:v>
      </x:c>
    </x:row>
    <x:row r="232" ht="23" customHeight="1">
      <x:c r="A232" s="45" t="str">
        <x:f>'Ubicaciones'!C232</x:f>
        <x:v>38225</x:v>
      </x:c>
      <x:c r="B232" s="45" t="str">
        <x:f>'Ubicaciones'!A232</x:f>
        <x:v>Centro Poniente</x:v>
      </x:c>
      <x:c r="C232" s="45" t="str">
        <x:f>'Ubicaciones'!B232</x:f>
        <x:v>Erika Julieta Contreras Aguilar</x:v>
      </x:c>
      <x:c r="D232" s="45" t="str">
        <x:f>IF(COUNTIFS('Catalogos'!$A$2:$A$41,B232,'Catalogos'!$B$2:$B$41,C232)&gt;0,"Correcta","Revisar Región DM")</x:f>
        <x:v>Correcta</x:v>
      </x:c>
      <x:c r="E232" s="45" t="str">
        <x:f>IF(COUNTIFS('Ubicaciones'!$C$2:$C$10001,A232)=1,"Único","Duplicado")</x:f>
        <x:v>Único</x:v>
      </x:c>
      <x:c r="F232" s="45" t="str">
        <x:f>IF('Ubicaciones'!T232=1,"Ubicable",IF('Ubicaciones'!E232&lt;&gt;"Abierta","Fuera por estatus","Coordenadas pendientes"))</x:f>
        <x:v>Ubicable</x:v>
      </x:c>
    </x:row>
    <x:row r="233" ht="23" customHeight="1">
      <x:c r="A233" s="45" t="str">
        <x:f>'Ubicaciones'!C233</x:f>
        <x:v>38361</x:v>
      </x:c>
      <x:c r="B233" s="45" t="str">
        <x:f>'Ubicaciones'!A233</x:f>
        <x:v>Centro Poniente</x:v>
      </x:c>
      <x:c r="C233" s="45" t="str">
        <x:f>'Ubicaciones'!B233</x:f>
        <x:v>Erika Julieta Contreras Aguilar</x:v>
      </x:c>
      <x:c r="D233" s="45" t="str">
        <x:f>IF(COUNTIFS('Catalogos'!$A$2:$A$41,B233,'Catalogos'!$B$2:$B$41,C233)&gt;0,"Correcta","Revisar Región DM")</x:f>
        <x:v>Correcta</x:v>
      </x:c>
      <x:c r="E233" s="45" t="str">
        <x:f>IF(COUNTIFS('Ubicaciones'!$C$2:$C$10001,A233)=1,"Único","Duplicado")</x:f>
        <x:v>Único</x:v>
      </x:c>
      <x:c r="F233" s="45" t="str">
        <x:f>IF('Ubicaciones'!T233=1,"Ubicable",IF('Ubicaciones'!E233&lt;&gt;"Abierta","Fuera por estatus","Coordenadas pendientes"))</x:f>
        <x:v>Ubicable</x:v>
      </x:c>
    </x:row>
    <x:row r="234" ht="23" customHeight="1">
      <x:c r="A234" s="45" t="str">
        <x:f>'Ubicaciones'!C234</x:f>
        <x:v>38414</x:v>
      </x:c>
      <x:c r="B234" s="45" t="str">
        <x:f>'Ubicaciones'!A234</x:f>
        <x:v>Centro Poniente</x:v>
      </x:c>
      <x:c r="C234" s="45" t="str">
        <x:f>'Ubicaciones'!B234</x:f>
        <x:v>Erika Julieta Contreras Aguilar</x:v>
      </x:c>
      <x:c r="D234" s="45" t="str">
        <x:f>IF(COUNTIFS('Catalogos'!$A$2:$A$41,B234,'Catalogos'!$B$2:$B$41,C234)&gt;0,"Correcta","Revisar Región DM")</x:f>
        <x:v>Correcta</x:v>
      </x:c>
      <x:c r="E234" s="45" t="str">
        <x:f>IF(COUNTIFS('Ubicaciones'!$C$2:$C$10001,A234)=1,"Único","Duplicado")</x:f>
        <x:v>Único</x:v>
      </x:c>
      <x:c r="F234" s="45" t="str">
        <x:f>IF('Ubicaciones'!T234=1,"Ubicable",IF('Ubicaciones'!E234&lt;&gt;"Abierta","Fuera por estatus","Coordenadas pendientes"))</x:f>
        <x:v>Ubicable</x:v>
      </x:c>
    </x:row>
    <x:row r="235" ht="23" customHeight="1">
      <x:c r="A235" s="45" t="str">
        <x:f>'Ubicaciones'!C235</x:f>
        <x:v>38438</x:v>
      </x:c>
      <x:c r="B235" s="45" t="str">
        <x:f>'Ubicaciones'!A235</x:f>
        <x:v>Centro Poniente</x:v>
      </x:c>
      <x:c r="C235" s="45" t="str">
        <x:f>'Ubicaciones'!B235</x:f>
        <x:v>Erika Julieta Contreras Aguilar</x:v>
      </x:c>
      <x:c r="D235" s="45" t="str">
        <x:f>IF(COUNTIFS('Catalogos'!$A$2:$A$41,B235,'Catalogos'!$B$2:$B$41,C235)&gt;0,"Correcta","Revisar Región DM")</x:f>
        <x:v>Correcta</x:v>
      </x:c>
      <x:c r="E235" s="45" t="str">
        <x:f>IF(COUNTIFS('Ubicaciones'!$C$2:$C$10001,A235)=1,"Único","Duplicado")</x:f>
        <x:v>Único</x:v>
      </x:c>
      <x:c r="F235" s="45" t="str">
        <x:f>IF('Ubicaciones'!T235=1,"Ubicable",IF('Ubicaciones'!E235&lt;&gt;"Abierta","Fuera por estatus","Coordenadas pendientes"))</x:f>
        <x:v>Ubicable</x:v>
      </x:c>
    </x:row>
    <x:row r="236" ht="23" customHeight="1">
      <x:c r="A236" s="45" t="str">
        <x:f>'Ubicaciones'!C236</x:f>
        <x:v>38508</x:v>
      </x:c>
      <x:c r="B236" s="45" t="str">
        <x:f>'Ubicaciones'!A236</x:f>
        <x:v>Centro Poniente</x:v>
      </x:c>
      <x:c r="C236" s="45" t="str">
        <x:f>'Ubicaciones'!B236</x:f>
        <x:v>Erika Julieta Contreras Aguilar</x:v>
      </x:c>
      <x:c r="D236" s="45" t="str">
        <x:f>IF(COUNTIFS('Catalogos'!$A$2:$A$41,B236,'Catalogos'!$B$2:$B$41,C236)&gt;0,"Correcta","Revisar Región DM")</x:f>
        <x:v>Correcta</x:v>
      </x:c>
      <x:c r="E236" s="45" t="str">
        <x:f>IF(COUNTIFS('Ubicaciones'!$C$2:$C$10001,A236)=1,"Único","Duplicado")</x:f>
        <x:v>Único</x:v>
      </x:c>
      <x:c r="F236" s="45" t="str">
        <x:f>IF('Ubicaciones'!T236=1,"Ubicable",IF('Ubicaciones'!E236&lt;&gt;"Abierta","Fuera por estatus","Coordenadas pendientes"))</x:f>
        <x:v>Ubicable</x:v>
      </x:c>
    </x:row>
    <x:row r="237" ht="23" customHeight="1">
      <x:c r="A237" s="45" t="str">
        <x:f>'Ubicaciones'!C237</x:f>
        <x:v>38534</x:v>
      </x:c>
      <x:c r="B237" s="45" t="str">
        <x:f>'Ubicaciones'!A237</x:f>
        <x:v>Centro Poniente</x:v>
      </x:c>
      <x:c r="C237" s="45" t="str">
        <x:f>'Ubicaciones'!B237</x:f>
        <x:v>Erika Julieta Contreras Aguilar</x:v>
      </x:c>
      <x:c r="D237" s="45" t="str">
        <x:f>IF(COUNTIFS('Catalogos'!$A$2:$A$41,B237,'Catalogos'!$B$2:$B$41,C237)&gt;0,"Correcta","Revisar Región DM")</x:f>
        <x:v>Correcta</x:v>
      </x:c>
      <x:c r="E237" s="45" t="str">
        <x:f>IF(COUNTIFS('Ubicaciones'!$C$2:$C$10001,A237)=1,"Único","Duplicado")</x:f>
        <x:v>Único</x:v>
      </x:c>
      <x:c r="F237" s="45" t="str">
        <x:f>IF('Ubicaciones'!T237=1,"Ubicable",IF('Ubicaciones'!E237&lt;&gt;"Abierta","Fuera por estatus","Coordenadas pendientes"))</x:f>
        <x:v>Ubicable</x:v>
      </x:c>
    </x:row>
    <x:row r="238" ht="23" customHeight="1">
      <x:c r="A238" s="45" t="str">
        <x:f>'Ubicaciones'!C238</x:f>
        <x:v>38607</x:v>
      </x:c>
      <x:c r="B238" s="45" t="str">
        <x:f>'Ubicaciones'!A238</x:f>
        <x:v>Centro Poniente</x:v>
      </x:c>
      <x:c r="C238" s="45" t="str">
        <x:f>'Ubicaciones'!B238</x:f>
        <x:v>Erika Julieta Contreras Aguilar</x:v>
      </x:c>
      <x:c r="D238" s="45" t="str">
        <x:f>IF(COUNTIFS('Catalogos'!$A$2:$A$41,B238,'Catalogos'!$B$2:$B$41,C238)&gt;0,"Correcta","Revisar Región DM")</x:f>
        <x:v>Correcta</x:v>
      </x:c>
      <x:c r="E238" s="45" t="str">
        <x:f>IF(COUNTIFS('Ubicaciones'!$C$2:$C$10001,A238)=1,"Único","Duplicado")</x:f>
        <x:v>Único</x:v>
      </x:c>
      <x:c r="F238" s="45" t="str">
        <x:f>IF('Ubicaciones'!T238=1,"Ubicable",IF('Ubicaciones'!E238&lt;&gt;"Abierta","Fuera por estatus","Coordenadas pendientes"))</x:f>
        <x:v>Ubicable</x:v>
      </x:c>
    </x:row>
    <x:row r="239" ht="23" customHeight="1">
      <x:c r="A239" s="45" t="str">
        <x:f>'Ubicaciones'!C239</x:f>
        <x:v>38633</x:v>
      </x:c>
      <x:c r="B239" s="45" t="str">
        <x:f>'Ubicaciones'!A239</x:f>
        <x:v>Centro Poniente</x:v>
      </x:c>
      <x:c r="C239" s="45" t="str">
        <x:f>'Ubicaciones'!B239</x:f>
        <x:v>Erika Julieta Contreras Aguilar</x:v>
      </x:c>
      <x:c r="D239" s="45" t="str">
        <x:f>IF(COUNTIFS('Catalogos'!$A$2:$A$41,B239,'Catalogos'!$B$2:$B$41,C239)&gt;0,"Correcta","Revisar Región DM")</x:f>
        <x:v>Correcta</x:v>
      </x:c>
      <x:c r="E239" s="45" t="str">
        <x:f>IF(COUNTIFS('Ubicaciones'!$C$2:$C$10001,A239)=1,"Único","Duplicado")</x:f>
        <x:v>Único</x:v>
      </x:c>
      <x:c r="F239" s="45" t="str">
        <x:f>IF('Ubicaciones'!T239=1,"Ubicable",IF('Ubicaciones'!E239&lt;&gt;"Abierta","Fuera por estatus","Coordenadas pendientes"))</x:f>
        <x:v>Ubicable</x:v>
      </x:c>
    </x:row>
    <x:row r="240" ht="23" customHeight="1">
      <x:c r="A240" s="45" t="str">
        <x:f>'Ubicaciones'!C240</x:f>
        <x:v>38704</x:v>
      </x:c>
      <x:c r="B240" s="45" t="str">
        <x:f>'Ubicaciones'!A240</x:f>
        <x:v>Centro Poniente</x:v>
      </x:c>
      <x:c r="C240" s="45" t="str">
        <x:f>'Ubicaciones'!B240</x:f>
        <x:v>Erika Julieta Contreras Aguilar</x:v>
      </x:c>
      <x:c r="D240" s="45" t="str">
        <x:f>IF(COUNTIFS('Catalogos'!$A$2:$A$41,B240,'Catalogos'!$B$2:$B$41,C240)&gt;0,"Correcta","Revisar Región DM")</x:f>
        <x:v>Correcta</x:v>
      </x:c>
      <x:c r="E240" s="45" t="str">
        <x:f>IF(COUNTIFS('Ubicaciones'!$C$2:$C$10001,A240)=1,"Único","Duplicado")</x:f>
        <x:v>Único</x:v>
      </x:c>
      <x:c r="F240" s="45" t="str">
        <x:f>IF('Ubicaciones'!T240=1,"Ubicable",IF('Ubicaciones'!E240&lt;&gt;"Abierta","Fuera por estatus","Coordenadas pendientes"))</x:f>
        <x:v>Ubicable</x:v>
      </x:c>
    </x:row>
    <x:row r="241" ht="23" customHeight="1">
      <x:c r="A241" s="45" t="str">
        <x:f>'Ubicaciones'!C241</x:f>
        <x:v>38747</x:v>
      </x:c>
      <x:c r="B241" s="45" t="str">
        <x:f>'Ubicaciones'!A241</x:f>
        <x:v>Centro Poniente</x:v>
      </x:c>
      <x:c r="C241" s="45" t="str">
        <x:f>'Ubicaciones'!B241</x:f>
        <x:v>Erika Julieta Contreras Aguilar</x:v>
      </x:c>
      <x:c r="D241" s="45" t="str">
        <x:f>IF(COUNTIFS('Catalogos'!$A$2:$A$41,B241,'Catalogos'!$B$2:$B$41,C241)&gt;0,"Correcta","Revisar Región DM")</x:f>
        <x:v>Correcta</x:v>
      </x:c>
      <x:c r="E241" s="45" t="str">
        <x:f>IF(COUNTIFS('Ubicaciones'!$C$2:$C$10001,A241)=1,"Único","Duplicado")</x:f>
        <x:v>Único</x:v>
      </x:c>
      <x:c r="F241" s="45" t="str">
        <x:f>IF('Ubicaciones'!T241=1,"Ubicable",IF('Ubicaciones'!E241&lt;&gt;"Abierta","Fuera por estatus","Coordenadas pendientes"))</x:f>
        <x:v>Ubicable</x:v>
      </x:c>
    </x:row>
    <x:row r="242" ht="23" customHeight="1">
      <x:c r="A242" s="45" t="str">
        <x:f>'Ubicaciones'!C242</x:f>
        <x:v>38749</x:v>
      </x:c>
      <x:c r="B242" s="45" t="str">
        <x:f>'Ubicaciones'!A242</x:f>
        <x:v>Centro Poniente</x:v>
      </x:c>
      <x:c r="C242" s="45" t="str">
        <x:f>'Ubicaciones'!B242</x:f>
        <x:v>Erika Julieta Contreras Aguilar</x:v>
      </x:c>
      <x:c r="D242" s="45" t="str">
        <x:f>IF(COUNTIFS('Catalogos'!$A$2:$A$41,B242,'Catalogos'!$B$2:$B$41,C242)&gt;0,"Correcta","Revisar Región DM")</x:f>
        <x:v>Correcta</x:v>
      </x:c>
      <x:c r="E242" s="45" t="str">
        <x:f>IF(COUNTIFS('Ubicaciones'!$C$2:$C$10001,A242)=1,"Único","Duplicado")</x:f>
        <x:v>Único</x:v>
      </x:c>
      <x:c r="F242" s="45" t="str">
        <x:f>IF('Ubicaciones'!T242=1,"Ubicable",IF('Ubicaciones'!E242&lt;&gt;"Abierta","Fuera por estatus","Coordenadas pendientes"))</x:f>
        <x:v>Ubicable</x:v>
      </x:c>
    </x:row>
    <x:row r="243" ht="23" customHeight="1">
      <x:c r="A243" s="45" t="str">
        <x:f>'Ubicaciones'!C243</x:f>
        <x:v>38158</x:v>
      </x:c>
      <x:c r="B243" s="45" t="str">
        <x:f>'Ubicaciones'!A243</x:f>
        <x:v>Centro Poniente</x:v>
      </x:c>
      <x:c r="C243" s="45" t="str">
        <x:f>'Ubicaciones'!B243</x:f>
        <x:v>José de Jesús Magos Arzaluz</x:v>
      </x:c>
      <x:c r="D243" s="45" t="str">
        <x:f>IF(COUNTIFS('Catalogos'!$A$2:$A$41,B243,'Catalogos'!$B$2:$B$41,C243)&gt;0,"Correcta","Revisar Región DM")</x:f>
        <x:v>Correcta</x:v>
      </x:c>
      <x:c r="E243" s="45" t="str">
        <x:f>IF(COUNTIFS('Ubicaciones'!$C$2:$C$10001,A243)=1,"Único","Duplicado")</x:f>
        <x:v>Único</x:v>
      </x:c>
      <x:c r="F243" s="45" t="str">
        <x:f>IF('Ubicaciones'!T243=1,"Ubicable",IF('Ubicaciones'!E243&lt;&gt;"Abierta","Fuera por estatus","Coordenadas pendientes"))</x:f>
        <x:v>Ubicable</x:v>
      </x:c>
    </x:row>
    <x:row r="244" ht="23" customHeight="1">
      <x:c r="A244" s="45" t="str">
        <x:f>'Ubicaciones'!C244</x:f>
        <x:v>38166</x:v>
      </x:c>
      <x:c r="B244" s="45" t="str">
        <x:f>'Ubicaciones'!A244</x:f>
        <x:v>Centro Poniente</x:v>
      </x:c>
      <x:c r="C244" s="45" t="str">
        <x:f>'Ubicaciones'!B244</x:f>
        <x:v>José de Jesús Magos Arzaluz</x:v>
      </x:c>
      <x:c r="D244" s="45" t="str">
        <x:f>IF(COUNTIFS('Catalogos'!$A$2:$A$41,B244,'Catalogos'!$B$2:$B$41,C244)&gt;0,"Correcta","Revisar Región DM")</x:f>
        <x:v>Correcta</x:v>
      </x:c>
      <x:c r="E244" s="45" t="str">
        <x:f>IF(COUNTIFS('Ubicaciones'!$C$2:$C$10001,A244)=1,"Único","Duplicado")</x:f>
        <x:v>Único</x:v>
      </x:c>
      <x:c r="F244" s="45" t="str">
        <x:f>IF('Ubicaciones'!T244=1,"Ubicable",IF('Ubicaciones'!E244&lt;&gt;"Abierta","Fuera por estatus","Coordenadas pendientes"))</x:f>
        <x:v>Ubicable</x:v>
      </x:c>
    </x:row>
    <x:row r="245" ht="23" customHeight="1">
      <x:c r="A245" s="45" t="str">
        <x:f>'Ubicaciones'!C245</x:f>
        <x:v>38390</x:v>
      </x:c>
      <x:c r="B245" s="45" t="str">
        <x:f>'Ubicaciones'!A245</x:f>
        <x:v>Centro Poniente</x:v>
      </x:c>
      <x:c r="C245" s="45" t="str">
        <x:f>'Ubicaciones'!B245</x:f>
        <x:v>José de Jesús Magos Arzaluz</x:v>
      </x:c>
      <x:c r="D245" s="45" t="str">
        <x:f>IF(COUNTIFS('Catalogos'!$A$2:$A$41,B245,'Catalogos'!$B$2:$B$41,C245)&gt;0,"Correcta","Revisar Región DM")</x:f>
        <x:v>Correcta</x:v>
      </x:c>
      <x:c r="E245" s="45" t="str">
        <x:f>IF(COUNTIFS('Ubicaciones'!$C$2:$C$10001,A245)=1,"Único","Duplicado")</x:f>
        <x:v>Único</x:v>
      </x:c>
      <x:c r="F245" s="45" t="str">
        <x:f>IF('Ubicaciones'!T245=1,"Ubicable",IF('Ubicaciones'!E245&lt;&gt;"Abierta","Fuera por estatus","Coordenadas pendientes"))</x:f>
        <x:v>Ubicable</x:v>
      </x:c>
    </x:row>
    <x:row r="246" ht="23" customHeight="1">
      <x:c r="A246" s="45" t="str">
        <x:f>'Ubicaciones'!C246</x:f>
        <x:v>38400</x:v>
      </x:c>
      <x:c r="B246" s="45" t="str">
        <x:f>'Ubicaciones'!A246</x:f>
        <x:v>Centro Poniente</x:v>
      </x:c>
      <x:c r="C246" s="45" t="str">
        <x:f>'Ubicaciones'!B246</x:f>
        <x:v>José de Jesús Magos Arzaluz</x:v>
      </x:c>
      <x:c r="D246" s="45" t="str">
        <x:f>IF(COUNTIFS('Catalogos'!$A$2:$A$41,B246,'Catalogos'!$B$2:$B$41,C246)&gt;0,"Correcta","Revisar Región DM")</x:f>
        <x:v>Correcta</x:v>
      </x:c>
      <x:c r="E246" s="45" t="str">
        <x:f>IF(COUNTIFS('Ubicaciones'!$C$2:$C$10001,A246)=1,"Único","Duplicado")</x:f>
        <x:v>Único</x:v>
      </x:c>
      <x:c r="F246" s="45" t="str">
        <x:f>IF('Ubicaciones'!T246=1,"Ubicable",IF('Ubicaciones'!E246&lt;&gt;"Abierta","Fuera por estatus","Coordenadas pendientes"))</x:f>
        <x:v>Ubicable</x:v>
      </x:c>
    </x:row>
    <x:row r="247" ht="23" customHeight="1">
      <x:c r="A247" s="45" t="str">
        <x:f>'Ubicaciones'!C247</x:f>
        <x:v>38445</x:v>
      </x:c>
      <x:c r="B247" s="45" t="str">
        <x:f>'Ubicaciones'!A247</x:f>
        <x:v>Centro Poniente</x:v>
      </x:c>
      <x:c r="C247" s="45" t="str">
        <x:f>'Ubicaciones'!B247</x:f>
        <x:v>José de Jesús Magos Arzaluz</x:v>
      </x:c>
      <x:c r="D247" s="45" t="str">
        <x:f>IF(COUNTIFS('Catalogos'!$A$2:$A$41,B247,'Catalogos'!$B$2:$B$41,C247)&gt;0,"Correcta","Revisar Región DM")</x:f>
        <x:v>Correcta</x:v>
      </x:c>
      <x:c r="E247" s="45" t="str">
        <x:f>IF(COUNTIFS('Ubicaciones'!$C$2:$C$10001,A247)=1,"Único","Duplicado")</x:f>
        <x:v>Único</x:v>
      </x:c>
      <x:c r="F247" s="45" t="str">
        <x:f>IF('Ubicaciones'!T247=1,"Ubicable",IF('Ubicaciones'!E247&lt;&gt;"Abierta","Fuera por estatus","Coordenadas pendientes"))</x:f>
        <x:v>Ubicable</x:v>
      </x:c>
    </x:row>
    <x:row r="248" ht="23" customHeight="1">
      <x:c r="A248" s="45" t="str">
        <x:f>'Ubicaciones'!C248</x:f>
        <x:v>38512</x:v>
      </x:c>
      <x:c r="B248" s="45" t="str">
        <x:f>'Ubicaciones'!A248</x:f>
        <x:v>Centro Poniente</x:v>
      </x:c>
      <x:c r="C248" s="45" t="str">
        <x:f>'Ubicaciones'!B248</x:f>
        <x:v>José de Jesús Magos Arzaluz</x:v>
      </x:c>
      <x:c r="D248" s="45" t="str">
        <x:f>IF(COUNTIFS('Catalogos'!$A$2:$A$41,B248,'Catalogos'!$B$2:$B$41,C248)&gt;0,"Correcta","Revisar Región DM")</x:f>
        <x:v>Correcta</x:v>
      </x:c>
      <x:c r="E248" s="45" t="str">
        <x:f>IF(COUNTIFS('Ubicaciones'!$C$2:$C$10001,A248)=1,"Único","Duplicado")</x:f>
        <x:v>Único</x:v>
      </x:c>
      <x:c r="F248" s="45" t="str">
        <x:f>IF('Ubicaciones'!T248=1,"Ubicable",IF('Ubicaciones'!E248&lt;&gt;"Abierta","Fuera por estatus","Coordenadas pendientes"))</x:f>
        <x:v>Ubicable</x:v>
      </x:c>
    </x:row>
    <x:row r="249" ht="23" customHeight="1">
      <x:c r="A249" s="45" t="str">
        <x:f>'Ubicaciones'!C249</x:f>
        <x:v>38532</x:v>
      </x:c>
      <x:c r="B249" s="45" t="str">
        <x:f>'Ubicaciones'!A249</x:f>
        <x:v>Centro Poniente</x:v>
      </x:c>
      <x:c r="C249" s="45" t="str">
        <x:f>'Ubicaciones'!B249</x:f>
        <x:v>José de Jesús Magos Arzaluz</x:v>
      </x:c>
      <x:c r="D249" s="45" t="str">
        <x:f>IF(COUNTIFS('Catalogos'!$A$2:$A$41,B249,'Catalogos'!$B$2:$B$41,C249)&gt;0,"Correcta","Revisar Región DM")</x:f>
        <x:v>Correcta</x:v>
      </x:c>
      <x:c r="E249" s="45" t="str">
        <x:f>IF(COUNTIFS('Ubicaciones'!$C$2:$C$10001,A249)=1,"Único","Duplicado")</x:f>
        <x:v>Único</x:v>
      </x:c>
      <x:c r="F249" s="45" t="str">
        <x:f>IF('Ubicaciones'!T249=1,"Ubicable",IF('Ubicaciones'!E249&lt;&gt;"Abierta","Fuera por estatus","Coordenadas pendientes"))</x:f>
        <x:v>Ubicable</x:v>
      </x:c>
    </x:row>
    <x:row r="250" ht="23" customHeight="1">
      <x:c r="A250" s="45" t="str">
        <x:f>'Ubicaciones'!C250</x:f>
        <x:v>38751</x:v>
      </x:c>
      <x:c r="B250" s="45" t="str">
        <x:f>'Ubicaciones'!A250</x:f>
        <x:v>Centro Poniente</x:v>
      </x:c>
      <x:c r="C250" s="45" t="str">
        <x:f>'Ubicaciones'!B250</x:f>
        <x:v>José de Jesús Magos Arzaluz</x:v>
      </x:c>
      <x:c r="D250" s="45" t="str">
        <x:f>IF(COUNTIFS('Catalogos'!$A$2:$A$41,B250,'Catalogos'!$B$2:$B$41,C250)&gt;0,"Correcta","Revisar Región DM")</x:f>
        <x:v>Correcta</x:v>
      </x:c>
      <x:c r="E250" s="45" t="str">
        <x:f>IF(COUNTIFS('Ubicaciones'!$C$2:$C$10001,A250)=1,"Único","Duplicado")</x:f>
        <x:v>Único</x:v>
      </x:c>
      <x:c r="F250" s="45" t="str">
        <x:f>IF('Ubicaciones'!T250=1,"Ubicable",IF('Ubicaciones'!E250&lt;&gt;"Abierta","Fuera por estatus","Coordenadas pendientes"))</x:f>
        <x:v>Ubicable</x:v>
      </x:c>
    </x:row>
    <x:row r="251" ht="23" customHeight="1">
      <x:c r="A251" s="45" t="str">
        <x:f>'Ubicaciones'!C251</x:f>
        <x:v>38755</x:v>
      </x:c>
      <x:c r="B251" s="45" t="str">
        <x:f>'Ubicaciones'!A251</x:f>
        <x:v>Centro Poniente</x:v>
      </x:c>
      <x:c r="C251" s="45" t="str">
        <x:f>'Ubicaciones'!B251</x:f>
        <x:v>José de Jesús Magos Arzaluz</x:v>
      </x:c>
      <x:c r="D251" s="45" t="str">
        <x:f>IF(COUNTIFS('Catalogos'!$A$2:$A$41,B251,'Catalogos'!$B$2:$B$41,C251)&gt;0,"Correcta","Revisar Región DM")</x:f>
        <x:v>Correcta</x:v>
      </x:c>
      <x:c r="E251" s="45" t="str">
        <x:f>IF(COUNTIFS('Ubicaciones'!$C$2:$C$10001,A251)=1,"Único","Duplicado")</x:f>
        <x:v>Único</x:v>
      </x:c>
      <x:c r="F251" s="45" t="str">
        <x:f>IF('Ubicaciones'!T251=1,"Ubicable",IF('Ubicaciones'!E251&lt;&gt;"Abierta","Fuera por estatus","Coordenadas pendientes"))</x:f>
        <x:v>Ubicable</x:v>
      </x:c>
    </x:row>
    <x:row r="252" ht="23" customHeight="1">
      <x:c r="A252" s="45" t="str">
        <x:f>'Ubicaciones'!C252</x:f>
        <x:v>38777</x:v>
      </x:c>
      <x:c r="B252" s="45" t="str">
        <x:f>'Ubicaciones'!A252</x:f>
        <x:v>Centro Poniente</x:v>
      </x:c>
      <x:c r="C252" s="45" t="str">
        <x:f>'Ubicaciones'!B252</x:f>
        <x:v>José de Jesús Magos Arzaluz</x:v>
      </x:c>
      <x:c r="D252" s="45" t="str">
        <x:f>IF(COUNTIFS('Catalogos'!$A$2:$A$41,B252,'Catalogos'!$B$2:$B$41,C252)&gt;0,"Correcta","Revisar Región DM")</x:f>
        <x:v>Correcta</x:v>
      </x:c>
      <x:c r="E252" s="45" t="str">
        <x:f>IF(COUNTIFS('Ubicaciones'!$C$2:$C$10001,A252)=1,"Único","Duplicado")</x:f>
        <x:v>Único</x:v>
      </x:c>
      <x:c r="F252" s="45" t="str">
        <x:f>IF('Ubicaciones'!T252=1,"Ubicable",IF('Ubicaciones'!E252&lt;&gt;"Abierta","Fuera por estatus","Coordenadas pendientes"))</x:f>
        <x:v>Ubicable</x:v>
      </x:c>
    </x:row>
    <x:row r="253" ht="23" customHeight="1">
      <x:c r="A253" s="45" t="str">
        <x:f>'Ubicaciones'!C253</x:f>
        <x:v>38780</x:v>
      </x:c>
      <x:c r="B253" s="45" t="str">
        <x:f>'Ubicaciones'!A253</x:f>
        <x:v>Centro Poniente</x:v>
      </x:c>
      <x:c r="C253" s="45" t="str">
        <x:f>'Ubicaciones'!B253</x:f>
        <x:v>José de Jesús Magos Arzaluz</x:v>
      </x:c>
      <x:c r="D253" s="45" t="str">
        <x:f>IF(COUNTIFS('Catalogos'!$A$2:$A$41,B253,'Catalogos'!$B$2:$B$41,C253)&gt;0,"Correcta","Revisar Región DM")</x:f>
        <x:v>Correcta</x:v>
      </x:c>
      <x:c r="E253" s="45" t="str">
        <x:f>IF(COUNTIFS('Ubicaciones'!$C$2:$C$10001,A253)=1,"Único","Duplicado")</x:f>
        <x:v>Único</x:v>
      </x:c>
      <x:c r="F253" s="45" t="str">
        <x:f>IF('Ubicaciones'!T253=1,"Ubicable",IF('Ubicaciones'!E253&lt;&gt;"Abierta","Fuera por estatus","Coordenadas pendientes"))</x:f>
        <x:v>Ubicable</x:v>
      </x:c>
    </x:row>
    <x:row r="254" ht="23" customHeight="1">
      <x:c r="A254" s="45" t="str">
        <x:f>'Ubicaciones'!C254</x:f>
        <x:v>38798</x:v>
      </x:c>
      <x:c r="B254" s="45" t="str">
        <x:f>'Ubicaciones'!A254</x:f>
        <x:v>Centro Poniente</x:v>
      </x:c>
      <x:c r="C254" s="45" t="str">
        <x:f>'Ubicaciones'!B254</x:f>
        <x:v>José de Jesús Magos Arzaluz</x:v>
      </x:c>
      <x:c r="D254" s="45" t="str">
        <x:f>IF(COUNTIFS('Catalogos'!$A$2:$A$41,B254,'Catalogos'!$B$2:$B$41,C254)&gt;0,"Correcta","Revisar Región DM")</x:f>
        <x:v>Correcta</x:v>
      </x:c>
      <x:c r="E254" s="45" t="str">
        <x:f>IF(COUNTIFS('Ubicaciones'!$C$2:$C$10001,A254)=1,"Único","Duplicado")</x:f>
        <x:v>Único</x:v>
      </x:c>
      <x:c r="F254" s="45" t="str">
        <x:f>IF('Ubicaciones'!T254=1,"Ubicable",IF('Ubicaciones'!E254&lt;&gt;"Abierta","Fuera por estatus","Coordenadas pendientes"))</x:f>
        <x:v>Ubicable</x:v>
      </x:c>
    </x:row>
    <x:row r="255" ht="23" customHeight="1">
      <x:c r="A255" s="45" t="str">
        <x:f>'Ubicaciones'!C255</x:f>
        <x:v>38810</x:v>
      </x:c>
      <x:c r="B255" s="45" t="str">
        <x:f>'Ubicaciones'!A255</x:f>
        <x:v>Centro Poniente</x:v>
      </x:c>
      <x:c r="C255" s="45" t="str">
        <x:f>'Ubicaciones'!B255</x:f>
        <x:v>José de Jesús Magos Arzaluz</x:v>
      </x:c>
      <x:c r="D255" s="45" t="str">
        <x:f>IF(COUNTIFS('Catalogos'!$A$2:$A$41,B255,'Catalogos'!$B$2:$B$41,C255)&gt;0,"Correcta","Revisar Región DM")</x:f>
        <x:v>Correcta</x:v>
      </x:c>
      <x:c r="E255" s="45" t="str">
        <x:f>IF(COUNTIFS('Ubicaciones'!$C$2:$C$10001,A255)=1,"Único","Duplicado")</x:f>
        <x:v>Único</x:v>
      </x:c>
      <x:c r="F255" s="45" t="str">
        <x:f>IF('Ubicaciones'!T255=1,"Ubicable",IF('Ubicaciones'!E255&lt;&gt;"Abierta","Fuera por estatus","Coordenadas pendientes"))</x:f>
        <x:v>Ubicable</x:v>
      </x:c>
    </x:row>
    <x:row r="256" ht="23" customHeight="1">
      <x:c r="A256" s="45" t="str">
        <x:f>'Ubicaciones'!C256</x:f>
        <x:v>38929</x:v>
      </x:c>
      <x:c r="B256" s="45" t="str">
        <x:f>'Ubicaciones'!A256</x:f>
        <x:v>Centro Poniente</x:v>
      </x:c>
      <x:c r="C256" s="45" t="str">
        <x:f>'Ubicaciones'!B256</x:f>
        <x:v>José de Jesús Magos Arzaluz</x:v>
      </x:c>
      <x:c r="D256" s="45" t="str">
        <x:f>IF(COUNTIFS('Catalogos'!$A$2:$A$41,B256,'Catalogos'!$B$2:$B$41,C256)&gt;0,"Correcta","Revisar Región DM")</x:f>
        <x:v>Correcta</x:v>
      </x:c>
      <x:c r="E256" s="45" t="str">
        <x:f>IF(COUNTIFS('Ubicaciones'!$C$2:$C$10001,A256)=1,"Único","Duplicado")</x:f>
        <x:v>Único</x:v>
      </x:c>
      <x:c r="F256" s="45" t="str">
        <x:f>IF('Ubicaciones'!T256=1,"Ubicable",IF('Ubicaciones'!E256&lt;&gt;"Abierta","Fuera por estatus","Coordenadas pendientes"))</x:f>
        <x:v>Ubicable</x:v>
      </x:c>
    </x:row>
    <x:row r="257" ht="23" customHeight="1">
      <x:c r="A257" s="45" t="str">
        <x:f>'Ubicaciones'!C257</x:f>
        <x:v>43162</x:v>
      </x:c>
      <x:c r="B257" s="45" t="str">
        <x:f>'Ubicaciones'!A257</x:f>
        <x:v>Centro Poniente</x:v>
      </x:c>
      <x:c r="C257" s="45" t="str">
        <x:f>'Ubicaciones'!B257</x:f>
        <x:v>José de Jesús Magos Arzaluz</x:v>
      </x:c>
      <x:c r="D257" s="45" t="str">
        <x:f>IF(COUNTIFS('Catalogos'!$A$2:$A$41,B257,'Catalogos'!$B$2:$B$41,C257)&gt;0,"Correcta","Revisar Región DM")</x:f>
        <x:v>Correcta</x:v>
      </x:c>
      <x:c r="E257" s="45" t="str">
        <x:f>IF(COUNTIFS('Ubicaciones'!$C$2:$C$10001,A257)=1,"Único","Duplicado")</x:f>
        <x:v>Único</x:v>
      </x:c>
      <x:c r="F257" s="45" t="str">
        <x:f>IF('Ubicaciones'!T257=1,"Ubicable",IF('Ubicaciones'!E257&lt;&gt;"Abierta","Fuera por estatus","Coordenadas pendientes"))</x:f>
        <x:v>Ubicable</x:v>
      </x:c>
    </x:row>
    <x:row r="258" ht="23" customHeight="1">
      <x:c r="A258" s="45" t="str">
        <x:f>'Ubicaciones'!C258</x:f>
        <x:v>38193</x:v>
      </x:c>
      <x:c r="B258" s="45" t="str">
        <x:f>'Ubicaciones'!A258</x:f>
        <x:v>Centro Poniente</x:v>
      </x:c>
      <x:c r="C258" s="45" t="str">
        <x:f>'Ubicaciones'!B258</x:f>
        <x:v>Juan Jesus Zuñiga Flores</x:v>
      </x:c>
      <x:c r="D258" s="45" t="str">
        <x:f>IF(COUNTIFS('Catalogos'!$A$2:$A$41,B258,'Catalogos'!$B$2:$B$41,C258)&gt;0,"Correcta","Revisar Región DM")</x:f>
        <x:v>Correcta</x:v>
      </x:c>
      <x:c r="E258" s="45" t="str">
        <x:f>IF(COUNTIFS('Ubicaciones'!$C$2:$C$10001,A258)=1,"Único","Duplicado")</x:f>
        <x:v>Único</x:v>
      </x:c>
      <x:c r="F258" s="45" t="str">
        <x:f>IF('Ubicaciones'!T258=1,"Ubicable",IF('Ubicaciones'!E258&lt;&gt;"Abierta","Fuera por estatus","Coordenadas pendientes"))</x:f>
        <x:v>Ubicable</x:v>
      </x:c>
    </x:row>
    <x:row r="259" ht="23" customHeight="1">
      <x:c r="A259" s="45" t="str">
        <x:f>'Ubicaciones'!C259</x:f>
        <x:v>38372</x:v>
      </x:c>
      <x:c r="B259" s="45" t="str">
        <x:f>'Ubicaciones'!A259</x:f>
        <x:v>Centro Poniente</x:v>
      </x:c>
      <x:c r="C259" s="45" t="str">
        <x:f>'Ubicaciones'!B259</x:f>
        <x:v>Juan Jesus Zuñiga Flores</x:v>
      </x:c>
      <x:c r="D259" s="45" t="str">
        <x:f>IF(COUNTIFS('Catalogos'!$A$2:$A$41,B259,'Catalogos'!$B$2:$B$41,C259)&gt;0,"Correcta","Revisar Región DM")</x:f>
        <x:v>Correcta</x:v>
      </x:c>
      <x:c r="E259" s="45" t="str">
        <x:f>IF(COUNTIFS('Ubicaciones'!$C$2:$C$10001,A259)=1,"Único","Duplicado")</x:f>
        <x:v>Único</x:v>
      </x:c>
      <x:c r="F259" s="45" t="str">
        <x:f>IF('Ubicaciones'!T259=1,"Ubicable",IF('Ubicaciones'!E259&lt;&gt;"Abierta","Fuera por estatus","Coordenadas pendientes"))</x:f>
        <x:v>Ubicable</x:v>
      </x:c>
    </x:row>
    <x:row r="260" ht="23" customHeight="1">
      <x:c r="A260" s="45" t="str">
        <x:f>'Ubicaciones'!C260</x:f>
        <x:v>38416</x:v>
      </x:c>
      <x:c r="B260" s="45" t="str">
        <x:f>'Ubicaciones'!A260</x:f>
        <x:v>Centro Poniente</x:v>
      </x:c>
      <x:c r="C260" s="45" t="str">
        <x:f>'Ubicaciones'!B260</x:f>
        <x:v>Juan Jesus Zuñiga Flores</x:v>
      </x:c>
      <x:c r="D260" s="45" t="str">
        <x:f>IF(COUNTIFS('Catalogos'!$A$2:$A$41,B260,'Catalogos'!$B$2:$B$41,C260)&gt;0,"Correcta","Revisar Región DM")</x:f>
        <x:v>Correcta</x:v>
      </x:c>
      <x:c r="E260" s="45" t="str">
        <x:f>IF(COUNTIFS('Ubicaciones'!$C$2:$C$10001,A260)=1,"Único","Duplicado")</x:f>
        <x:v>Único</x:v>
      </x:c>
      <x:c r="F260" s="45" t="str">
        <x:f>IF('Ubicaciones'!T260=1,"Ubicable",IF('Ubicaciones'!E260&lt;&gt;"Abierta","Fuera por estatus","Coordenadas pendientes"))</x:f>
        <x:v>Ubicable</x:v>
      </x:c>
    </x:row>
    <x:row r="261" ht="23" customHeight="1">
      <x:c r="A261" s="45" t="str">
        <x:f>'Ubicaciones'!C261</x:f>
        <x:v>38499</x:v>
      </x:c>
      <x:c r="B261" s="45" t="str">
        <x:f>'Ubicaciones'!A261</x:f>
        <x:v>Centro Poniente</x:v>
      </x:c>
      <x:c r="C261" s="45" t="str">
        <x:f>'Ubicaciones'!B261</x:f>
        <x:v>Juan Jesus Zuñiga Flores</x:v>
      </x:c>
      <x:c r="D261" s="45" t="str">
        <x:f>IF(COUNTIFS('Catalogos'!$A$2:$A$41,B261,'Catalogos'!$B$2:$B$41,C261)&gt;0,"Correcta","Revisar Región DM")</x:f>
        <x:v>Correcta</x:v>
      </x:c>
      <x:c r="E261" s="45" t="str">
        <x:f>IF(COUNTIFS('Ubicaciones'!$C$2:$C$10001,A261)=1,"Único","Duplicado")</x:f>
        <x:v>Único</x:v>
      </x:c>
      <x:c r="F261" s="45" t="str">
        <x:f>IF('Ubicaciones'!T261=1,"Ubicable",IF('Ubicaciones'!E261&lt;&gt;"Abierta","Fuera por estatus","Coordenadas pendientes"))</x:f>
        <x:v>Ubicable</x:v>
      </x:c>
    </x:row>
    <x:row r="262" ht="23" customHeight="1">
      <x:c r="A262" s="45" t="str">
        <x:f>'Ubicaciones'!C262</x:f>
        <x:v>38530</x:v>
      </x:c>
      <x:c r="B262" s="45" t="str">
        <x:f>'Ubicaciones'!A262</x:f>
        <x:v>Centro Poniente</x:v>
      </x:c>
      <x:c r="C262" s="45" t="str">
        <x:f>'Ubicaciones'!B262</x:f>
        <x:v>Juan Jesus Zuñiga Flores</x:v>
      </x:c>
      <x:c r="D262" s="45" t="str">
        <x:f>IF(COUNTIFS('Catalogos'!$A$2:$A$41,B262,'Catalogos'!$B$2:$B$41,C262)&gt;0,"Correcta","Revisar Región DM")</x:f>
        <x:v>Correcta</x:v>
      </x:c>
      <x:c r="E262" s="45" t="str">
        <x:f>IF(COUNTIFS('Ubicaciones'!$C$2:$C$10001,A262)=1,"Único","Duplicado")</x:f>
        <x:v>Único</x:v>
      </x:c>
      <x:c r="F262" s="45" t="str">
        <x:f>IF('Ubicaciones'!T262=1,"Ubicable",IF('Ubicaciones'!E262&lt;&gt;"Abierta","Fuera por estatus","Coordenadas pendientes"))</x:f>
        <x:v>Ubicable</x:v>
      </x:c>
    </x:row>
    <x:row r="263" ht="23" customHeight="1">
      <x:c r="A263" s="45" t="str">
        <x:f>'Ubicaciones'!C263</x:f>
        <x:v>38549</x:v>
      </x:c>
      <x:c r="B263" s="45" t="str">
        <x:f>'Ubicaciones'!A263</x:f>
        <x:v>Centro Poniente</x:v>
      </x:c>
      <x:c r="C263" s="45" t="str">
        <x:f>'Ubicaciones'!B263</x:f>
        <x:v>Juan Jesus Zuñiga Flores</x:v>
      </x:c>
      <x:c r="D263" s="45" t="str">
        <x:f>IF(COUNTIFS('Catalogos'!$A$2:$A$41,B263,'Catalogos'!$B$2:$B$41,C263)&gt;0,"Correcta","Revisar Región DM")</x:f>
        <x:v>Correcta</x:v>
      </x:c>
      <x:c r="E263" s="45" t="str">
        <x:f>IF(COUNTIFS('Ubicaciones'!$C$2:$C$10001,A263)=1,"Único","Duplicado")</x:f>
        <x:v>Único</x:v>
      </x:c>
      <x:c r="F263" s="45" t="str">
        <x:f>IF('Ubicaciones'!T263=1,"Ubicable",IF('Ubicaciones'!E263&lt;&gt;"Abierta","Fuera por estatus","Coordenadas pendientes"))</x:f>
        <x:v>Ubicable</x:v>
      </x:c>
    </x:row>
    <x:row r="264" ht="23" customHeight="1">
      <x:c r="A264" s="45" t="str">
        <x:f>'Ubicaciones'!C264</x:f>
        <x:v>38587</x:v>
      </x:c>
      <x:c r="B264" s="45" t="str">
        <x:f>'Ubicaciones'!A264</x:f>
        <x:v>Centro Poniente</x:v>
      </x:c>
      <x:c r="C264" s="45" t="str">
        <x:f>'Ubicaciones'!B264</x:f>
        <x:v>Juan Jesus Zuñiga Flores</x:v>
      </x:c>
      <x:c r="D264" s="45" t="str">
        <x:f>IF(COUNTIFS('Catalogos'!$A$2:$A$41,B264,'Catalogos'!$B$2:$B$41,C264)&gt;0,"Correcta","Revisar Región DM")</x:f>
        <x:v>Correcta</x:v>
      </x:c>
      <x:c r="E264" s="45" t="str">
        <x:f>IF(COUNTIFS('Ubicaciones'!$C$2:$C$10001,A264)=1,"Único","Duplicado")</x:f>
        <x:v>Único</x:v>
      </x:c>
      <x:c r="F264" s="45" t="str">
        <x:f>IF('Ubicaciones'!T264=1,"Ubicable",IF('Ubicaciones'!E264&lt;&gt;"Abierta","Fuera por estatus","Coordenadas pendientes"))</x:f>
        <x:v>Ubicable</x:v>
      </x:c>
    </x:row>
    <x:row r="265" ht="23" customHeight="1">
      <x:c r="A265" s="45" t="str">
        <x:f>'Ubicaciones'!C265</x:f>
        <x:v>38715</x:v>
      </x:c>
      <x:c r="B265" s="45" t="str">
        <x:f>'Ubicaciones'!A265</x:f>
        <x:v>Centro Poniente</x:v>
      </x:c>
      <x:c r="C265" s="45" t="str">
        <x:f>'Ubicaciones'!B265</x:f>
        <x:v>Juan Jesus Zuñiga Flores</x:v>
      </x:c>
      <x:c r="D265" s="45" t="str">
        <x:f>IF(COUNTIFS('Catalogos'!$A$2:$A$41,B265,'Catalogos'!$B$2:$B$41,C265)&gt;0,"Correcta","Revisar Región DM")</x:f>
        <x:v>Correcta</x:v>
      </x:c>
      <x:c r="E265" s="45" t="str">
        <x:f>IF(COUNTIFS('Ubicaciones'!$C$2:$C$10001,A265)=1,"Único","Duplicado")</x:f>
        <x:v>Único</x:v>
      </x:c>
      <x:c r="F265" s="45" t="str">
        <x:f>IF('Ubicaciones'!T265=1,"Ubicable",IF('Ubicaciones'!E265&lt;&gt;"Abierta","Fuera por estatus","Coordenadas pendientes"))</x:f>
        <x:v>Ubicable</x:v>
      </x:c>
    </x:row>
    <x:row r="266" ht="23" customHeight="1">
      <x:c r="A266" s="45" t="str">
        <x:f>'Ubicaciones'!C266</x:f>
        <x:v>38764</x:v>
      </x:c>
      <x:c r="B266" s="45" t="str">
        <x:f>'Ubicaciones'!A266</x:f>
        <x:v>Centro Poniente</x:v>
      </x:c>
      <x:c r="C266" s="45" t="str">
        <x:f>'Ubicaciones'!B266</x:f>
        <x:v>Juan Jesus Zuñiga Flores</x:v>
      </x:c>
      <x:c r="D266" s="45" t="str">
        <x:f>IF(COUNTIFS('Catalogos'!$A$2:$A$41,B266,'Catalogos'!$B$2:$B$41,C266)&gt;0,"Correcta","Revisar Región DM")</x:f>
        <x:v>Correcta</x:v>
      </x:c>
      <x:c r="E266" s="45" t="str">
        <x:f>IF(COUNTIFS('Ubicaciones'!$C$2:$C$10001,A266)=1,"Único","Duplicado")</x:f>
        <x:v>Único</x:v>
      </x:c>
      <x:c r="F266" s="45" t="str">
        <x:f>IF('Ubicaciones'!T266=1,"Ubicable",IF('Ubicaciones'!E266&lt;&gt;"Abierta","Fuera por estatus","Coordenadas pendientes"))</x:f>
        <x:v>Ubicable</x:v>
      </x:c>
    </x:row>
    <x:row r="267" ht="23" customHeight="1">
      <x:c r="A267" s="45" t="str">
        <x:f>'Ubicaciones'!C267</x:f>
        <x:v>38951</x:v>
      </x:c>
      <x:c r="B267" s="45" t="str">
        <x:f>'Ubicaciones'!A267</x:f>
        <x:v>Centro Poniente</x:v>
      </x:c>
      <x:c r="C267" s="45" t="str">
        <x:f>'Ubicaciones'!B267</x:f>
        <x:v>Juan Jesus Zuñiga Flores</x:v>
      </x:c>
      <x:c r="D267" s="45" t="str">
        <x:f>IF(COUNTIFS('Catalogos'!$A$2:$A$41,B267,'Catalogos'!$B$2:$B$41,C267)&gt;0,"Correcta","Revisar Región DM")</x:f>
        <x:v>Correcta</x:v>
      </x:c>
      <x:c r="E267" s="45" t="str">
        <x:f>IF(COUNTIFS('Ubicaciones'!$C$2:$C$10001,A267)=1,"Único","Duplicado")</x:f>
        <x:v>Único</x:v>
      </x:c>
      <x:c r="F267" s="45" t="str">
        <x:f>IF('Ubicaciones'!T267=1,"Ubicable",IF('Ubicaciones'!E267&lt;&gt;"Abierta","Fuera por estatus","Coordenadas pendientes"))</x:f>
        <x:v>Ubicable</x:v>
      </x:c>
    </x:row>
    <x:row r="268" ht="23" customHeight="1">
      <x:c r="A268" s="45" t="str">
        <x:f>'Ubicaciones'!C268</x:f>
        <x:v>43105</x:v>
      </x:c>
      <x:c r="B268" s="45" t="str">
        <x:f>'Ubicaciones'!A268</x:f>
        <x:v>Centro Poniente</x:v>
      </x:c>
      <x:c r="C268" s="45" t="str">
        <x:f>'Ubicaciones'!B268</x:f>
        <x:v>Juan Jesus Zuñiga Flores</x:v>
      </x:c>
      <x:c r="D268" s="45" t="str">
        <x:f>IF(COUNTIFS('Catalogos'!$A$2:$A$41,B268,'Catalogos'!$B$2:$B$41,C268)&gt;0,"Correcta","Revisar Región DM")</x:f>
        <x:v>Correcta</x:v>
      </x:c>
      <x:c r="E268" s="45" t="str">
        <x:f>IF(COUNTIFS('Ubicaciones'!$C$2:$C$10001,A268)=1,"Único","Duplicado")</x:f>
        <x:v>Único</x:v>
      </x:c>
      <x:c r="F268" s="45" t="str">
        <x:f>IF('Ubicaciones'!T268=1,"Ubicable",IF('Ubicaciones'!E268&lt;&gt;"Abierta","Fuera por estatus","Coordenadas pendientes"))</x:f>
        <x:v>Ubicable</x:v>
      </x:c>
    </x:row>
    <x:row r="269" ht="23" customHeight="1">
      <x:c r="A269" s="45" t="str">
        <x:f>'Ubicaciones'!C269</x:f>
        <x:v>38121</x:v>
      </x:c>
      <x:c r="B269" s="45" t="str">
        <x:f>'Ubicaciones'!A269</x:f>
        <x:v>Centro Poniente</x:v>
      </x:c>
      <x:c r="C269" s="45" t="str">
        <x:f>'Ubicaciones'!B269</x:f>
        <x:v>Manuel Alejandro Avila Molina</x:v>
      </x:c>
      <x:c r="D269" s="45" t="str">
        <x:f>IF(COUNTIFS('Catalogos'!$A$2:$A$41,B269,'Catalogos'!$B$2:$B$41,C269)&gt;0,"Correcta","Revisar Región DM")</x:f>
        <x:v>Correcta</x:v>
      </x:c>
      <x:c r="E269" s="45" t="str">
        <x:f>IF(COUNTIFS('Ubicaciones'!$C$2:$C$10001,A269)=1,"Único","Duplicado")</x:f>
        <x:v>Único</x:v>
      </x:c>
      <x:c r="F269" s="45" t="str">
        <x:f>IF('Ubicaciones'!T269=1,"Ubicable",IF('Ubicaciones'!E269&lt;&gt;"Abierta","Fuera por estatus","Coordenadas pendientes"))</x:f>
        <x:v>Ubicable</x:v>
      </x:c>
    </x:row>
    <x:row r="270" ht="23" customHeight="1">
      <x:c r="A270" s="45" t="str">
        <x:f>'Ubicaciones'!C270</x:f>
        <x:v>38366</x:v>
      </x:c>
      <x:c r="B270" s="45" t="str">
        <x:f>'Ubicaciones'!A270</x:f>
        <x:v>Centro Poniente</x:v>
      </x:c>
      <x:c r="C270" s="45" t="str">
        <x:f>'Ubicaciones'!B270</x:f>
        <x:v>Manuel Alejandro Avila Molina</x:v>
      </x:c>
      <x:c r="D270" s="45" t="str">
        <x:f>IF(COUNTIFS('Catalogos'!$A$2:$A$41,B270,'Catalogos'!$B$2:$B$41,C270)&gt;0,"Correcta","Revisar Región DM")</x:f>
        <x:v>Correcta</x:v>
      </x:c>
      <x:c r="E270" s="45" t="str">
        <x:f>IF(COUNTIFS('Ubicaciones'!$C$2:$C$10001,A270)=1,"Único","Duplicado")</x:f>
        <x:v>Único</x:v>
      </x:c>
      <x:c r="F270" s="45" t="str">
        <x:f>IF('Ubicaciones'!T270=1,"Ubicable",IF('Ubicaciones'!E270&lt;&gt;"Abierta","Fuera por estatus","Coordenadas pendientes"))</x:f>
        <x:v>Ubicable</x:v>
      </x:c>
    </x:row>
    <x:row r="271" ht="23" customHeight="1">
      <x:c r="A271" s="45" t="str">
        <x:f>'Ubicaciones'!C271</x:f>
        <x:v>38386</x:v>
      </x:c>
      <x:c r="B271" s="45" t="str">
        <x:f>'Ubicaciones'!A271</x:f>
        <x:v>Centro Poniente</x:v>
      </x:c>
      <x:c r="C271" s="45" t="str">
        <x:f>'Ubicaciones'!B271</x:f>
        <x:v>Manuel Alejandro Avila Molina</x:v>
      </x:c>
      <x:c r="D271" s="45" t="str">
        <x:f>IF(COUNTIFS('Catalogos'!$A$2:$A$41,B271,'Catalogos'!$B$2:$B$41,C271)&gt;0,"Correcta","Revisar Región DM")</x:f>
        <x:v>Correcta</x:v>
      </x:c>
      <x:c r="E271" s="45" t="str">
        <x:f>IF(COUNTIFS('Ubicaciones'!$C$2:$C$10001,A271)=1,"Único","Duplicado")</x:f>
        <x:v>Único</x:v>
      </x:c>
      <x:c r="F271" s="45" t="str">
        <x:f>IF('Ubicaciones'!T271=1,"Ubicable",IF('Ubicaciones'!E271&lt;&gt;"Abierta","Fuera por estatus","Coordenadas pendientes"))</x:f>
        <x:v>Ubicable</x:v>
      </x:c>
    </x:row>
    <x:row r="272" ht="23" customHeight="1">
      <x:c r="A272" s="45" t="str">
        <x:f>'Ubicaciones'!C272</x:f>
        <x:v>38461</x:v>
      </x:c>
      <x:c r="B272" s="45" t="str">
        <x:f>'Ubicaciones'!A272</x:f>
        <x:v>Centro Poniente</x:v>
      </x:c>
      <x:c r="C272" s="45" t="str">
        <x:f>'Ubicaciones'!B272</x:f>
        <x:v>Manuel Alejandro Avila Molina</x:v>
      </x:c>
      <x:c r="D272" s="45" t="str">
        <x:f>IF(COUNTIFS('Catalogos'!$A$2:$A$41,B272,'Catalogos'!$B$2:$B$41,C272)&gt;0,"Correcta","Revisar Región DM")</x:f>
        <x:v>Correcta</x:v>
      </x:c>
      <x:c r="E272" s="45" t="str">
        <x:f>IF(COUNTIFS('Ubicaciones'!$C$2:$C$10001,A272)=1,"Único","Duplicado")</x:f>
        <x:v>Único</x:v>
      </x:c>
      <x:c r="F272" s="45" t="str">
        <x:f>IF('Ubicaciones'!T272=1,"Ubicable",IF('Ubicaciones'!E272&lt;&gt;"Abierta","Fuera por estatus","Coordenadas pendientes"))</x:f>
        <x:v>Ubicable</x:v>
      </x:c>
    </x:row>
    <x:row r="273" ht="23" customHeight="1">
      <x:c r="A273" s="45" t="str">
        <x:f>'Ubicaciones'!C273</x:f>
        <x:v>38538</x:v>
      </x:c>
      <x:c r="B273" s="45" t="str">
        <x:f>'Ubicaciones'!A273</x:f>
        <x:v>Centro Poniente</x:v>
      </x:c>
      <x:c r="C273" s="45" t="str">
        <x:f>'Ubicaciones'!B273</x:f>
        <x:v>Manuel Alejandro Avila Molina</x:v>
      </x:c>
      <x:c r="D273" s="45" t="str">
        <x:f>IF(COUNTIFS('Catalogos'!$A$2:$A$41,B273,'Catalogos'!$B$2:$B$41,C273)&gt;0,"Correcta","Revisar Región DM")</x:f>
        <x:v>Correcta</x:v>
      </x:c>
      <x:c r="E273" s="45" t="str">
        <x:f>IF(COUNTIFS('Ubicaciones'!$C$2:$C$10001,A273)=1,"Único","Duplicado")</x:f>
        <x:v>Único</x:v>
      </x:c>
      <x:c r="F273" s="45" t="str">
        <x:f>IF('Ubicaciones'!T273=1,"Ubicable",IF('Ubicaciones'!E273&lt;&gt;"Abierta","Fuera por estatus","Coordenadas pendientes"))</x:f>
        <x:v>Ubicable</x:v>
      </x:c>
    </x:row>
    <x:row r="274" ht="23" customHeight="1">
      <x:c r="A274" s="45" t="str">
        <x:f>'Ubicaciones'!C274</x:f>
        <x:v>38644</x:v>
      </x:c>
      <x:c r="B274" s="45" t="str">
        <x:f>'Ubicaciones'!A274</x:f>
        <x:v>Centro Poniente</x:v>
      </x:c>
      <x:c r="C274" s="45" t="str">
        <x:f>'Ubicaciones'!B274</x:f>
        <x:v>Manuel Alejandro Avila Molina</x:v>
      </x:c>
      <x:c r="D274" s="45" t="str">
        <x:f>IF(COUNTIFS('Catalogos'!$A$2:$A$41,B274,'Catalogos'!$B$2:$B$41,C274)&gt;0,"Correcta","Revisar Región DM")</x:f>
        <x:v>Correcta</x:v>
      </x:c>
      <x:c r="E274" s="45" t="str">
        <x:f>IF(COUNTIFS('Ubicaciones'!$C$2:$C$10001,A274)=1,"Único","Duplicado")</x:f>
        <x:v>Único</x:v>
      </x:c>
      <x:c r="F274" s="45" t="str">
        <x:f>IF('Ubicaciones'!T274=1,"Ubicable",IF('Ubicaciones'!E274&lt;&gt;"Abierta","Fuera por estatus","Coordenadas pendientes"))</x:f>
        <x:v>Ubicable</x:v>
      </x:c>
    </x:row>
    <x:row r="275" ht="23" customHeight="1">
      <x:c r="A275" s="45" t="str">
        <x:f>'Ubicaciones'!C275</x:f>
        <x:v>38709</x:v>
      </x:c>
      <x:c r="B275" s="45" t="str">
        <x:f>'Ubicaciones'!A275</x:f>
        <x:v>Centro Poniente</x:v>
      </x:c>
      <x:c r="C275" s="45" t="str">
        <x:f>'Ubicaciones'!B275</x:f>
        <x:v>Manuel Alejandro Avila Molina</x:v>
      </x:c>
      <x:c r="D275" s="45" t="str">
        <x:f>IF(COUNTIFS('Catalogos'!$A$2:$A$41,B275,'Catalogos'!$B$2:$B$41,C275)&gt;0,"Correcta","Revisar Región DM")</x:f>
        <x:v>Correcta</x:v>
      </x:c>
      <x:c r="E275" s="45" t="str">
        <x:f>IF(COUNTIFS('Ubicaciones'!$C$2:$C$10001,A275)=1,"Único","Duplicado")</x:f>
        <x:v>Único</x:v>
      </x:c>
      <x:c r="F275" s="45" t="str">
        <x:f>IF('Ubicaciones'!T275=1,"Ubicable",IF('Ubicaciones'!E275&lt;&gt;"Abierta","Fuera por estatus","Coordenadas pendientes"))</x:f>
        <x:v>Ubicable</x:v>
      </x:c>
    </x:row>
    <x:row r="276" ht="23" customHeight="1">
      <x:c r="A276" s="45" t="str">
        <x:f>'Ubicaciones'!C276</x:f>
        <x:v>38717</x:v>
      </x:c>
      <x:c r="B276" s="45" t="str">
        <x:f>'Ubicaciones'!A276</x:f>
        <x:v>Centro Poniente</x:v>
      </x:c>
      <x:c r="C276" s="45" t="str">
        <x:f>'Ubicaciones'!B276</x:f>
        <x:v>Manuel Alejandro Avila Molina</x:v>
      </x:c>
      <x:c r="D276" s="45" t="str">
        <x:f>IF(COUNTIFS('Catalogos'!$A$2:$A$41,B276,'Catalogos'!$B$2:$B$41,C276)&gt;0,"Correcta","Revisar Región DM")</x:f>
        <x:v>Correcta</x:v>
      </x:c>
      <x:c r="E276" s="45" t="str">
        <x:f>IF(COUNTIFS('Ubicaciones'!$C$2:$C$10001,A276)=1,"Único","Duplicado")</x:f>
        <x:v>Único</x:v>
      </x:c>
      <x:c r="F276" s="45" t="str">
        <x:f>IF('Ubicaciones'!T276=1,"Ubicable",IF('Ubicaciones'!E276&lt;&gt;"Abierta","Fuera por estatus","Coordenadas pendientes"))</x:f>
        <x:v>Ubicable</x:v>
      </x:c>
    </x:row>
    <x:row r="277" ht="23" customHeight="1">
      <x:c r="A277" s="45" t="str">
        <x:f>'Ubicaciones'!C277</x:f>
        <x:v>38720</x:v>
      </x:c>
      <x:c r="B277" s="45" t="str">
        <x:f>'Ubicaciones'!A277</x:f>
        <x:v>Centro Poniente</x:v>
      </x:c>
      <x:c r="C277" s="45" t="str">
        <x:f>'Ubicaciones'!B277</x:f>
        <x:v>Manuel Alejandro Avila Molina</x:v>
      </x:c>
      <x:c r="D277" s="45" t="str">
        <x:f>IF(COUNTIFS('Catalogos'!$A$2:$A$41,B277,'Catalogos'!$B$2:$B$41,C277)&gt;0,"Correcta","Revisar Región DM")</x:f>
        <x:v>Correcta</x:v>
      </x:c>
      <x:c r="E277" s="45" t="str">
        <x:f>IF(COUNTIFS('Ubicaciones'!$C$2:$C$10001,A277)=1,"Único","Duplicado")</x:f>
        <x:v>Único</x:v>
      </x:c>
      <x:c r="F277" s="45" t="str">
        <x:f>IF('Ubicaciones'!T277=1,"Ubicable",IF('Ubicaciones'!E277&lt;&gt;"Abierta","Fuera por estatus","Coordenadas pendientes"))</x:f>
        <x:v>Ubicable</x:v>
      </x:c>
    </x:row>
    <x:row r="278" ht="23" customHeight="1">
      <x:c r="A278" s="45" t="str">
        <x:f>'Ubicaciones'!C278</x:f>
        <x:v>38722</x:v>
      </x:c>
      <x:c r="B278" s="45" t="str">
        <x:f>'Ubicaciones'!A278</x:f>
        <x:v>Centro Poniente</x:v>
      </x:c>
      <x:c r="C278" s="45" t="str">
        <x:f>'Ubicaciones'!B278</x:f>
        <x:v>Manuel Alejandro Avila Molina</x:v>
      </x:c>
      <x:c r="D278" s="45" t="str">
        <x:f>IF(COUNTIFS('Catalogos'!$A$2:$A$41,B278,'Catalogos'!$B$2:$B$41,C278)&gt;0,"Correcta","Revisar Región DM")</x:f>
        <x:v>Correcta</x:v>
      </x:c>
      <x:c r="E278" s="45" t="str">
        <x:f>IF(COUNTIFS('Ubicaciones'!$C$2:$C$10001,A278)=1,"Único","Duplicado")</x:f>
        <x:v>Único</x:v>
      </x:c>
      <x:c r="F278" s="45" t="str">
        <x:f>IF('Ubicaciones'!T278=1,"Ubicable",IF('Ubicaciones'!E278&lt;&gt;"Abierta","Fuera por estatus","Coordenadas pendientes"))</x:f>
        <x:v>Ubicable</x:v>
      </x:c>
    </x:row>
    <x:row r="279" ht="23" customHeight="1">
      <x:c r="A279" s="45" t="str">
        <x:f>'Ubicaciones'!C279</x:f>
        <x:v>38727</x:v>
      </x:c>
      <x:c r="B279" s="45" t="str">
        <x:f>'Ubicaciones'!A279</x:f>
        <x:v>Centro Poniente</x:v>
      </x:c>
      <x:c r="C279" s="45" t="str">
        <x:f>'Ubicaciones'!B279</x:f>
        <x:v>Manuel Alejandro Avila Molina</x:v>
      </x:c>
      <x:c r="D279" s="45" t="str">
        <x:f>IF(COUNTIFS('Catalogos'!$A$2:$A$41,B279,'Catalogos'!$B$2:$B$41,C279)&gt;0,"Correcta","Revisar Región DM")</x:f>
        <x:v>Correcta</x:v>
      </x:c>
      <x:c r="E279" s="45" t="str">
        <x:f>IF(COUNTIFS('Ubicaciones'!$C$2:$C$10001,A279)=1,"Único","Duplicado")</x:f>
        <x:v>Único</x:v>
      </x:c>
      <x:c r="F279" s="45" t="str">
        <x:f>IF('Ubicaciones'!T279=1,"Ubicable",IF('Ubicaciones'!E279&lt;&gt;"Abierta","Fuera por estatus","Coordenadas pendientes"))</x:f>
        <x:v>Ubicable</x:v>
      </x:c>
    </x:row>
    <x:row r="280" ht="23" customHeight="1">
      <x:c r="A280" s="45" t="str">
        <x:f>'Ubicaciones'!C280</x:f>
        <x:v>38773</x:v>
      </x:c>
      <x:c r="B280" s="45" t="str">
        <x:f>'Ubicaciones'!A280</x:f>
        <x:v>Centro Poniente</x:v>
      </x:c>
      <x:c r="C280" s="45" t="str">
        <x:f>'Ubicaciones'!B280</x:f>
        <x:v>Manuel Alejandro Avila Molina</x:v>
      </x:c>
      <x:c r="D280" s="45" t="str">
        <x:f>IF(COUNTIFS('Catalogos'!$A$2:$A$41,B280,'Catalogos'!$B$2:$B$41,C280)&gt;0,"Correcta","Revisar Región DM")</x:f>
        <x:v>Correcta</x:v>
      </x:c>
      <x:c r="E280" s="45" t="str">
        <x:f>IF(COUNTIFS('Ubicaciones'!$C$2:$C$10001,A280)=1,"Único","Duplicado")</x:f>
        <x:v>Único</x:v>
      </x:c>
      <x:c r="F280" s="45" t="str">
        <x:f>IF('Ubicaciones'!T280=1,"Ubicable",IF('Ubicaciones'!E280&lt;&gt;"Abierta","Fuera por estatus","Coordenadas pendientes"))</x:f>
        <x:v>Ubicable</x:v>
      </x:c>
    </x:row>
    <x:row r="281" ht="23" customHeight="1">
      <x:c r="A281" s="45" t="str">
        <x:f>'Ubicaciones'!C281</x:f>
        <x:v>43041</x:v>
      </x:c>
      <x:c r="B281" s="45" t="str">
        <x:f>'Ubicaciones'!A281</x:f>
        <x:v>Centro Poniente</x:v>
      </x:c>
      <x:c r="C281" s="45" t="str">
        <x:f>'Ubicaciones'!B281</x:f>
        <x:v>Manuel Alejandro Avila Molina</x:v>
      </x:c>
      <x:c r="D281" s="45" t="str">
        <x:f>IF(COUNTIFS('Catalogos'!$A$2:$A$41,B281,'Catalogos'!$B$2:$B$41,C281)&gt;0,"Correcta","Revisar Región DM")</x:f>
        <x:v>Correcta</x:v>
      </x:c>
      <x:c r="E281" s="45" t="str">
        <x:f>IF(COUNTIFS('Ubicaciones'!$C$2:$C$10001,A281)=1,"Único","Duplicado")</x:f>
        <x:v>Único</x:v>
      </x:c>
      <x:c r="F281" s="45" t="str">
        <x:f>IF('Ubicaciones'!T281=1,"Ubicable",IF('Ubicaciones'!E281&lt;&gt;"Abierta","Fuera por estatus","Coordenadas pendientes"))</x:f>
        <x:v>Ubicable</x:v>
      </x:c>
    </x:row>
    <x:row r="282" ht="23" customHeight="1">
      <x:c r="A282" s="45" t="str">
        <x:f>'Ubicaciones'!C282</x:f>
        <x:v>38135</x:v>
      </x:c>
      <x:c r="B282" s="45" t="str">
        <x:f>'Ubicaciones'!A282</x:f>
        <x:v>Centro Poniente</x:v>
      </x:c>
      <x:c r="C282" s="45" t="str">
        <x:f>'Ubicaciones'!B282</x:f>
        <x:v>Sin asignación</x:v>
      </x:c>
      <x:c r="D282" s="45" t="str">
        <x:f>IF(COUNTIFS('Catalogos'!$A$2:$A$41,B282,'Catalogos'!$B$2:$B$41,C282)&gt;0,"Correcta","Revisar Región DM")</x:f>
        <x:v>Correcta</x:v>
      </x:c>
      <x:c r="E282" s="45" t="str">
        <x:f>IF(COUNTIFS('Ubicaciones'!$C$2:$C$10001,A282)=1,"Único","Duplicado")</x:f>
        <x:v>Único</x:v>
      </x:c>
      <x:c r="F282" s="45" t="str">
        <x:f>IF('Ubicaciones'!T282=1,"Ubicable",IF('Ubicaciones'!E282&lt;&gt;"Abierta","Fuera por estatus","Coordenadas pendientes"))</x:f>
        <x:v>Fuera por estatus</x:v>
      </x:c>
    </x:row>
    <x:row r="283" ht="23" customHeight="1">
      <x:c r="A283" s="45" t="str">
        <x:f>'Ubicaciones'!C283</x:f>
        <x:v>38455</x:v>
      </x:c>
      <x:c r="B283" s="45" t="str">
        <x:f>'Ubicaciones'!A283</x:f>
        <x:v>Centro Poniente</x:v>
      </x:c>
      <x:c r="C283" s="45" t="str">
        <x:f>'Ubicaciones'!B283</x:f>
        <x:v>Sin asignación</x:v>
      </x:c>
      <x:c r="D283" s="45" t="str">
        <x:f>IF(COUNTIFS('Catalogos'!$A$2:$A$41,B283,'Catalogos'!$B$2:$B$41,C283)&gt;0,"Correcta","Revisar Región DM")</x:f>
        <x:v>Correcta</x:v>
      </x:c>
      <x:c r="E283" s="45" t="str">
        <x:f>IF(COUNTIFS('Ubicaciones'!$C$2:$C$10001,A283)=1,"Único","Duplicado")</x:f>
        <x:v>Único</x:v>
      </x:c>
      <x:c r="F283" s="45" t="str">
        <x:f>IF('Ubicaciones'!T283=1,"Ubicable",IF('Ubicaciones'!E283&lt;&gt;"Abierta","Fuera por estatus","Coordenadas pendientes"))</x:f>
        <x:v>Fuera por estatus</x:v>
      </x:c>
    </x:row>
    <x:row r="284" ht="23" customHeight="1">
      <x:c r="A284" s="45" t="str">
        <x:f>'Ubicaciones'!C284</x:f>
        <x:v>38493</x:v>
      </x:c>
      <x:c r="B284" s="45" t="str">
        <x:f>'Ubicaciones'!A284</x:f>
        <x:v>Centro Poniente</x:v>
      </x:c>
      <x:c r="C284" s="45" t="str">
        <x:f>'Ubicaciones'!B284</x:f>
        <x:v>Sin asignación</x:v>
      </x:c>
      <x:c r="D284" s="45" t="str">
        <x:f>IF(COUNTIFS('Catalogos'!$A$2:$A$41,B284,'Catalogos'!$B$2:$B$41,C284)&gt;0,"Correcta","Revisar Región DM")</x:f>
        <x:v>Correcta</x:v>
      </x:c>
      <x:c r="E284" s="45" t="str">
        <x:f>IF(COUNTIFS('Ubicaciones'!$C$2:$C$10001,A284)=1,"Único","Duplicado")</x:f>
        <x:v>Único</x:v>
      </x:c>
      <x:c r="F284" s="45" t="str">
        <x:f>IF('Ubicaciones'!T284=1,"Ubicable",IF('Ubicaciones'!E284&lt;&gt;"Abierta","Fuera por estatus","Coordenadas pendientes"))</x:f>
        <x:v>Fuera por estatus</x:v>
      </x:c>
    </x:row>
    <x:row r="285" ht="23" customHeight="1">
      <x:c r="A285" s="45" t="str">
        <x:f>'Ubicaciones'!C285</x:f>
        <x:v>38528</x:v>
      </x:c>
      <x:c r="B285" s="45" t="str">
        <x:f>'Ubicaciones'!A285</x:f>
        <x:v>Centro Poniente</x:v>
      </x:c>
      <x:c r="C285" s="45" t="str">
        <x:f>'Ubicaciones'!B285</x:f>
        <x:v>Sin asignación</x:v>
      </x:c>
      <x:c r="D285" s="45" t="str">
        <x:f>IF(COUNTIFS('Catalogos'!$A$2:$A$41,B285,'Catalogos'!$B$2:$B$41,C285)&gt;0,"Correcta","Revisar Región DM")</x:f>
        <x:v>Correcta</x:v>
      </x:c>
      <x:c r="E285" s="45" t="str">
        <x:f>IF(COUNTIFS('Ubicaciones'!$C$2:$C$10001,A285)=1,"Único","Duplicado")</x:f>
        <x:v>Único</x:v>
      </x:c>
      <x:c r="F285" s="45" t="str">
        <x:f>IF('Ubicaciones'!T285=1,"Ubicable",IF('Ubicaciones'!E285&lt;&gt;"Abierta","Fuera por estatus","Coordenadas pendientes"))</x:f>
        <x:v>Fuera por estatus</x:v>
      </x:c>
    </x:row>
    <x:row r="286" ht="23" customHeight="1">
      <x:c r="A286" s="45" t="str">
        <x:f>'Ubicaciones'!C286</x:f>
        <x:v>38772</x:v>
      </x:c>
      <x:c r="B286" s="45" t="str">
        <x:f>'Ubicaciones'!A286</x:f>
        <x:v>Centro Poniente</x:v>
      </x:c>
      <x:c r="C286" s="45" t="str">
        <x:f>'Ubicaciones'!B286</x:f>
        <x:v>Sin asignación</x:v>
      </x:c>
      <x:c r="D286" s="45" t="str">
        <x:f>IF(COUNTIFS('Catalogos'!$A$2:$A$41,B286,'Catalogos'!$B$2:$B$41,C286)&gt;0,"Correcta","Revisar Región DM")</x:f>
        <x:v>Correcta</x:v>
      </x:c>
      <x:c r="E286" s="45" t="str">
        <x:f>IF(COUNTIFS('Ubicaciones'!$C$2:$C$10001,A286)=1,"Único","Duplicado")</x:f>
        <x:v>Único</x:v>
      </x:c>
      <x:c r="F286" s="45" t="str">
        <x:f>IF('Ubicaciones'!T286=1,"Ubicable",IF('Ubicaciones'!E286&lt;&gt;"Abierta","Fuera por estatus","Coordenadas pendientes"))</x:f>
        <x:v>Fuera por estatus</x:v>
      </x:c>
    </x:row>
    <x:row r="287" ht="23" customHeight="1">
      <x:c r="A287" s="45" t="str">
        <x:f>'Ubicaciones'!C287</x:f>
        <x:v>38914</x:v>
      </x:c>
      <x:c r="B287" s="45" t="str">
        <x:f>'Ubicaciones'!A287</x:f>
        <x:v>Centro Poniente</x:v>
      </x:c>
      <x:c r="C287" s="45" t="str">
        <x:f>'Ubicaciones'!B287</x:f>
        <x:v>Sin asignación</x:v>
      </x:c>
      <x:c r="D287" s="45" t="str">
        <x:f>IF(COUNTIFS('Catalogos'!$A$2:$A$41,B287,'Catalogos'!$B$2:$B$41,C287)&gt;0,"Correcta","Revisar Región DM")</x:f>
        <x:v>Correcta</x:v>
      </x:c>
      <x:c r="E287" s="45" t="str">
        <x:f>IF(COUNTIFS('Ubicaciones'!$C$2:$C$10001,A287)=1,"Único","Duplicado")</x:f>
        <x:v>Único</x:v>
      </x:c>
      <x:c r="F287" s="45" t="str">
        <x:f>IF('Ubicaciones'!T287=1,"Ubicable",IF('Ubicaciones'!E287&lt;&gt;"Abierta","Fuera por estatus","Coordenadas pendientes"))</x:f>
        <x:v>Fuera por estatus</x:v>
      </x:c>
    </x:row>
    <x:row r="288" ht="23" customHeight="1">
      <x:c r="A288" s="45" t="str">
        <x:f>'Ubicaciones'!C288</x:f>
        <x:v>38108</x:v>
      </x:c>
      <x:c r="B288" s="45" t="str">
        <x:f>'Ubicaciones'!A288</x:f>
        <x:v>Centro Centro</x:v>
      </x:c>
      <x:c r="C288" s="45" t="str">
        <x:f>'Ubicaciones'!B288</x:f>
        <x:v>Alberto T. Aguilar Cauz</x:v>
      </x:c>
      <x:c r="D288" s="45" t="str">
        <x:f>IF(COUNTIFS('Catalogos'!$A$2:$A$41,B288,'Catalogos'!$B$2:$B$41,C288)&gt;0,"Correcta","Revisar Región DM")</x:f>
        <x:v>Correcta</x:v>
      </x:c>
      <x:c r="E288" s="45" t="str">
        <x:f>IF(COUNTIFS('Ubicaciones'!$C$2:$C$10001,A288)=1,"Único","Duplicado")</x:f>
        <x:v>Único</x:v>
      </x:c>
      <x:c r="F288" s="45" t="str">
        <x:f>IF('Ubicaciones'!T288=1,"Ubicable",IF('Ubicaciones'!E288&lt;&gt;"Abierta","Fuera por estatus","Coordenadas pendientes"))</x:f>
        <x:v>Ubicable</x:v>
      </x:c>
    </x:row>
    <x:row r="289" ht="23" customHeight="1">
      <x:c r="A289" s="45" t="str">
        <x:f>'Ubicaciones'!C289</x:f>
        <x:v>38110</x:v>
      </x:c>
      <x:c r="B289" s="45" t="str">
        <x:f>'Ubicaciones'!A289</x:f>
        <x:v>Centro Centro</x:v>
      </x:c>
      <x:c r="C289" s="45" t="str">
        <x:f>'Ubicaciones'!B289</x:f>
        <x:v>Alberto T. Aguilar Cauz</x:v>
      </x:c>
      <x:c r="D289" s="45" t="str">
        <x:f>IF(COUNTIFS('Catalogos'!$A$2:$A$41,B289,'Catalogos'!$B$2:$B$41,C289)&gt;0,"Correcta","Revisar Región DM")</x:f>
        <x:v>Correcta</x:v>
      </x:c>
      <x:c r="E289" s="45" t="str">
        <x:f>IF(COUNTIFS('Ubicaciones'!$C$2:$C$10001,A289)=1,"Único","Duplicado")</x:f>
        <x:v>Único</x:v>
      </x:c>
      <x:c r="F289" s="45" t="str">
        <x:f>IF('Ubicaciones'!T289=1,"Ubicable",IF('Ubicaciones'!E289&lt;&gt;"Abierta","Fuera por estatus","Coordenadas pendientes"))</x:f>
        <x:v>Ubicable</x:v>
      </x:c>
    </x:row>
    <x:row r="290" ht="23" customHeight="1">
      <x:c r="A290" s="45" t="str">
        <x:f>'Ubicaciones'!C290</x:f>
        <x:v>38128</x:v>
      </x:c>
      <x:c r="B290" s="45" t="str">
        <x:f>'Ubicaciones'!A290</x:f>
        <x:v>Centro Centro</x:v>
      </x:c>
      <x:c r="C290" s="45" t="str">
        <x:f>'Ubicaciones'!B290</x:f>
        <x:v>Alberto T. Aguilar Cauz</x:v>
      </x:c>
      <x:c r="D290" s="45" t="str">
        <x:f>IF(COUNTIFS('Catalogos'!$A$2:$A$41,B290,'Catalogos'!$B$2:$B$41,C290)&gt;0,"Correcta","Revisar Región DM")</x:f>
        <x:v>Correcta</x:v>
      </x:c>
      <x:c r="E290" s="45" t="str">
        <x:f>IF(COUNTIFS('Ubicaciones'!$C$2:$C$10001,A290)=1,"Único","Duplicado")</x:f>
        <x:v>Único</x:v>
      </x:c>
      <x:c r="F290" s="45" t="str">
        <x:f>IF('Ubicaciones'!T290=1,"Ubicable",IF('Ubicaciones'!E290&lt;&gt;"Abierta","Fuera por estatus","Coordenadas pendientes"))</x:f>
        <x:v>Ubicable</x:v>
      </x:c>
    </x:row>
    <x:row r="291" ht="23" customHeight="1">
      <x:c r="A291" s="45" t="str">
        <x:f>'Ubicaciones'!C291</x:f>
        <x:v>38187</x:v>
      </x:c>
      <x:c r="B291" s="45" t="str">
        <x:f>'Ubicaciones'!A291</x:f>
        <x:v>Centro Centro</x:v>
      </x:c>
      <x:c r="C291" s="45" t="str">
        <x:f>'Ubicaciones'!B291</x:f>
        <x:v>Alberto T. Aguilar Cauz</x:v>
      </x:c>
      <x:c r="D291" s="45" t="str">
        <x:f>IF(COUNTIFS('Catalogos'!$A$2:$A$41,B291,'Catalogos'!$B$2:$B$41,C291)&gt;0,"Correcta","Revisar Región DM")</x:f>
        <x:v>Correcta</x:v>
      </x:c>
      <x:c r="E291" s="45" t="str">
        <x:f>IF(COUNTIFS('Ubicaciones'!$C$2:$C$10001,A291)=1,"Único","Duplicado")</x:f>
        <x:v>Único</x:v>
      </x:c>
      <x:c r="F291" s="45" t="str">
        <x:f>IF('Ubicaciones'!T291=1,"Ubicable",IF('Ubicaciones'!E291&lt;&gt;"Abierta","Fuera por estatus","Coordenadas pendientes"))</x:f>
        <x:v>Ubicable</x:v>
      </x:c>
    </x:row>
    <x:row r="292" ht="23" customHeight="1">
      <x:c r="A292" s="45" t="str">
        <x:f>'Ubicaciones'!C292</x:f>
        <x:v>38191</x:v>
      </x:c>
      <x:c r="B292" s="45" t="str">
        <x:f>'Ubicaciones'!A292</x:f>
        <x:v>Centro Centro</x:v>
      </x:c>
      <x:c r="C292" s="45" t="str">
        <x:f>'Ubicaciones'!B292</x:f>
        <x:v>Alberto T. Aguilar Cauz</x:v>
      </x:c>
      <x:c r="D292" s="45" t="str">
        <x:f>IF(COUNTIFS('Catalogos'!$A$2:$A$41,B292,'Catalogos'!$B$2:$B$41,C292)&gt;0,"Correcta","Revisar Región DM")</x:f>
        <x:v>Correcta</x:v>
      </x:c>
      <x:c r="E292" s="45" t="str">
        <x:f>IF(COUNTIFS('Ubicaciones'!$C$2:$C$10001,A292)=1,"Único","Duplicado")</x:f>
        <x:v>Único</x:v>
      </x:c>
      <x:c r="F292" s="45" t="str">
        <x:f>IF('Ubicaciones'!T292=1,"Ubicable",IF('Ubicaciones'!E292&lt;&gt;"Abierta","Fuera por estatus","Coordenadas pendientes"))</x:f>
        <x:v>Ubicable</x:v>
      </x:c>
    </x:row>
    <x:row r="293" ht="23" customHeight="1">
      <x:c r="A293" s="45" t="str">
        <x:f>'Ubicaciones'!C293</x:f>
        <x:v>38220</x:v>
      </x:c>
      <x:c r="B293" s="45" t="str">
        <x:f>'Ubicaciones'!A293</x:f>
        <x:v>Centro Centro</x:v>
      </x:c>
      <x:c r="C293" s="45" t="str">
        <x:f>'Ubicaciones'!B293</x:f>
        <x:v>Alberto T. Aguilar Cauz</x:v>
      </x:c>
      <x:c r="D293" s="45" t="str">
        <x:f>IF(COUNTIFS('Catalogos'!$A$2:$A$41,B293,'Catalogos'!$B$2:$B$41,C293)&gt;0,"Correcta","Revisar Región DM")</x:f>
        <x:v>Correcta</x:v>
      </x:c>
      <x:c r="E293" s="45" t="str">
        <x:f>IF(COUNTIFS('Ubicaciones'!$C$2:$C$10001,A293)=1,"Único","Duplicado")</x:f>
        <x:v>Único</x:v>
      </x:c>
      <x:c r="F293" s="45" t="str">
        <x:f>IF('Ubicaciones'!T293=1,"Ubicable",IF('Ubicaciones'!E293&lt;&gt;"Abierta","Fuera por estatus","Coordenadas pendientes"))</x:f>
        <x:v>Ubicable</x:v>
      </x:c>
    </x:row>
    <x:row r="294" ht="23" customHeight="1">
      <x:c r="A294" s="45" t="str">
        <x:f>'Ubicaciones'!C294</x:f>
        <x:v>38382</x:v>
      </x:c>
      <x:c r="B294" s="45" t="str">
        <x:f>'Ubicaciones'!A294</x:f>
        <x:v>Centro Centro</x:v>
      </x:c>
      <x:c r="C294" s="45" t="str">
        <x:f>'Ubicaciones'!B294</x:f>
        <x:v>Alberto T. Aguilar Cauz</x:v>
      </x:c>
      <x:c r="D294" s="45" t="str">
        <x:f>IF(COUNTIFS('Catalogos'!$A$2:$A$41,B294,'Catalogos'!$B$2:$B$41,C294)&gt;0,"Correcta","Revisar Región DM")</x:f>
        <x:v>Correcta</x:v>
      </x:c>
      <x:c r="E294" s="45" t="str">
        <x:f>IF(COUNTIFS('Ubicaciones'!$C$2:$C$10001,A294)=1,"Único","Duplicado")</x:f>
        <x:v>Único</x:v>
      </x:c>
      <x:c r="F294" s="45" t="str">
        <x:f>IF('Ubicaciones'!T294=1,"Ubicable",IF('Ubicaciones'!E294&lt;&gt;"Abierta","Fuera por estatus","Coordenadas pendientes"))</x:f>
        <x:v>Ubicable</x:v>
      </x:c>
    </x:row>
    <x:row r="295" ht="23" customHeight="1">
      <x:c r="A295" s="45" t="str">
        <x:f>'Ubicaciones'!C295</x:f>
        <x:v>38415</x:v>
      </x:c>
      <x:c r="B295" s="45" t="str">
        <x:f>'Ubicaciones'!A295</x:f>
        <x:v>Centro Centro</x:v>
      </x:c>
      <x:c r="C295" s="45" t="str">
        <x:f>'Ubicaciones'!B295</x:f>
        <x:v>Alberto T. Aguilar Cauz</x:v>
      </x:c>
      <x:c r="D295" s="45" t="str">
        <x:f>IF(COUNTIFS('Catalogos'!$A$2:$A$41,B295,'Catalogos'!$B$2:$B$41,C295)&gt;0,"Correcta","Revisar Región DM")</x:f>
        <x:v>Correcta</x:v>
      </x:c>
      <x:c r="E295" s="45" t="str">
        <x:f>IF(COUNTIFS('Ubicaciones'!$C$2:$C$10001,A295)=1,"Único","Duplicado")</x:f>
        <x:v>Único</x:v>
      </x:c>
      <x:c r="F295" s="45" t="str">
        <x:f>IF('Ubicaciones'!T295=1,"Ubicable",IF('Ubicaciones'!E295&lt;&gt;"Abierta","Fuera por estatus","Coordenadas pendientes"))</x:f>
        <x:v>Ubicable</x:v>
      </x:c>
    </x:row>
    <x:row r="296" ht="23" customHeight="1">
      <x:c r="A296" s="45" t="str">
        <x:f>'Ubicaciones'!C296</x:f>
        <x:v>38481</x:v>
      </x:c>
      <x:c r="B296" s="45" t="str">
        <x:f>'Ubicaciones'!A296</x:f>
        <x:v>Centro Centro</x:v>
      </x:c>
      <x:c r="C296" s="45" t="str">
        <x:f>'Ubicaciones'!B296</x:f>
        <x:v>Alberto T. Aguilar Cauz</x:v>
      </x:c>
      <x:c r="D296" s="45" t="str">
        <x:f>IF(COUNTIFS('Catalogos'!$A$2:$A$41,B296,'Catalogos'!$B$2:$B$41,C296)&gt;0,"Correcta","Revisar Región DM")</x:f>
        <x:v>Correcta</x:v>
      </x:c>
      <x:c r="E296" s="45" t="str">
        <x:f>IF(COUNTIFS('Ubicaciones'!$C$2:$C$10001,A296)=1,"Único","Duplicado")</x:f>
        <x:v>Único</x:v>
      </x:c>
      <x:c r="F296" s="45" t="str">
        <x:f>IF('Ubicaciones'!T296=1,"Ubicable",IF('Ubicaciones'!E296&lt;&gt;"Abierta","Fuera por estatus","Coordenadas pendientes"))</x:f>
        <x:v>Ubicable</x:v>
      </x:c>
    </x:row>
    <x:row r="297" ht="23" customHeight="1">
      <x:c r="A297" s="45" t="str">
        <x:f>'Ubicaciones'!C297</x:f>
        <x:v>38522</x:v>
      </x:c>
      <x:c r="B297" s="45" t="str">
        <x:f>'Ubicaciones'!A297</x:f>
        <x:v>Centro Centro</x:v>
      </x:c>
      <x:c r="C297" s="45" t="str">
        <x:f>'Ubicaciones'!B297</x:f>
        <x:v>Alberto T. Aguilar Cauz</x:v>
      </x:c>
      <x:c r="D297" s="45" t="str">
        <x:f>IF(COUNTIFS('Catalogos'!$A$2:$A$41,B297,'Catalogos'!$B$2:$B$41,C297)&gt;0,"Correcta","Revisar Región DM")</x:f>
        <x:v>Correcta</x:v>
      </x:c>
      <x:c r="E297" s="45" t="str">
        <x:f>IF(COUNTIFS('Ubicaciones'!$C$2:$C$10001,A297)=1,"Único","Duplicado")</x:f>
        <x:v>Único</x:v>
      </x:c>
      <x:c r="F297" s="45" t="str">
        <x:f>IF('Ubicaciones'!T297=1,"Ubicable",IF('Ubicaciones'!E297&lt;&gt;"Abierta","Fuera por estatus","Coordenadas pendientes"))</x:f>
        <x:v>Ubicable</x:v>
      </x:c>
    </x:row>
    <x:row r="298" ht="23" customHeight="1">
      <x:c r="A298" s="45" t="str">
        <x:f>'Ubicaciones'!C298</x:f>
        <x:v>38541</x:v>
      </x:c>
      <x:c r="B298" s="45" t="str">
        <x:f>'Ubicaciones'!A298</x:f>
        <x:v>Centro Centro</x:v>
      </x:c>
      <x:c r="C298" s="45" t="str">
        <x:f>'Ubicaciones'!B298</x:f>
        <x:v>Alberto T. Aguilar Cauz</x:v>
      </x:c>
      <x:c r="D298" s="45" t="str">
        <x:f>IF(COUNTIFS('Catalogos'!$A$2:$A$41,B298,'Catalogos'!$B$2:$B$41,C298)&gt;0,"Correcta","Revisar Región DM")</x:f>
        <x:v>Correcta</x:v>
      </x:c>
      <x:c r="E298" s="45" t="str">
        <x:f>IF(COUNTIFS('Ubicaciones'!$C$2:$C$10001,A298)=1,"Único","Duplicado")</x:f>
        <x:v>Único</x:v>
      </x:c>
      <x:c r="F298" s="45" t="str">
        <x:f>IF('Ubicaciones'!T298=1,"Ubicable",IF('Ubicaciones'!E298&lt;&gt;"Abierta","Fuera por estatus","Coordenadas pendientes"))</x:f>
        <x:v>Ubicable</x:v>
      </x:c>
    </x:row>
    <x:row r="299" ht="23" customHeight="1">
      <x:c r="A299" s="45" t="str">
        <x:f>'Ubicaciones'!C299</x:f>
        <x:v>38597</x:v>
      </x:c>
      <x:c r="B299" s="45" t="str">
        <x:f>'Ubicaciones'!A299</x:f>
        <x:v>Centro Centro</x:v>
      </x:c>
      <x:c r="C299" s="45" t="str">
        <x:f>'Ubicaciones'!B299</x:f>
        <x:v>Alberto T. Aguilar Cauz</x:v>
      </x:c>
      <x:c r="D299" s="45" t="str">
        <x:f>IF(COUNTIFS('Catalogos'!$A$2:$A$41,B299,'Catalogos'!$B$2:$B$41,C299)&gt;0,"Correcta","Revisar Región DM")</x:f>
        <x:v>Correcta</x:v>
      </x:c>
      <x:c r="E299" s="45" t="str">
        <x:f>IF(COUNTIFS('Ubicaciones'!$C$2:$C$10001,A299)=1,"Único","Duplicado")</x:f>
        <x:v>Único</x:v>
      </x:c>
      <x:c r="F299" s="45" t="str">
        <x:f>IF('Ubicaciones'!T299=1,"Ubicable",IF('Ubicaciones'!E299&lt;&gt;"Abierta","Fuera por estatus","Coordenadas pendientes"))</x:f>
        <x:v>Ubicable</x:v>
      </x:c>
    </x:row>
    <x:row r="300" ht="23" customHeight="1">
      <x:c r="A300" s="45" t="str">
        <x:f>'Ubicaciones'!C300</x:f>
        <x:v>38627</x:v>
      </x:c>
      <x:c r="B300" s="45" t="str">
        <x:f>'Ubicaciones'!A300</x:f>
        <x:v>Centro Centro</x:v>
      </x:c>
      <x:c r="C300" s="45" t="str">
        <x:f>'Ubicaciones'!B300</x:f>
        <x:v>Alberto T. Aguilar Cauz</x:v>
      </x:c>
      <x:c r="D300" s="45" t="str">
        <x:f>IF(COUNTIFS('Catalogos'!$A$2:$A$41,B300,'Catalogos'!$B$2:$B$41,C300)&gt;0,"Correcta","Revisar Región DM")</x:f>
        <x:v>Correcta</x:v>
      </x:c>
      <x:c r="E300" s="45" t="str">
        <x:f>IF(COUNTIFS('Ubicaciones'!$C$2:$C$10001,A300)=1,"Único","Duplicado")</x:f>
        <x:v>Único</x:v>
      </x:c>
      <x:c r="F300" s="45" t="str">
        <x:f>IF('Ubicaciones'!T300=1,"Ubicable",IF('Ubicaciones'!E300&lt;&gt;"Abierta","Fuera por estatus","Coordenadas pendientes"))</x:f>
        <x:v>Ubicable</x:v>
      </x:c>
    </x:row>
    <x:row r="301" ht="23" customHeight="1">
      <x:c r="A301" s="45" t="str">
        <x:f>'Ubicaciones'!C301</x:f>
        <x:v>38109</x:v>
      </x:c>
      <x:c r="B301" s="45" t="str">
        <x:f>'Ubicaciones'!A301</x:f>
        <x:v>Centro Centro</x:v>
      </x:c>
      <x:c r="C301" s="45" t="str">
        <x:f>'Ubicaciones'!B301</x:f>
        <x:v>Carlos Saldaña Avila</x:v>
      </x:c>
      <x:c r="D301" s="45" t="str">
        <x:f>IF(COUNTIFS('Catalogos'!$A$2:$A$41,B301,'Catalogos'!$B$2:$B$41,C301)&gt;0,"Correcta","Revisar Región DM")</x:f>
        <x:v>Correcta</x:v>
      </x:c>
      <x:c r="E301" s="45" t="str">
        <x:f>IF(COUNTIFS('Ubicaciones'!$C$2:$C$10001,A301)=1,"Único","Duplicado")</x:f>
        <x:v>Único</x:v>
      </x:c>
      <x:c r="F301" s="45" t="str">
        <x:f>IF('Ubicaciones'!T301=1,"Ubicable",IF('Ubicaciones'!E301&lt;&gt;"Abierta","Fuera por estatus","Coordenadas pendientes"))</x:f>
        <x:v>Ubicable</x:v>
      </x:c>
    </x:row>
    <x:row r="302" ht="23" customHeight="1">
      <x:c r="A302" s="45" t="str">
        <x:f>'Ubicaciones'!C302</x:f>
        <x:v>38344</x:v>
      </x:c>
      <x:c r="B302" s="45" t="str">
        <x:f>'Ubicaciones'!A302</x:f>
        <x:v>Centro Centro</x:v>
      </x:c>
      <x:c r="C302" s="45" t="str">
        <x:f>'Ubicaciones'!B302</x:f>
        <x:v>Carlos Saldaña Avila</x:v>
      </x:c>
      <x:c r="D302" s="45" t="str">
        <x:f>IF(COUNTIFS('Catalogos'!$A$2:$A$41,B302,'Catalogos'!$B$2:$B$41,C302)&gt;0,"Correcta","Revisar Región DM")</x:f>
        <x:v>Correcta</x:v>
      </x:c>
      <x:c r="E302" s="45" t="str">
        <x:f>IF(COUNTIFS('Ubicaciones'!$C$2:$C$10001,A302)=1,"Único","Duplicado")</x:f>
        <x:v>Único</x:v>
      </x:c>
      <x:c r="F302" s="45" t="str">
        <x:f>IF('Ubicaciones'!T302=1,"Ubicable",IF('Ubicaciones'!E302&lt;&gt;"Abierta","Fuera por estatus","Coordenadas pendientes"))</x:f>
        <x:v>Ubicable</x:v>
      </x:c>
    </x:row>
    <x:row r="303" ht="23" customHeight="1">
      <x:c r="A303" s="45" t="str">
        <x:f>'Ubicaciones'!C303</x:f>
        <x:v>38378</x:v>
      </x:c>
      <x:c r="B303" s="45" t="str">
        <x:f>'Ubicaciones'!A303</x:f>
        <x:v>Centro Centro</x:v>
      </x:c>
      <x:c r="C303" s="45" t="str">
        <x:f>'Ubicaciones'!B303</x:f>
        <x:v>Carlos Saldaña Avila</x:v>
      </x:c>
      <x:c r="D303" s="45" t="str">
        <x:f>IF(COUNTIFS('Catalogos'!$A$2:$A$41,B303,'Catalogos'!$B$2:$B$41,C303)&gt;0,"Correcta","Revisar Región DM")</x:f>
        <x:v>Correcta</x:v>
      </x:c>
      <x:c r="E303" s="45" t="str">
        <x:f>IF(COUNTIFS('Ubicaciones'!$C$2:$C$10001,A303)=1,"Único","Duplicado")</x:f>
        <x:v>Único</x:v>
      </x:c>
      <x:c r="F303" s="45" t="str">
        <x:f>IF('Ubicaciones'!T303=1,"Ubicable",IF('Ubicaciones'!E303&lt;&gt;"Abierta","Fuera por estatus","Coordenadas pendientes"))</x:f>
        <x:v>Ubicable</x:v>
      </x:c>
    </x:row>
    <x:row r="304" ht="23" customHeight="1">
      <x:c r="A304" s="45" t="str">
        <x:f>'Ubicaciones'!C304</x:f>
        <x:v>38423</x:v>
      </x:c>
      <x:c r="B304" s="45" t="str">
        <x:f>'Ubicaciones'!A304</x:f>
        <x:v>Centro Centro</x:v>
      </x:c>
      <x:c r="C304" s="45" t="str">
        <x:f>'Ubicaciones'!B304</x:f>
        <x:v>Carlos Saldaña Avila</x:v>
      </x:c>
      <x:c r="D304" s="45" t="str">
        <x:f>IF(COUNTIFS('Catalogos'!$A$2:$A$41,B304,'Catalogos'!$B$2:$B$41,C304)&gt;0,"Correcta","Revisar Región DM")</x:f>
        <x:v>Correcta</x:v>
      </x:c>
      <x:c r="E304" s="45" t="str">
        <x:f>IF(COUNTIFS('Ubicaciones'!$C$2:$C$10001,A304)=1,"Único","Duplicado")</x:f>
        <x:v>Único</x:v>
      </x:c>
      <x:c r="F304" s="45" t="str">
        <x:f>IF('Ubicaciones'!T304=1,"Ubicable",IF('Ubicaciones'!E304&lt;&gt;"Abierta","Fuera por estatus","Coordenadas pendientes"))</x:f>
        <x:v>Ubicable</x:v>
      </x:c>
    </x:row>
    <x:row r="305" ht="23" customHeight="1">
      <x:c r="A305" s="45" t="str">
        <x:f>'Ubicaciones'!C305</x:f>
        <x:v>38498</x:v>
      </x:c>
      <x:c r="B305" s="45" t="str">
        <x:f>'Ubicaciones'!A305</x:f>
        <x:v>Centro Centro</x:v>
      </x:c>
      <x:c r="C305" s="45" t="str">
        <x:f>'Ubicaciones'!B305</x:f>
        <x:v>Carlos Saldaña Avila</x:v>
      </x:c>
      <x:c r="D305" s="45" t="str">
        <x:f>IF(COUNTIFS('Catalogos'!$A$2:$A$41,B305,'Catalogos'!$B$2:$B$41,C305)&gt;0,"Correcta","Revisar Región DM")</x:f>
        <x:v>Correcta</x:v>
      </x:c>
      <x:c r="E305" s="45" t="str">
        <x:f>IF(COUNTIFS('Ubicaciones'!$C$2:$C$10001,A305)=1,"Único","Duplicado")</x:f>
        <x:v>Único</x:v>
      </x:c>
      <x:c r="F305" s="45" t="str">
        <x:f>IF('Ubicaciones'!T305=1,"Ubicable",IF('Ubicaciones'!E305&lt;&gt;"Abierta","Fuera por estatus","Coordenadas pendientes"))</x:f>
        <x:v>Ubicable</x:v>
      </x:c>
    </x:row>
    <x:row r="306" ht="23" customHeight="1">
      <x:c r="A306" s="45" t="str">
        <x:f>'Ubicaciones'!C306</x:f>
        <x:v>38504</x:v>
      </x:c>
      <x:c r="B306" s="45" t="str">
        <x:f>'Ubicaciones'!A306</x:f>
        <x:v>Centro Centro</x:v>
      </x:c>
      <x:c r="C306" s="45" t="str">
        <x:f>'Ubicaciones'!B306</x:f>
        <x:v>Carlos Saldaña Avila</x:v>
      </x:c>
      <x:c r="D306" s="45" t="str">
        <x:f>IF(COUNTIFS('Catalogos'!$A$2:$A$41,B306,'Catalogos'!$B$2:$B$41,C306)&gt;0,"Correcta","Revisar Región DM")</x:f>
        <x:v>Correcta</x:v>
      </x:c>
      <x:c r="E306" s="45" t="str">
        <x:f>IF(COUNTIFS('Ubicaciones'!$C$2:$C$10001,A306)=1,"Único","Duplicado")</x:f>
        <x:v>Único</x:v>
      </x:c>
      <x:c r="F306" s="45" t="str">
        <x:f>IF('Ubicaciones'!T306=1,"Ubicable",IF('Ubicaciones'!E306&lt;&gt;"Abierta","Fuera por estatus","Coordenadas pendientes"))</x:f>
        <x:v>Ubicable</x:v>
      </x:c>
    </x:row>
    <x:row r="307" ht="23" customHeight="1">
      <x:c r="A307" s="45" t="str">
        <x:f>'Ubicaciones'!C307</x:f>
        <x:v>38635</x:v>
      </x:c>
      <x:c r="B307" s="45" t="str">
        <x:f>'Ubicaciones'!A307</x:f>
        <x:v>Centro Centro</x:v>
      </x:c>
      <x:c r="C307" s="45" t="str">
        <x:f>'Ubicaciones'!B307</x:f>
        <x:v>Carlos Saldaña Avila</x:v>
      </x:c>
      <x:c r="D307" s="45" t="str">
        <x:f>IF(COUNTIFS('Catalogos'!$A$2:$A$41,B307,'Catalogos'!$B$2:$B$41,C307)&gt;0,"Correcta","Revisar Región DM")</x:f>
        <x:v>Correcta</x:v>
      </x:c>
      <x:c r="E307" s="45" t="str">
        <x:f>IF(COUNTIFS('Ubicaciones'!$C$2:$C$10001,A307)=1,"Único","Duplicado")</x:f>
        <x:v>Único</x:v>
      </x:c>
      <x:c r="F307" s="45" t="str">
        <x:f>IF('Ubicaciones'!T307=1,"Ubicable",IF('Ubicaciones'!E307&lt;&gt;"Abierta","Fuera por estatus","Coordenadas pendientes"))</x:f>
        <x:v>Ubicable</x:v>
      </x:c>
    </x:row>
    <x:row r="308" ht="23" customHeight="1">
      <x:c r="A308" s="45" t="str">
        <x:f>'Ubicaciones'!C308</x:f>
        <x:v>38858</x:v>
      </x:c>
      <x:c r="B308" s="45" t="str">
        <x:f>'Ubicaciones'!A308</x:f>
        <x:v>Centro Centro</x:v>
      </x:c>
      <x:c r="C308" s="45" t="str">
        <x:f>'Ubicaciones'!B308</x:f>
        <x:v>Carlos Saldaña Avila</x:v>
      </x:c>
      <x:c r="D308" s="45" t="str">
        <x:f>IF(COUNTIFS('Catalogos'!$A$2:$A$41,B308,'Catalogos'!$B$2:$B$41,C308)&gt;0,"Correcta","Revisar Región DM")</x:f>
        <x:v>Correcta</x:v>
      </x:c>
      <x:c r="E308" s="45" t="str">
        <x:f>IF(COUNTIFS('Ubicaciones'!$C$2:$C$10001,A308)=1,"Único","Duplicado")</x:f>
        <x:v>Único</x:v>
      </x:c>
      <x:c r="F308" s="45" t="str">
        <x:f>IF('Ubicaciones'!T308=1,"Ubicable",IF('Ubicaciones'!E308&lt;&gt;"Abierta","Fuera por estatus","Coordenadas pendientes"))</x:f>
        <x:v>Ubicable</x:v>
      </x:c>
    </x:row>
    <x:row r="309" ht="23" customHeight="1">
      <x:c r="A309" s="45" t="str">
        <x:f>'Ubicaciones'!C309</x:f>
        <x:v>38101</x:v>
      </x:c>
      <x:c r="B309" s="45" t="str">
        <x:f>'Ubicaciones'!A309</x:f>
        <x:v>Centro Centro</x:v>
      </x:c>
      <x:c r="C309" s="45" t="str">
        <x:f>'Ubicaciones'!B309</x:f>
        <x:v>Guadalupe Ibarra Martinez</x:v>
      </x:c>
      <x:c r="D309" s="45" t="str">
        <x:f>IF(COUNTIFS('Catalogos'!$A$2:$A$41,B309,'Catalogos'!$B$2:$B$41,C309)&gt;0,"Correcta","Revisar Región DM")</x:f>
        <x:v>Correcta</x:v>
      </x:c>
      <x:c r="E309" s="45" t="str">
        <x:f>IF(COUNTIFS('Ubicaciones'!$C$2:$C$10001,A309)=1,"Único","Duplicado")</x:f>
        <x:v>Único</x:v>
      </x:c>
      <x:c r="F309" s="45" t="str">
        <x:f>IF('Ubicaciones'!T309=1,"Ubicable",IF('Ubicaciones'!E309&lt;&gt;"Abierta","Fuera por estatus","Coordenadas pendientes"))</x:f>
        <x:v>Ubicable</x:v>
      </x:c>
    </x:row>
    <x:row r="310" ht="23" customHeight="1">
      <x:c r="A310" s="45" t="str">
        <x:f>'Ubicaciones'!C310</x:f>
        <x:v>38240</x:v>
      </x:c>
      <x:c r="B310" s="45" t="str">
        <x:f>'Ubicaciones'!A310</x:f>
        <x:v>Centro Centro</x:v>
      </x:c>
      <x:c r="C310" s="45" t="str">
        <x:f>'Ubicaciones'!B310</x:f>
        <x:v>Guadalupe Ibarra Martinez</x:v>
      </x:c>
      <x:c r="D310" s="45" t="str">
        <x:f>IF(COUNTIFS('Catalogos'!$A$2:$A$41,B310,'Catalogos'!$B$2:$B$41,C310)&gt;0,"Correcta","Revisar Región DM")</x:f>
        <x:v>Correcta</x:v>
      </x:c>
      <x:c r="E310" s="45" t="str">
        <x:f>IF(COUNTIFS('Ubicaciones'!$C$2:$C$10001,A310)=1,"Único","Duplicado")</x:f>
        <x:v>Único</x:v>
      </x:c>
      <x:c r="F310" s="45" t="str">
        <x:f>IF('Ubicaciones'!T310=1,"Ubicable",IF('Ubicaciones'!E310&lt;&gt;"Abierta","Fuera por estatus","Coordenadas pendientes"))</x:f>
        <x:v>Fuera por estatus</x:v>
      </x:c>
    </x:row>
    <x:row r="311" ht="23" customHeight="1">
      <x:c r="A311" s="45" t="str">
        <x:f>'Ubicaciones'!C311</x:f>
        <x:v>38272</x:v>
      </x:c>
      <x:c r="B311" s="45" t="str">
        <x:f>'Ubicaciones'!A311</x:f>
        <x:v>Centro Centro</x:v>
      </x:c>
      <x:c r="C311" s="45" t="str">
        <x:f>'Ubicaciones'!B311</x:f>
        <x:v>Guadalupe Ibarra Martinez</x:v>
      </x:c>
      <x:c r="D311" s="45" t="str">
        <x:f>IF(COUNTIFS('Catalogos'!$A$2:$A$41,B311,'Catalogos'!$B$2:$B$41,C311)&gt;0,"Correcta","Revisar Región DM")</x:f>
        <x:v>Correcta</x:v>
      </x:c>
      <x:c r="E311" s="45" t="str">
        <x:f>IF(COUNTIFS('Ubicaciones'!$C$2:$C$10001,A311)=1,"Único","Duplicado")</x:f>
        <x:v>Único</x:v>
      </x:c>
      <x:c r="F311" s="45" t="str">
        <x:f>IF('Ubicaciones'!T311=1,"Ubicable",IF('Ubicaciones'!E311&lt;&gt;"Abierta","Fuera por estatus","Coordenadas pendientes"))</x:f>
        <x:v>Ubicable</x:v>
      </x:c>
    </x:row>
    <x:row r="312" ht="23" customHeight="1">
      <x:c r="A312" s="45" t="str">
        <x:f>'Ubicaciones'!C312</x:f>
        <x:v>38285</x:v>
      </x:c>
      <x:c r="B312" s="45" t="str">
        <x:f>'Ubicaciones'!A312</x:f>
        <x:v>Centro Centro</x:v>
      </x:c>
      <x:c r="C312" s="45" t="str">
        <x:f>'Ubicaciones'!B312</x:f>
        <x:v>Guadalupe Ibarra Martinez</x:v>
      </x:c>
      <x:c r="D312" s="45" t="str">
        <x:f>IF(COUNTIFS('Catalogos'!$A$2:$A$41,B312,'Catalogos'!$B$2:$B$41,C312)&gt;0,"Correcta","Revisar Región DM")</x:f>
        <x:v>Correcta</x:v>
      </x:c>
      <x:c r="E312" s="45" t="str">
        <x:f>IF(COUNTIFS('Ubicaciones'!$C$2:$C$10001,A312)=1,"Único","Duplicado")</x:f>
        <x:v>Único</x:v>
      </x:c>
      <x:c r="F312" s="45" t="str">
        <x:f>IF('Ubicaciones'!T312=1,"Ubicable",IF('Ubicaciones'!E312&lt;&gt;"Abierta","Fuera por estatus","Coordenadas pendientes"))</x:f>
        <x:v>Ubicable</x:v>
      </x:c>
    </x:row>
    <x:row r="313" ht="23" customHeight="1">
      <x:c r="A313" s="45" t="str">
        <x:f>'Ubicaciones'!C313</x:f>
        <x:v>38291</x:v>
      </x:c>
      <x:c r="B313" s="45" t="str">
        <x:f>'Ubicaciones'!A313</x:f>
        <x:v>Centro Centro</x:v>
      </x:c>
      <x:c r="C313" s="45" t="str">
        <x:f>'Ubicaciones'!B313</x:f>
        <x:v>Guadalupe Ibarra Martinez</x:v>
      </x:c>
      <x:c r="D313" s="45" t="str">
        <x:f>IF(COUNTIFS('Catalogos'!$A$2:$A$41,B313,'Catalogos'!$B$2:$B$41,C313)&gt;0,"Correcta","Revisar Región DM")</x:f>
        <x:v>Correcta</x:v>
      </x:c>
      <x:c r="E313" s="45" t="str">
        <x:f>IF(COUNTIFS('Ubicaciones'!$C$2:$C$10001,A313)=1,"Único","Duplicado")</x:f>
        <x:v>Único</x:v>
      </x:c>
      <x:c r="F313" s="45" t="str">
        <x:f>IF('Ubicaciones'!T313=1,"Ubicable",IF('Ubicaciones'!E313&lt;&gt;"Abierta","Fuera por estatus","Coordenadas pendientes"))</x:f>
        <x:v>Ubicable</x:v>
      </x:c>
    </x:row>
    <x:row r="314" ht="23" customHeight="1">
      <x:c r="A314" s="45" t="str">
        <x:f>'Ubicaciones'!C314</x:f>
        <x:v>38389</x:v>
      </x:c>
      <x:c r="B314" s="45" t="str">
        <x:f>'Ubicaciones'!A314</x:f>
        <x:v>Centro Centro</x:v>
      </x:c>
      <x:c r="C314" s="45" t="str">
        <x:f>'Ubicaciones'!B314</x:f>
        <x:v>Guadalupe Ibarra Martinez</x:v>
      </x:c>
      <x:c r="D314" s="45" t="str">
        <x:f>IF(COUNTIFS('Catalogos'!$A$2:$A$41,B314,'Catalogos'!$B$2:$B$41,C314)&gt;0,"Correcta","Revisar Región DM")</x:f>
        <x:v>Correcta</x:v>
      </x:c>
      <x:c r="E314" s="45" t="str">
        <x:f>IF(COUNTIFS('Ubicaciones'!$C$2:$C$10001,A314)=1,"Único","Duplicado")</x:f>
        <x:v>Único</x:v>
      </x:c>
      <x:c r="F314" s="45" t="str">
        <x:f>IF('Ubicaciones'!T314=1,"Ubicable",IF('Ubicaciones'!E314&lt;&gt;"Abierta","Fuera por estatus","Coordenadas pendientes"))</x:f>
        <x:v>Ubicable</x:v>
      </x:c>
    </x:row>
    <x:row r="315" ht="23" customHeight="1">
      <x:c r="A315" s="45" t="str">
        <x:f>'Ubicaciones'!C315</x:f>
        <x:v>38404</x:v>
      </x:c>
      <x:c r="B315" s="45" t="str">
        <x:f>'Ubicaciones'!A315</x:f>
        <x:v>Centro Centro</x:v>
      </x:c>
      <x:c r="C315" s="45" t="str">
        <x:f>'Ubicaciones'!B315</x:f>
        <x:v>Guadalupe Ibarra Martinez</x:v>
      </x:c>
      <x:c r="D315" s="45" t="str">
        <x:f>IF(COUNTIFS('Catalogos'!$A$2:$A$41,B315,'Catalogos'!$B$2:$B$41,C315)&gt;0,"Correcta","Revisar Región DM")</x:f>
        <x:v>Correcta</x:v>
      </x:c>
      <x:c r="E315" s="45" t="str">
        <x:f>IF(COUNTIFS('Ubicaciones'!$C$2:$C$10001,A315)=1,"Único","Duplicado")</x:f>
        <x:v>Único</x:v>
      </x:c>
      <x:c r="F315" s="45" t="str">
        <x:f>IF('Ubicaciones'!T315=1,"Ubicable",IF('Ubicaciones'!E315&lt;&gt;"Abierta","Fuera por estatus","Coordenadas pendientes"))</x:f>
        <x:v>Ubicable</x:v>
      </x:c>
    </x:row>
    <x:row r="316" ht="23" customHeight="1">
      <x:c r="A316" s="45" t="str">
        <x:f>'Ubicaciones'!C316</x:f>
        <x:v>38422</x:v>
      </x:c>
      <x:c r="B316" s="45" t="str">
        <x:f>'Ubicaciones'!A316</x:f>
        <x:v>Centro Centro</x:v>
      </x:c>
      <x:c r="C316" s="45" t="str">
        <x:f>'Ubicaciones'!B316</x:f>
        <x:v>Guadalupe Ibarra Martinez</x:v>
      </x:c>
      <x:c r="D316" s="45" t="str">
        <x:f>IF(COUNTIFS('Catalogos'!$A$2:$A$41,B316,'Catalogos'!$B$2:$B$41,C316)&gt;0,"Correcta","Revisar Región DM")</x:f>
        <x:v>Correcta</x:v>
      </x:c>
      <x:c r="E316" s="45" t="str">
        <x:f>IF(COUNTIFS('Ubicaciones'!$C$2:$C$10001,A316)=1,"Único","Duplicado")</x:f>
        <x:v>Único</x:v>
      </x:c>
      <x:c r="F316" s="45" t="str">
        <x:f>IF('Ubicaciones'!T316=1,"Ubicable",IF('Ubicaciones'!E316&lt;&gt;"Abierta","Fuera por estatus","Coordenadas pendientes"))</x:f>
        <x:v>Ubicable</x:v>
      </x:c>
    </x:row>
    <x:row r="317" ht="23" customHeight="1">
      <x:c r="A317" s="45" t="str">
        <x:f>'Ubicaciones'!C317</x:f>
        <x:v>38433</x:v>
      </x:c>
      <x:c r="B317" s="45" t="str">
        <x:f>'Ubicaciones'!A317</x:f>
        <x:v>Centro Centro</x:v>
      </x:c>
      <x:c r="C317" s="45" t="str">
        <x:f>'Ubicaciones'!B317</x:f>
        <x:v>Guadalupe Ibarra Martinez</x:v>
      </x:c>
      <x:c r="D317" s="45" t="str">
        <x:f>IF(COUNTIFS('Catalogos'!$A$2:$A$41,B317,'Catalogos'!$B$2:$B$41,C317)&gt;0,"Correcta","Revisar Región DM")</x:f>
        <x:v>Correcta</x:v>
      </x:c>
      <x:c r="E317" s="45" t="str">
        <x:f>IF(COUNTIFS('Ubicaciones'!$C$2:$C$10001,A317)=1,"Único","Duplicado")</x:f>
        <x:v>Único</x:v>
      </x:c>
      <x:c r="F317" s="45" t="str">
        <x:f>IF('Ubicaciones'!T317=1,"Ubicable",IF('Ubicaciones'!E317&lt;&gt;"Abierta","Fuera por estatus","Coordenadas pendientes"))</x:f>
        <x:v>Ubicable</x:v>
      </x:c>
    </x:row>
    <x:row r="318" ht="23" customHeight="1">
      <x:c r="A318" s="45" t="str">
        <x:f>'Ubicaciones'!C318</x:f>
        <x:v>38555</x:v>
      </x:c>
      <x:c r="B318" s="45" t="str">
        <x:f>'Ubicaciones'!A318</x:f>
        <x:v>Centro Centro</x:v>
      </x:c>
      <x:c r="C318" s="45" t="str">
        <x:f>'Ubicaciones'!B318</x:f>
        <x:v>Guadalupe Ibarra Martinez</x:v>
      </x:c>
      <x:c r="D318" s="45" t="str">
        <x:f>IF(COUNTIFS('Catalogos'!$A$2:$A$41,B318,'Catalogos'!$B$2:$B$41,C318)&gt;0,"Correcta","Revisar Región DM")</x:f>
        <x:v>Correcta</x:v>
      </x:c>
      <x:c r="E318" s="45" t="str">
        <x:f>IF(COUNTIFS('Ubicaciones'!$C$2:$C$10001,A318)=1,"Único","Duplicado")</x:f>
        <x:v>Único</x:v>
      </x:c>
      <x:c r="F318" s="45" t="str">
        <x:f>IF('Ubicaciones'!T318=1,"Ubicable",IF('Ubicaciones'!E318&lt;&gt;"Abierta","Fuera por estatus","Coordenadas pendientes"))</x:f>
        <x:v>Ubicable</x:v>
      </x:c>
    </x:row>
    <x:row r="319" ht="23" customHeight="1">
      <x:c r="A319" s="45" t="str">
        <x:f>'Ubicaciones'!C319</x:f>
        <x:v>38613</x:v>
      </x:c>
      <x:c r="B319" s="45" t="str">
        <x:f>'Ubicaciones'!A319</x:f>
        <x:v>Centro Centro</x:v>
      </x:c>
      <x:c r="C319" s="45" t="str">
        <x:f>'Ubicaciones'!B319</x:f>
        <x:v>Guadalupe Ibarra Martinez</x:v>
      </x:c>
      <x:c r="D319" s="45" t="str">
        <x:f>IF(COUNTIFS('Catalogos'!$A$2:$A$41,B319,'Catalogos'!$B$2:$B$41,C319)&gt;0,"Correcta","Revisar Región DM")</x:f>
        <x:v>Correcta</x:v>
      </x:c>
      <x:c r="E319" s="45" t="str">
        <x:f>IF(COUNTIFS('Ubicaciones'!$C$2:$C$10001,A319)=1,"Único","Duplicado")</x:f>
        <x:v>Único</x:v>
      </x:c>
      <x:c r="F319" s="45" t="str">
        <x:f>IF('Ubicaciones'!T319=1,"Ubicable",IF('Ubicaciones'!E319&lt;&gt;"Abierta","Fuera por estatus","Coordenadas pendientes"))</x:f>
        <x:v>Fuera por estatus</x:v>
      </x:c>
    </x:row>
    <x:row r="320" ht="23" customHeight="1">
      <x:c r="A320" s="45" t="str">
        <x:f>'Ubicaciones'!C320</x:f>
        <x:v>38654</x:v>
      </x:c>
      <x:c r="B320" s="45" t="str">
        <x:f>'Ubicaciones'!A320</x:f>
        <x:v>Centro Centro</x:v>
      </x:c>
      <x:c r="C320" s="45" t="str">
        <x:f>'Ubicaciones'!B320</x:f>
        <x:v>Guadalupe Ibarra Martinez</x:v>
      </x:c>
      <x:c r="D320" s="45" t="str">
        <x:f>IF(COUNTIFS('Catalogos'!$A$2:$A$41,B320,'Catalogos'!$B$2:$B$41,C320)&gt;0,"Correcta","Revisar Región DM")</x:f>
        <x:v>Correcta</x:v>
      </x:c>
      <x:c r="E320" s="45" t="str">
        <x:f>IF(COUNTIFS('Ubicaciones'!$C$2:$C$10001,A320)=1,"Único","Duplicado")</x:f>
        <x:v>Único</x:v>
      </x:c>
      <x:c r="F320" s="45" t="str">
        <x:f>IF('Ubicaciones'!T320=1,"Ubicable",IF('Ubicaciones'!E320&lt;&gt;"Abierta","Fuera por estatus","Coordenadas pendientes"))</x:f>
        <x:v>Ubicable</x:v>
      </x:c>
    </x:row>
    <x:row r="321" ht="23" customHeight="1">
      <x:c r="A321" s="45" t="str">
        <x:f>'Ubicaciones'!C321</x:f>
        <x:v>38681</x:v>
      </x:c>
      <x:c r="B321" s="45" t="str">
        <x:f>'Ubicaciones'!A321</x:f>
        <x:v>Centro Centro</x:v>
      </x:c>
      <x:c r="C321" s="45" t="str">
        <x:f>'Ubicaciones'!B321</x:f>
        <x:v>Guadalupe Ibarra Martinez</x:v>
      </x:c>
      <x:c r="D321" s="45" t="str">
        <x:f>IF(COUNTIFS('Catalogos'!$A$2:$A$41,B321,'Catalogos'!$B$2:$B$41,C321)&gt;0,"Correcta","Revisar Región DM")</x:f>
        <x:v>Correcta</x:v>
      </x:c>
      <x:c r="E321" s="45" t="str">
        <x:f>IF(COUNTIFS('Ubicaciones'!$C$2:$C$10001,A321)=1,"Único","Duplicado")</x:f>
        <x:v>Único</x:v>
      </x:c>
      <x:c r="F321" s="45" t="str">
        <x:f>IF('Ubicaciones'!T321=1,"Ubicable",IF('Ubicaciones'!E321&lt;&gt;"Abierta","Fuera por estatus","Coordenadas pendientes"))</x:f>
        <x:v>Ubicable</x:v>
      </x:c>
    </x:row>
    <x:row r="322" ht="23" customHeight="1">
      <x:c r="A322" s="45" t="str">
        <x:f>'Ubicaciones'!C322</x:f>
        <x:v>43188</x:v>
      </x:c>
      <x:c r="B322" s="45" t="str">
        <x:f>'Ubicaciones'!A322</x:f>
        <x:v>Centro Centro</x:v>
      </x:c>
      <x:c r="C322" s="45" t="str">
        <x:f>'Ubicaciones'!B322</x:f>
        <x:v>Guadalupe Ibarra Martinez</x:v>
      </x:c>
      <x:c r="D322" s="45" t="str">
        <x:f>IF(COUNTIFS('Catalogos'!$A$2:$A$41,B322,'Catalogos'!$B$2:$B$41,C322)&gt;0,"Correcta","Revisar Región DM")</x:f>
        <x:v>Correcta</x:v>
      </x:c>
      <x:c r="E322" s="45" t="str">
        <x:f>IF(COUNTIFS('Ubicaciones'!$C$2:$C$10001,A322)=1,"Único","Duplicado")</x:f>
        <x:v>Único</x:v>
      </x:c>
      <x:c r="F322" s="45" t="str">
        <x:f>IF('Ubicaciones'!T322=1,"Ubicable",IF('Ubicaciones'!E322&lt;&gt;"Abierta","Fuera por estatus","Coordenadas pendientes"))</x:f>
        <x:v>Ubicable</x:v>
      </x:c>
    </x:row>
    <x:row r="323" ht="23" customHeight="1">
      <x:c r="A323" s="45" t="str">
        <x:f>'Ubicaciones'!C323</x:f>
        <x:v>43248</x:v>
      </x:c>
      <x:c r="B323" s="45" t="str">
        <x:f>'Ubicaciones'!A323</x:f>
        <x:v>Centro Centro</x:v>
      </x:c>
      <x:c r="C323" s="45" t="str">
        <x:f>'Ubicaciones'!B323</x:f>
        <x:v>Guadalupe Ibarra Martinez</x:v>
      </x:c>
      <x:c r="D323" s="45" t="str">
        <x:f>IF(COUNTIFS('Catalogos'!$A$2:$A$41,B323,'Catalogos'!$B$2:$B$41,C323)&gt;0,"Correcta","Revisar Región DM")</x:f>
        <x:v>Correcta</x:v>
      </x:c>
      <x:c r="E323" s="45" t="str">
        <x:f>IF(COUNTIFS('Ubicaciones'!$C$2:$C$10001,A323)=1,"Único","Duplicado")</x:f>
        <x:v>Único</x:v>
      </x:c>
      <x:c r="F323" s="45" t="str">
        <x:f>IF('Ubicaciones'!T323=1,"Ubicable",IF('Ubicaciones'!E323&lt;&gt;"Abierta","Fuera por estatus","Coordenadas pendientes"))</x:f>
        <x:v>Ubicable</x:v>
      </x:c>
    </x:row>
    <x:row r="324" ht="23" customHeight="1">
      <x:c r="A324" s="45" t="str">
        <x:f>'Ubicaciones'!C324</x:f>
        <x:v>38111</x:v>
      </x:c>
      <x:c r="B324" s="45" t="str">
        <x:f>'Ubicaciones'!A324</x:f>
        <x:v>Centro Centro</x:v>
      </x:c>
      <x:c r="C324" s="45" t="str">
        <x:f>'Ubicaciones'!B324</x:f>
        <x:v>Luis Manuel Neri Saldana</x:v>
      </x:c>
      <x:c r="D324" s="45" t="str">
        <x:f>IF(COUNTIFS('Catalogos'!$A$2:$A$41,B324,'Catalogos'!$B$2:$B$41,C324)&gt;0,"Correcta","Revisar Región DM")</x:f>
        <x:v>Correcta</x:v>
      </x:c>
      <x:c r="E324" s="45" t="str">
        <x:f>IF(COUNTIFS('Ubicaciones'!$C$2:$C$10001,A324)=1,"Único","Duplicado")</x:f>
        <x:v>Único</x:v>
      </x:c>
      <x:c r="F324" s="45" t="str">
        <x:f>IF('Ubicaciones'!T324=1,"Ubicable",IF('Ubicaciones'!E324&lt;&gt;"Abierta","Fuera por estatus","Coordenadas pendientes"))</x:f>
        <x:v>Ubicable</x:v>
      </x:c>
    </x:row>
    <x:row r="325" ht="23" customHeight="1">
      <x:c r="A325" s="45" t="str">
        <x:f>'Ubicaciones'!C325</x:f>
        <x:v>38118</x:v>
      </x:c>
      <x:c r="B325" s="45" t="str">
        <x:f>'Ubicaciones'!A325</x:f>
        <x:v>Centro Centro</x:v>
      </x:c>
      <x:c r="C325" s="45" t="str">
        <x:f>'Ubicaciones'!B325</x:f>
        <x:v>Luis Manuel Neri Saldana</x:v>
      </x:c>
      <x:c r="D325" s="45" t="str">
        <x:f>IF(COUNTIFS('Catalogos'!$A$2:$A$41,B325,'Catalogos'!$B$2:$B$41,C325)&gt;0,"Correcta","Revisar Región DM")</x:f>
        <x:v>Correcta</x:v>
      </x:c>
      <x:c r="E325" s="45" t="str">
        <x:f>IF(COUNTIFS('Ubicaciones'!$C$2:$C$10001,A325)=1,"Único","Duplicado")</x:f>
        <x:v>Único</x:v>
      </x:c>
      <x:c r="F325" s="45" t="str">
        <x:f>IF('Ubicaciones'!T325=1,"Ubicable",IF('Ubicaciones'!E325&lt;&gt;"Abierta","Fuera por estatus","Coordenadas pendientes"))</x:f>
        <x:v>Ubicable</x:v>
      </x:c>
    </x:row>
    <x:row r="326" ht="23" customHeight="1">
      <x:c r="A326" s="45" t="str">
        <x:f>'Ubicaciones'!C326</x:f>
        <x:v>38194</x:v>
      </x:c>
      <x:c r="B326" s="45" t="str">
        <x:f>'Ubicaciones'!A326</x:f>
        <x:v>Centro Centro</x:v>
      </x:c>
      <x:c r="C326" s="45" t="str">
        <x:f>'Ubicaciones'!B326</x:f>
        <x:v>Luis Manuel Neri Saldana</x:v>
      </x:c>
      <x:c r="D326" s="45" t="str">
        <x:f>IF(COUNTIFS('Catalogos'!$A$2:$A$41,B326,'Catalogos'!$B$2:$B$41,C326)&gt;0,"Correcta","Revisar Región DM")</x:f>
        <x:v>Correcta</x:v>
      </x:c>
      <x:c r="E326" s="45" t="str">
        <x:f>IF(COUNTIFS('Ubicaciones'!$C$2:$C$10001,A326)=1,"Único","Duplicado")</x:f>
        <x:v>Único</x:v>
      </x:c>
      <x:c r="F326" s="45" t="str">
        <x:f>IF('Ubicaciones'!T326=1,"Ubicable",IF('Ubicaciones'!E326&lt;&gt;"Abierta","Fuera por estatus","Coordenadas pendientes"))</x:f>
        <x:v>Ubicable</x:v>
      </x:c>
    </x:row>
    <x:row r="327" ht="23" customHeight="1">
      <x:c r="A327" s="45" t="str">
        <x:f>'Ubicaciones'!C327</x:f>
        <x:v>38219</x:v>
      </x:c>
      <x:c r="B327" s="45" t="str">
        <x:f>'Ubicaciones'!A327</x:f>
        <x:v>Centro Centro</x:v>
      </x:c>
      <x:c r="C327" s="45" t="str">
        <x:f>'Ubicaciones'!B327</x:f>
        <x:v>Luis Manuel Neri Saldana</x:v>
      </x:c>
      <x:c r="D327" s="45" t="str">
        <x:f>IF(COUNTIFS('Catalogos'!$A$2:$A$41,B327,'Catalogos'!$B$2:$B$41,C327)&gt;0,"Correcta","Revisar Región DM")</x:f>
        <x:v>Correcta</x:v>
      </x:c>
      <x:c r="E327" s="45" t="str">
        <x:f>IF(COUNTIFS('Ubicaciones'!$C$2:$C$10001,A327)=1,"Único","Duplicado")</x:f>
        <x:v>Único</x:v>
      </x:c>
      <x:c r="F327" s="45" t="str">
        <x:f>IF('Ubicaciones'!T327=1,"Ubicable",IF('Ubicaciones'!E327&lt;&gt;"Abierta","Fuera por estatus","Coordenadas pendientes"))</x:f>
        <x:v>Ubicable</x:v>
      </x:c>
    </x:row>
    <x:row r="328" ht="23" customHeight="1">
      <x:c r="A328" s="45" t="str">
        <x:f>'Ubicaciones'!C328</x:f>
        <x:v>38349</x:v>
      </x:c>
      <x:c r="B328" s="45" t="str">
        <x:f>'Ubicaciones'!A328</x:f>
        <x:v>Centro Centro</x:v>
      </x:c>
      <x:c r="C328" s="45" t="str">
        <x:f>'Ubicaciones'!B328</x:f>
        <x:v>Luis Manuel Neri Saldana</x:v>
      </x:c>
      <x:c r="D328" s="45" t="str">
        <x:f>IF(COUNTIFS('Catalogos'!$A$2:$A$41,B328,'Catalogos'!$B$2:$B$41,C328)&gt;0,"Correcta","Revisar Región DM")</x:f>
        <x:v>Correcta</x:v>
      </x:c>
      <x:c r="E328" s="45" t="str">
        <x:f>IF(COUNTIFS('Ubicaciones'!$C$2:$C$10001,A328)=1,"Único","Duplicado")</x:f>
        <x:v>Único</x:v>
      </x:c>
      <x:c r="F328" s="45" t="str">
        <x:f>IF('Ubicaciones'!T328=1,"Ubicable",IF('Ubicaciones'!E328&lt;&gt;"Abierta","Fuera por estatus","Coordenadas pendientes"))</x:f>
        <x:v>Ubicable</x:v>
      </x:c>
    </x:row>
    <x:row r="329" ht="23" customHeight="1">
      <x:c r="A329" s="45" t="str">
        <x:f>'Ubicaciones'!C329</x:f>
        <x:v>38399</x:v>
      </x:c>
      <x:c r="B329" s="45" t="str">
        <x:f>'Ubicaciones'!A329</x:f>
        <x:v>Centro Centro</x:v>
      </x:c>
      <x:c r="C329" s="45" t="str">
        <x:f>'Ubicaciones'!B329</x:f>
        <x:v>Luis Manuel Neri Saldana</x:v>
      </x:c>
      <x:c r="D329" s="45" t="str">
        <x:f>IF(COUNTIFS('Catalogos'!$A$2:$A$41,B329,'Catalogos'!$B$2:$B$41,C329)&gt;0,"Correcta","Revisar Región DM")</x:f>
        <x:v>Correcta</x:v>
      </x:c>
      <x:c r="E329" s="45" t="str">
        <x:f>IF(COUNTIFS('Ubicaciones'!$C$2:$C$10001,A329)=1,"Único","Duplicado")</x:f>
        <x:v>Único</x:v>
      </x:c>
      <x:c r="F329" s="45" t="str">
        <x:f>IF('Ubicaciones'!T329=1,"Ubicable",IF('Ubicaciones'!E329&lt;&gt;"Abierta","Fuera por estatus","Coordenadas pendientes"))</x:f>
        <x:v>Ubicable</x:v>
      </x:c>
    </x:row>
    <x:row r="330" ht="23" customHeight="1">
      <x:c r="A330" s="45" t="str">
        <x:f>'Ubicaciones'!C330</x:f>
        <x:v>38405</x:v>
      </x:c>
      <x:c r="B330" s="45" t="str">
        <x:f>'Ubicaciones'!A330</x:f>
        <x:v>Centro Centro</x:v>
      </x:c>
      <x:c r="C330" s="45" t="str">
        <x:f>'Ubicaciones'!B330</x:f>
        <x:v>Luis Manuel Neri Saldana</x:v>
      </x:c>
      <x:c r="D330" s="45" t="str">
        <x:f>IF(COUNTIFS('Catalogos'!$A$2:$A$41,B330,'Catalogos'!$B$2:$B$41,C330)&gt;0,"Correcta","Revisar Región DM")</x:f>
        <x:v>Correcta</x:v>
      </x:c>
      <x:c r="E330" s="45" t="str">
        <x:f>IF(COUNTIFS('Ubicaciones'!$C$2:$C$10001,A330)=1,"Único","Duplicado")</x:f>
        <x:v>Único</x:v>
      </x:c>
      <x:c r="F330" s="45" t="str">
        <x:f>IF('Ubicaciones'!T330=1,"Ubicable",IF('Ubicaciones'!E330&lt;&gt;"Abierta","Fuera por estatus","Coordenadas pendientes"))</x:f>
        <x:v>Ubicable</x:v>
      </x:c>
    </x:row>
    <x:row r="331" ht="23" customHeight="1">
      <x:c r="A331" s="45" t="str">
        <x:f>'Ubicaciones'!C331</x:f>
        <x:v>38470</x:v>
      </x:c>
      <x:c r="B331" s="45" t="str">
        <x:f>'Ubicaciones'!A331</x:f>
        <x:v>Centro Centro</x:v>
      </x:c>
      <x:c r="C331" s="45" t="str">
        <x:f>'Ubicaciones'!B331</x:f>
        <x:v>Luis Manuel Neri Saldana</x:v>
      </x:c>
      <x:c r="D331" s="45" t="str">
        <x:f>IF(COUNTIFS('Catalogos'!$A$2:$A$41,B331,'Catalogos'!$B$2:$B$41,C331)&gt;0,"Correcta","Revisar Región DM")</x:f>
        <x:v>Correcta</x:v>
      </x:c>
      <x:c r="E331" s="45" t="str">
        <x:f>IF(COUNTIFS('Ubicaciones'!$C$2:$C$10001,A331)=1,"Único","Duplicado")</x:f>
        <x:v>Único</x:v>
      </x:c>
      <x:c r="F331" s="45" t="str">
        <x:f>IF('Ubicaciones'!T331=1,"Ubicable",IF('Ubicaciones'!E331&lt;&gt;"Abierta","Fuera por estatus","Coordenadas pendientes"))</x:f>
        <x:v>Ubicable</x:v>
      </x:c>
    </x:row>
    <x:row r="332" ht="23" customHeight="1">
      <x:c r="A332" s="45" t="str">
        <x:f>'Ubicaciones'!C332</x:f>
        <x:v>38557</x:v>
      </x:c>
      <x:c r="B332" s="45" t="str">
        <x:f>'Ubicaciones'!A332</x:f>
        <x:v>Centro Centro</x:v>
      </x:c>
      <x:c r="C332" s="45" t="str">
        <x:f>'Ubicaciones'!B332</x:f>
        <x:v>Luis Manuel Neri Saldana</x:v>
      </x:c>
      <x:c r="D332" s="45" t="str">
        <x:f>IF(COUNTIFS('Catalogos'!$A$2:$A$41,B332,'Catalogos'!$B$2:$B$41,C332)&gt;0,"Correcta","Revisar Región DM")</x:f>
        <x:v>Correcta</x:v>
      </x:c>
      <x:c r="E332" s="45" t="str">
        <x:f>IF(COUNTIFS('Ubicaciones'!$C$2:$C$10001,A332)=1,"Único","Duplicado")</x:f>
        <x:v>Único</x:v>
      </x:c>
      <x:c r="F332" s="45" t="str">
        <x:f>IF('Ubicaciones'!T332=1,"Ubicable",IF('Ubicaciones'!E332&lt;&gt;"Abierta","Fuera por estatus","Coordenadas pendientes"))</x:f>
        <x:v>Ubicable</x:v>
      </x:c>
    </x:row>
    <x:row r="333" ht="23" customHeight="1">
      <x:c r="A333" s="45" t="str">
        <x:f>'Ubicaciones'!C333</x:f>
        <x:v>38581</x:v>
      </x:c>
      <x:c r="B333" s="45" t="str">
        <x:f>'Ubicaciones'!A333</x:f>
        <x:v>Centro Centro</x:v>
      </x:c>
      <x:c r="C333" s="45" t="str">
        <x:f>'Ubicaciones'!B333</x:f>
        <x:v>Luis Manuel Neri Saldana</x:v>
      </x:c>
      <x:c r="D333" s="45" t="str">
        <x:f>IF(COUNTIFS('Catalogos'!$A$2:$A$41,B333,'Catalogos'!$B$2:$B$41,C333)&gt;0,"Correcta","Revisar Región DM")</x:f>
        <x:v>Correcta</x:v>
      </x:c>
      <x:c r="E333" s="45" t="str">
        <x:f>IF(COUNTIFS('Ubicaciones'!$C$2:$C$10001,A333)=1,"Único","Duplicado")</x:f>
        <x:v>Único</x:v>
      </x:c>
      <x:c r="F333" s="45" t="str">
        <x:f>IF('Ubicaciones'!T333=1,"Ubicable",IF('Ubicaciones'!E333&lt;&gt;"Abierta","Fuera por estatus","Coordenadas pendientes"))</x:f>
        <x:v>Ubicable</x:v>
      </x:c>
    </x:row>
    <x:row r="334" ht="23" customHeight="1">
      <x:c r="A334" s="45" t="str">
        <x:f>'Ubicaciones'!C334</x:f>
        <x:v>38600</x:v>
      </x:c>
      <x:c r="B334" s="45" t="str">
        <x:f>'Ubicaciones'!A334</x:f>
        <x:v>Centro Centro</x:v>
      </x:c>
      <x:c r="C334" s="45" t="str">
        <x:f>'Ubicaciones'!B334</x:f>
        <x:v>Luis Manuel Neri Saldana</x:v>
      </x:c>
      <x:c r="D334" s="45" t="str">
        <x:f>IF(COUNTIFS('Catalogos'!$A$2:$A$41,B334,'Catalogos'!$B$2:$B$41,C334)&gt;0,"Correcta","Revisar Región DM")</x:f>
        <x:v>Correcta</x:v>
      </x:c>
      <x:c r="E334" s="45" t="str">
        <x:f>IF(COUNTIFS('Ubicaciones'!$C$2:$C$10001,A334)=1,"Único","Duplicado")</x:f>
        <x:v>Único</x:v>
      </x:c>
      <x:c r="F334" s="45" t="str">
        <x:f>IF('Ubicaciones'!T334=1,"Ubicable",IF('Ubicaciones'!E334&lt;&gt;"Abierta","Fuera por estatus","Coordenadas pendientes"))</x:f>
        <x:v>Ubicable</x:v>
      </x:c>
    </x:row>
    <x:row r="335" ht="23" customHeight="1">
      <x:c r="A335" s="45" t="str">
        <x:f>'Ubicaciones'!C335</x:f>
        <x:v>38612</x:v>
      </x:c>
      <x:c r="B335" s="45" t="str">
        <x:f>'Ubicaciones'!A335</x:f>
        <x:v>Centro Centro</x:v>
      </x:c>
      <x:c r="C335" s="45" t="str">
        <x:f>'Ubicaciones'!B335</x:f>
        <x:v>Luis Manuel Neri Saldana</x:v>
      </x:c>
      <x:c r="D335" s="45" t="str">
        <x:f>IF(COUNTIFS('Catalogos'!$A$2:$A$41,B335,'Catalogos'!$B$2:$B$41,C335)&gt;0,"Correcta","Revisar Región DM")</x:f>
        <x:v>Correcta</x:v>
      </x:c>
      <x:c r="E335" s="45" t="str">
        <x:f>IF(COUNTIFS('Ubicaciones'!$C$2:$C$10001,A335)=1,"Único","Duplicado")</x:f>
        <x:v>Único</x:v>
      </x:c>
      <x:c r="F335" s="45" t="str">
        <x:f>IF('Ubicaciones'!T335=1,"Ubicable",IF('Ubicaciones'!E335&lt;&gt;"Abierta","Fuera por estatus","Coordenadas pendientes"))</x:f>
        <x:v>Ubicable</x:v>
      </x:c>
    </x:row>
    <x:row r="336" ht="23" customHeight="1">
      <x:c r="A336" s="45" t="str">
        <x:f>'Ubicaciones'!C336</x:f>
        <x:v>38676</x:v>
      </x:c>
      <x:c r="B336" s="45" t="str">
        <x:f>'Ubicaciones'!A336</x:f>
        <x:v>Centro Centro</x:v>
      </x:c>
      <x:c r="C336" s="45" t="str">
        <x:f>'Ubicaciones'!B336</x:f>
        <x:v>Luis Manuel Neri Saldana</x:v>
      </x:c>
      <x:c r="D336" s="45" t="str">
        <x:f>IF(COUNTIFS('Catalogos'!$A$2:$A$41,B336,'Catalogos'!$B$2:$B$41,C336)&gt;0,"Correcta","Revisar Región DM")</x:f>
        <x:v>Correcta</x:v>
      </x:c>
      <x:c r="E336" s="45" t="str">
        <x:f>IF(COUNTIFS('Ubicaciones'!$C$2:$C$10001,A336)=1,"Único","Duplicado")</x:f>
        <x:v>Único</x:v>
      </x:c>
      <x:c r="F336" s="45" t="str">
        <x:f>IF('Ubicaciones'!T336=1,"Ubicable",IF('Ubicaciones'!E336&lt;&gt;"Abierta","Fuera por estatus","Coordenadas pendientes"))</x:f>
        <x:v>Ubicable</x:v>
      </x:c>
    </x:row>
    <x:row r="337" ht="23" customHeight="1">
      <x:c r="A337" s="45" t="str">
        <x:f>'Ubicaciones'!C337</x:f>
        <x:v>38982</x:v>
      </x:c>
      <x:c r="B337" s="45" t="str">
        <x:f>'Ubicaciones'!A337</x:f>
        <x:v>Centro Centro</x:v>
      </x:c>
      <x:c r="C337" s="45" t="str">
        <x:f>'Ubicaciones'!B337</x:f>
        <x:v>Luis Manuel Neri Saldana</x:v>
      </x:c>
      <x:c r="D337" s="45" t="str">
        <x:f>IF(COUNTIFS('Catalogos'!$A$2:$A$41,B337,'Catalogos'!$B$2:$B$41,C337)&gt;0,"Correcta","Revisar Región DM")</x:f>
        <x:v>Correcta</x:v>
      </x:c>
      <x:c r="E337" s="45" t="str">
        <x:f>IF(COUNTIFS('Ubicaciones'!$C$2:$C$10001,A337)=1,"Único","Duplicado")</x:f>
        <x:v>Único</x:v>
      </x:c>
      <x:c r="F337" s="45" t="str">
        <x:f>IF('Ubicaciones'!T337=1,"Ubicable",IF('Ubicaciones'!E337&lt;&gt;"Abierta","Fuera por estatus","Coordenadas pendientes"))</x:f>
        <x:v>Ubicable</x:v>
      </x:c>
    </x:row>
    <x:row r="338" ht="23" customHeight="1">
      <x:c r="A338" s="45" t="str">
        <x:f>'Ubicaciones'!C338</x:f>
        <x:v>43045</x:v>
      </x:c>
      <x:c r="B338" s="45" t="str">
        <x:f>'Ubicaciones'!A338</x:f>
        <x:v>Centro Centro</x:v>
      </x:c>
      <x:c r="C338" s="45" t="str">
        <x:f>'Ubicaciones'!B338</x:f>
        <x:v>Luis Manuel Neri Saldana</x:v>
      </x:c>
      <x:c r="D338" s="45" t="str">
        <x:f>IF(COUNTIFS('Catalogos'!$A$2:$A$41,B338,'Catalogos'!$B$2:$B$41,C338)&gt;0,"Correcta","Revisar Región DM")</x:f>
        <x:v>Correcta</x:v>
      </x:c>
      <x:c r="E338" s="45" t="str">
        <x:f>IF(COUNTIFS('Ubicaciones'!$C$2:$C$10001,A338)=1,"Único","Duplicado")</x:f>
        <x:v>Único</x:v>
      </x:c>
      <x:c r="F338" s="45" t="str">
        <x:f>IF('Ubicaciones'!T338=1,"Ubicable",IF('Ubicaciones'!E338&lt;&gt;"Abierta","Fuera por estatus","Coordenadas pendientes"))</x:f>
        <x:v>Ubicable</x:v>
      </x:c>
    </x:row>
    <x:row r="339" ht="23" customHeight="1">
      <x:c r="A339" s="45" t="str">
        <x:f>'Ubicaciones'!C339</x:f>
        <x:v>38151</x:v>
      </x:c>
      <x:c r="B339" s="45" t="str">
        <x:f>'Ubicaciones'!A339</x:f>
        <x:v>Centro Centro</x:v>
      </x:c>
      <x:c r="C339" s="45" t="str">
        <x:f>'Ubicaciones'!B339</x:f>
        <x:v>Maria Anallely Sanchez Garcia</x:v>
      </x:c>
      <x:c r="D339" s="45" t="str">
        <x:f>IF(COUNTIFS('Catalogos'!$A$2:$A$41,B339,'Catalogos'!$B$2:$B$41,C339)&gt;0,"Correcta","Revisar Región DM")</x:f>
        <x:v>Correcta</x:v>
      </x:c>
      <x:c r="E339" s="45" t="str">
        <x:f>IF(COUNTIFS('Ubicaciones'!$C$2:$C$10001,A339)=1,"Único","Duplicado")</x:f>
        <x:v>Único</x:v>
      </x:c>
      <x:c r="F339" s="45" t="str">
        <x:f>IF('Ubicaciones'!T339=1,"Ubicable",IF('Ubicaciones'!E339&lt;&gt;"Abierta","Fuera por estatus","Coordenadas pendientes"))</x:f>
        <x:v>Ubicable</x:v>
      </x:c>
    </x:row>
    <x:row r="340" ht="23" customHeight="1">
      <x:c r="A340" s="45" t="str">
        <x:f>'Ubicaciones'!C340</x:f>
        <x:v>38167</x:v>
      </x:c>
      <x:c r="B340" s="45" t="str">
        <x:f>'Ubicaciones'!A340</x:f>
        <x:v>Centro Centro</x:v>
      </x:c>
      <x:c r="C340" s="45" t="str">
        <x:f>'Ubicaciones'!B340</x:f>
        <x:v>Maria Anallely Sanchez Garcia</x:v>
      </x:c>
      <x:c r="D340" s="45" t="str">
        <x:f>IF(COUNTIFS('Catalogos'!$A$2:$A$41,B340,'Catalogos'!$B$2:$B$41,C340)&gt;0,"Correcta","Revisar Región DM")</x:f>
        <x:v>Correcta</x:v>
      </x:c>
      <x:c r="E340" s="45" t="str">
        <x:f>IF(COUNTIFS('Ubicaciones'!$C$2:$C$10001,A340)=1,"Único","Duplicado")</x:f>
        <x:v>Único</x:v>
      </x:c>
      <x:c r="F340" s="45" t="str">
        <x:f>IF('Ubicaciones'!T340=1,"Ubicable",IF('Ubicaciones'!E340&lt;&gt;"Abierta","Fuera por estatus","Coordenadas pendientes"))</x:f>
        <x:v>Ubicable</x:v>
      </x:c>
    </x:row>
    <x:row r="341" ht="23" customHeight="1">
      <x:c r="A341" s="45" t="str">
        <x:f>'Ubicaciones'!C341</x:f>
        <x:v>38168</x:v>
      </x:c>
      <x:c r="B341" s="45" t="str">
        <x:f>'Ubicaciones'!A341</x:f>
        <x:v>Centro Centro</x:v>
      </x:c>
      <x:c r="C341" s="45" t="str">
        <x:f>'Ubicaciones'!B341</x:f>
        <x:v>Maria Anallely Sanchez Garcia</x:v>
      </x:c>
      <x:c r="D341" s="45" t="str">
        <x:f>IF(COUNTIFS('Catalogos'!$A$2:$A$41,B341,'Catalogos'!$B$2:$B$41,C341)&gt;0,"Correcta","Revisar Región DM")</x:f>
        <x:v>Correcta</x:v>
      </x:c>
      <x:c r="E341" s="45" t="str">
        <x:f>IF(COUNTIFS('Ubicaciones'!$C$2:$C$10001,A341)=1,"Único","Duplicado")</x:f>
        <x:v>Único</x:v>
      </x:c>
      <x:c r="F341" s="45" t="str">
        <x:f>IF('Ubicaciones'!T341=1,"Ubicable",IF('Ubicaciones'!E341&lt;&gt;"Abierta","Fuera por estatus","Coordenadas pendientes"))</x:f>
        <x:v>Fuera por estatus</x:v>
      </x:c>
    </x:row>
    <x:row r="342" ht="23" customHeight="1">
      <x:c r="A342" s="45" t="str">
        <x:f>'Ubicaciones'!C342</x:f>
        <x:v>38171</x:v>
      </x:c>
      <x:c r="B342" s="45" t="str">
        <x:f>'Ubicaciones'!A342</x:f>
        <x:v>Centro Centro</x:v>
      </x:c>
      <x:c r="C342" s="45" t="str">
        <x:f>'Ubicaciones'!B342</x:f>
        <x:v>Maria Anallely Sanchez Garcia</x:v>
      </x:c>
      <x:c r="D342" s="45" t="str">
        <x:f>IF(COUNTIFS('Catalogos'!$A$2:$A$41,B342,'Catalogos'!$B$2:$B$41,C342)&gt;0,"Correcta","Revisar Región DM")</x:f>
        <x:v>Correcta</x:v>
      </x:c>
      <x:c r="E342" s="45" t="str">
        <x:f>IF(COUNTIFS('Ubicaciones'!$C$2:$C$10001,A342)=1,"Único","Duplicado")</x:f>
        <x:v>Único</x:v>
      </x:c>
      <x:c r="F342" s="45" t="str">
        <x:f>IF('Ubicaciones'!T342=1,"Ubicable",IF('Ubicaciones'!E342&lt;&gt;"Abierta","Fuera por estatus","Coordenadas pendientes"))</x:f>
        <x:v>Ubicable</x:v>
      </x:c>
    </x:row>
    <x:row r="343" ht="23" customHeight="1">
      <x:c r="A343" s="45" t="str">
        <x:f>'Ubicaciones'!C343</x:f>
        <x:v>38182</x:v>
      </x:c>
      <x:c r="B343" s="45" t="str">
        <x:f>'Ubicaciones'!A343</x:f>
        <x:v>Centro Centro</x:v>
      </x:c>
      <x:c r="C343" s="45" t="str">
        <x:f>'Ubicaciones'!B343</x:f>
        <x:v>Maria Anallely Sanchez Garcia</x:v>
      </x:c>
      <x:c r="D343" s="45" t="str">
        <x:f>IF(COUNTIFS('Catalogos'!$A$2:$A$41,B343,'Catalogos'!$B$2:$B$41,C343)&gt;0,"Correcta","Revisar Región DM")</x:f>
        <x:v>Correcta</x:v>
      </x:c>
      <x:c r="E343" s="45" t="str">
        <x:f>IF(COUNTIFS('Ubicaciones'!$C$2:$C$10001,A343)=1,"Único","Duplicado")</x:f>
        <x:v>Único</x:v>
      </x:c>
      <x:c r="F343" s="45" t="str">
        <x:f>IF('Ubicaciones'!T343=1,"Ubicable",IF('Ubicaciones'!E343&lt;&gt;"Abierta","Fuera por estatus","Coordenadas pendientes"))</x:f>
        <x:v>Ubicable</x:v>
      </x:c>
    </x:row>
    <x:row r="344" ht="23" customHeight="1">
      <x:c r="A344" s="45" t="str">
        <x:f>'Ubicaciones'!C344</x:f>
        <x:v>38297</x:v>
      </x:c>
      <x:c r="B344" s="45" t="str">
        <x:f>'Ubicaciones'!A344</x:f>
        <x:v>Centro Centro</x:v>
      </x:c>
      <x:c r="C344" s="45" t="str">
        <x:f>'Ubicaciones'!B344</x:f>
        <x:v>Maria Anallely Sanchez Garcia</x:v>
      </x:c>
      <x:c r="D344" s="45" t="str">
        <x:f>IF(COUNTIFS('Catalogos'!$A$2:$A$41,B344,'Catalogos'!$B$2:$B$41,C344)&gt;0,"Correcta","Revisar Región DM")</x:f>
        <x:v>Correcta</x:v>
      </x:c>
      <x:c r="E344" s="45" t="str">
        <x:f>IF(COUNTIFS('Ubicaciones'!$C$2:$C$10001,A344)=1,"Único","Duplicado")</x:f>
        <x:v>Único</x:v>
      </x:c>
      <x:c r="F344" s="45" t="str">
        <x:f>IF('Ubicaciones'!T344=1,"Ubicable",IF('Ubicaciones'!E344&lt;&gt;"Abierta","Fuera por estatus","Coordenadas pendientes"))</x:f>
        <x:v>Ubicable</x:v>
      </x:c>
    </x:row>
    <x:row r="345" ht="23" customHeight="1">
      <x:c r="A345" s="45" t="str">
        <x:f>'Ubicaciones'!C345</x:f>
        <x:v>38298</x:v>
      </x:c>
      <x:c r="B345" s="45" t="str">
        <x:f>'Ubicaciones'!A345</x:f>
        <x:v>Centro Centro</x:v>
      </x:c>
      <x:c r="C345" s="45" t="str">
        <x:f>'Ubicaciones'!B345</x:f>
        <x:v>Maria Anallely Sanchez Garcia</x:v>
      </x:c>
      <x:c r="D345" s="45" t="str">
        <x:f>IF(COUNTIFS('Catalogos'!$A$2:$A$41,B345,'Catalogos'!$B$2:$B$41,C345)&gt;0,"Correcta","Revisar Región DM")</x:f>
        <x:v>Correcta</x:v>
      </x:c>
      <x:c r="E345" s="45" t="str">
        <x:f>IF(COUNTIFS('Ubicaciones'!$C$2:$C$10001,A345)=1,"Único","Duplicado")</x:f>
        <x:v>Único</x:v>
      </x:c>
      <x:c r="F345" s="45" t="str">
        <x:f>IF('Ubicaciones'!T345=1,"Ubicable",IF('Ubicaciones'!E345&lt;&gt;"Abierta","Fuera por estatus","Coordenadas pendientes"))</x:f>
        <x:v>Ubicable</x:v>
      </x:c>
    </x:row>
    <x:row r="346" ht="23" customHeight="1">
      <x:c r="A346" s="45" t="str">
        <x:f>'Ubicaciones'!C346</x:f>
        <x:v>38299</x:v>
      </x:c>
      <x:c r="B346" s="45" t="str">
        <x:f>'Ubicaciones'!A346</x:f>
        <x:v>Centro Centro</x:v>
      </x:c>
      <x:c r="C346" s="45" t="str">
        <x:f>'Ubicaciones'!B346</x:f>
        <x:v>Maria Anallely Sanchez Garcia</x:v>
      </x:c>
      <x:c r="D346" s="45" t="str">
        <x:f>IF(COUNTIFS('Catalogos'!$A$2:$A$41,B346,'Catalogos'!$B$2:$B$41,C346)&gt;0,"Correcta","Revisar Región DM")</x:f>
        <x:v>Correcta</x:v>
      </x:c>
      <x:c r="E346" s="45" t="str">
        <x:f>IF(COUNTIFS('Ubicaciones'!$C$2:$C$10001,A346)=1,"Único","Duplicado")</x:f>
        <x:v>Único</x:v>
      </x:c>
      <x:c r="F346" s="45" t="str">
        <x:f>IF('Ubicaciones'!T346=1,"Ubicable",IF('Ubicaciones'!E346&lt;&gt;"Abierta","Fuera por estatus","Coordenadas pendientes"))</x:f>
        <x:v>Ubicable</x:v>
      </x:c>
    </x:row>
    <x:row r="347" ht="23" customHeight="1">
      <x:c r="A347" s="45" t="str">
        <x:f>'Ubicaciones'!C347</x:f>
        <x:v>38652</x:v>
      </x:c>
      <x:c r="B347" s="45" t="str">
        <x:f>'Ubicaciones'!A347</x:f>
        <x:v>Centro Centro</x:v>
      </x:c>
      <x:c r="C347" s="45" t="str">
        <x:f>'Ubicaciones'!B347</x:f>
        <x:v>Maria Anallely Sanchez Garcia</x:v>
      </x:c>
      <x:c r="D347" s="45" t="str">
        <x:f>IF(COUNTIFS('Catalogos'!$A$2:$A$41,B347,'Catalogos'!$B$2:$B$41,C347)&gt;0,"Correcta","Revisar Región DM")</x:f>
        <x:v>Correcta</x:v>
      </x:c>
      <x:c r="E347" s="45" t="str">
        <x:f>IF(COUNTIFS('Ubicaciones'!$C$2:$C$10001,A347)=1,"Único","Duplicado")</x:f>
        <x:v>Único</x:v>
      </x:c>
      <x:c r="F347" s="45" t="str">
        <x:f>IF('Ubicaciones'!T347=1,"Ubicable",IF('Ubicaciones'!E347&lt;&gt;"Abierta","Fuera por estatus","Coordenadas pendientes"))</x:f>
        <x:v>Fuera por estatus</x:v>
      </x:c>
    </x:row>
    <x:row r="348" ht="23" customHeight="1">
      <x:c r="A348" s="45" t="str">
        <x:f>'Ubicaciones'!C348</x:f>
        <x:v>38653</x:v>
      </x:c>
      <x:c r="B348" s="45" t="str">
        <x:f>'Ubicaciones'!A348</x:f>
        <x:v>Centro Centro</x:v>
      </x:c>
      <x:c r="C348" s="45" t="str">
        <x:f>'Ubicaciones'!B348</x:f>
        <x:v>Maria Anallely Sanchez Garcia</x:v>
      </x:c>
      <x:c r="D348" s="45" t="str">
        <x:f>IF(COUNTIFS('Catalogos'!$A$2:$A$41,B348,'Catalogos'!$B$2:$B$41,C348)&gt;0,"Correcta","Revisar Región DM")</x:f>
        <x:v>Correcta</x:v>
      </x:c>
      <x:c r="E348" s="45" t="str">
        <x:f>IF(COUNTIFS('Ubicaciones'!$C$2:$C$10001,A348)=1,"Único","Duplicado")</x:f>
        <x:v>Único</x:v>
      </x:c>
      <x:c r="F348" s="45" t="str">
        <x:f>IF('Ubicaciones'!T348=1,"Ubicable",IF('Ubicaciones'!E348&lt;&gt;"Abierta","Fuera por estatus","Coordenadas pendientes"))</x:f>
        <x:v>Ubicable</x:v>
      </x:c>
    </x:row>
    <x:row r="349" ht="23" customHeight="1">
      <x:c r="A349" s="45" t="str">
        <x:f>'Ubicaciones'!C349</x:f>
        <x:v>38795</x:v>
      </x:c>
      <x:c r="B349" s="45" t="str">
        <x:f>'Ubicaciones'!A349</x:f>
        <x:v>Centro Centro</x:v>
      </x:c>
      <x:c r="C349" s="45" t="str">
        <x:f>'Ubicaciones'!B349</x:f>
        <x:v>Maria Anallely Sanchez Garcia</x:v>
      </x:c>
      <x:c r="D349" s="45" t="str">
        <x:f>IF(COUNTIFS('Catalogos'!$A$2:$A$41,B349,'Catalogos'!$B$2:$B$41,C349)&gt;0,"Correcta","Revisar Región DM")</x:f>
        <x:v>Correcta</x:v>
      </x:c>
      <x:c r="E349" s="45" t="str">
        <x:f>IF(COUNTIFS('Ubicaciones'!$C$2:$C$10001,A349)=1,"Único","Duplicado")</x:f>
        <x:v>Único</x:v>
      </x:c>
      <x:c r="F349" s="45" t="str">
        <x:f>IF('Ubicaciones'!T349=1,"Ubicable",IF('Ubicaciones'!E349&lt;&gt;"Abierta","Fuera por estatus","Coordenadas pendientes"))</x:f>
        <x:v>Ubicable</x:v>
      </x:c>
    </x:row>
    <x:row r="350" ht="23" customHeight="1">
      <x:c r="A350" s="45" t="str">
        <x:f>'Ubicaciones'!C350</x:f>
        <x:v>38796</x:v>
      </x:c>
      <x:c r="B350" s="45" t="str">
        <x:f>'Ubicaciones'!A350</x:f>
        <x:v>Centro Centro</x:v>
      </x:c>
      <x:c r="C350" s="45" t="str">
        <x:f>'Ubicaciones'!B350</x:f>
        <x:v>Maria Anallely Sanchez Garcia</x:v>
      </x:c>
      <x:c r="D350" s="45" t="str">
        <x:f>IF(COUNTIFS('Catalogos'!$A$2:$A$41,B350,'Catalogos'!$B$2:$B$41,C350)&gt;0,"Correcta","Revisar Región DM")</x:f>
        <x:v>Correcta</x:v>
      </x:c>
      <x:c r="E350" s="45" t="str">
        <x:f>IF(COUNTIFS('Ubicaciones'!$C$2:$C$10001,A350)=1,"Único","Duplicado")</x:f>
        <x:v>Único</x:v>
      </x:c>
      <x:c r="F350" s="45" t="str">
        <x:f>IF('Ubicaciones'!T350=1,"Ubicable",IF('Ubicaciones'!E350&lt;&gt;"Abierta","Fuera por estatus","Coordenadas pendientes"))</x:f>
        <x:v>Ubicable</x:v>
      </x:c>
    </x:row>
    <x:row r="351" ht="23" customHeight="1">
      <x:c r="A351" s="45" t="str">
        <x:f>'Ubicaciones'!C351</x:f>
        <x:v>38803</x:v>
      </x:c>
      <x:c r="B351" s="45" t="str">
        <x:f>'Ubicaciones'!A351</x:f>
        <x:v>Centro Centro</x:v>
      </x:c>
      <x:c r="C351" s="45" t="str">
        <x:f>'Ubicaciones'!B351</x:f>
        <x:v>Maria Anallely Sanchez Garcia</x:v>
      </x:c>
      <x:c r="D351" s="45" t="str">
        <x:f>IF(COUNTIFS('Catalogos'!$A$2:$A$41,B351,'Catalogos'!$B$2:$B$41,C351)&gt;0,"Correcta","Revisar Región DM")</x:f>
        <x:v>Correcta</x:v>
      </x:c>
      <x:c r="E351" s="45" t="str">
        <x:f>IF(COUNTIFS('Ubicaciones'!$C$2:$C$10001,A351)=1,"Único","Duplicado")</x:f>
        <x:v>Único</x:v>
      </x:c>
      <x:c r="F351" s="45" t="str">
        <x:f>IF('Ubicaciones'!T351=1,"Ubicable",IF('Ubicaciones'!E351&lt;&gt;"Abierta","Fuera por estatus","Coordenadas pendientes"))</x:f>
        <x:v>Ubicable</x:v>
      </x:c>
    </x:row>
    <x:row r="352" ht="23" customHeight="1">
      <x:c r="A352" s="45" t="str">
        <x:f>'Ubicaciones'!C352</x:f>
        <x:v>38906</x:v>
      </x:c>
      <x:c r="B352" s="45" t="str">
        <x:f>'Ubicaciones'!A352</x:f>
        <x:v>Centro Centro</x:v>
      </x:c>
      <x:c r="C352" s="45" t="str">
        <x:f>'Ubicaciones'!B352</x:f>
        <x:v>Maria Anallely Sanchez Garcia</x:v>
      </x:c>
      <x:c r="D352" s="45" t="str">
        <x:f>IF(COUNTIFS('Catalogos'!$A$2:$A$41,B352,'Catalogos'!$B$2:$B$41,C352)&gt;0,"Correcta","Revisar Región DM")</x:f>
        <x:v>Correcta</x:v>
      </x:c>
      <x:c r="E352" s="45" t="str">
        <x:f>IF(COUNTIFS('Ubicaciones'!$C$2:$C$10001,A352)=1,"Único","Duplicado")</x:f>
        <x:v>Único</x:v>
      </x:c>
      <x:c r="F352" s="45" t="str">
        <x:f>IF('Ubicaciones'!T352=1,"Ubicable",IF('Ubicaciones'!E352&lt;&gt;"Abierta","Fuera por estatus","Coordenadas pendientes"))</x:f>
        <x:v>Ubicable</x:v>
      </x:c>
    </x:row>
    <x:row r="353" ht="23" customHeight="1">
      <x:c r="A353" s="45" t="str">
        <x:f>'Ubicaciones'!C353</x:f>
        <x:v>38943</x:v>
      </x:c>
      <x:c r="B353" s="45" t="str">
        <x:f>'Ubicaciones'!A353</x:f>
        <x:v>Centro Centro</x:v>
      </x:c>
      <x:c r="C353" s="45" t="str">
        <x:f>'Ubicaciones'!B353</x:f>
        <x:v>Maria Anallely Sanchez Garcia</x:v>
      </x:c>
      <x:c r="D353" s="45" t="str">
        <x:f>IF(COUNTIFS('Catalogos'!$A$2:$A$41,B353,'Catalogos'!$B$2:$B$41,C353)&gt;0,"Correcta","Revisar Región DM")</x:f>
        <x:v>Correcta</x:v>
      </x:c>
      <x:c r="E353" s="45" t="str">
        <x:f>IF(COUNTIFS('Ubicaciones'!$C$2:$C$10001,A353)=1,"Único","Duplicado")</x:f>
        <x:v>Único</x:v>
      </x:c>
      <x:c r="F353" s="45" t="str">
        <x:f>IF('Ubicaciones'!T353=1,"Ubicable",IF('Ubicaciones'!E353&lt;&gt;"Abierta","Fuera por estatus","Coordenadas pendientes"))</x:f>
        <x:v>Ubicable</x:v>
      </x:c>
    </x:row>
    <x:row r="354" ht="23" customHeight="1">
      <x:c r="A354" s="45" t="str">
        <x:f>'Ubicaciones'!C354</x:f>
        <x:v>38173</x:v>
      </x:c>
      <x:c r="B354" s="45" t="str">
        <x:f>'Ubicaciones'!A354</x:f>
        <x:v>Centro Centro</x:v>
      </x:c>
      <x:c r="C354" s="45" t="str">
        <x:f>'Ubicaciones'!B354</x:f>
        <x:v>Nora Caracas Saldaña</x:v>
      </x:c>
      <x:c r="D354" s="45" t="str">
        <x:f>IF(COUNTIFS('Catalogos'!$A$2:$A$41,B354,'Catalogos'!$B$2:$B$41,C354)&gt;0,"Correcta","Revisar Región DM")</x:f>
        <x:v>Correcta</x:v>
      </x:c>
      <x:c r="E354" s="45" t="str">
        <x:f>IF(COUNTIFS('Ubicaciones'!$C$2:$C$10001,A354)=1,"Único","Duplicado")</x:f>
        <x:v>Único</x:v>
      </x:c>
      <x:c r="F354" s="45" t="str">
        <x:f>IF('Ubicaciones'!T354=1,"Ubicable",IF('Ubicaciones'!E354&lt;&gt;"Abierta","Fuera por estatus","Coordenadas pendientes"))</x:f>
        <x:v>Ubicable</x:v>
      </x:c>
    </x:row>
    <x:row r="355" ht="23" customHeight="1">
      <x:c r="A355" s="45" t="str">
        <x:f>'Ubicaciones'!C355</x:f>
        <x:v>38312</x:v>
      </x:c>
      <x:c r="B355" s="45" t="str">
        <x:f>'Ubicaciones'!A355</x:f>
        <x:v>Centro Centro</x:v>
      </x:c>
      <x:c r="C355" s="45" t="str">
        <x:f>'Ubicaciones'!B355</x:f>
        <x:v>Nora Caracas Saldaña</x:v>
      </x:c>
      <x:c r="D355" s="45" t="str">
        <x:f>IF(COUNTIFS('Catalogos'!$A$2:$A$41,B355,'Catalogos'!$B$2:$B$41,C355)&gt;0,"Correcta","Revisar Región DM")</x:f>
        <x:v>Correcta</x:v>
      </x:c>
      <x:c r="E355" s="45" t="str">
        <x:f>IF(COUNTIFS('Ubicaciones'!$C$2:$C$10001,A355)=1,"Único","Duplicado")</x:f>
        <x:v>Único</x:v>
      </x:c>
      <x:c r="F355" s="45" t="str">
        <x:f>IF('Ubicaciones'!T355=1,"Ubicable",IF('Ubicaciones'!E355&lt;&gt;"Abierta","Fuera por estatus","Coordenadas pendientes"))</x:f>
        <x:v>Ubicable</x:v>
      </x:c>
    </x:row>
    <x:row r="356" ht="23" customHeight="1">
      <x:c r="A356" s="45" t="str">
        <x:f>'Ubicaciones'!C356</x:f>
        <x:v>38432</x:v>
      </x:c>
      <x:c r="B356" s="45" t="str">
        <x:f>'Ubicaciones'!A356</x:f>
        <x:v>Centro Centro</x:v>
      </x:c>
      <x:c r="C356" s="45" t="str">
        <x:f>'Ubicaciones'!B356</x:f>
        <x:v>Nora Caracas Saldaña</x:v>
      </x:c>
      <x:c r="D356" s="45" t="str">
        <x:f>IF(COUNTIFS('Catalogos'!$A$2:$A$41,B356,'Catalogos'!$B$2:$B$41,C356)&gt;0,"Correcta","Revisar Región DM")</x:f>
        <x:v>Correcta</x:v>
      </x:c>
      <x:c r="E356" s="45" t="str">
        <x:f>IF(COUNTIFS('Ubicaciones'!$C$2:$C$10001,A356)=1,"Único","Duplicado")</x:f>
        <x:v>Único</x:v>
      </x:c>
      <x:c r="F356" s="45" t="str">
        <x:f>IF('Ubicaciones'!T356=1,"Ubicable",IF('Ubicaciones'!E356&lt;&gt;"Abierta","Fuera por estatus","Coordenadas pendientes"))</x:f>
        <x:v>Ubicable</x:v>
      </x:c>
    </x:row>
    <x:row r="357" ht="23" customHeight="1">
      <x:c r="A357" s="45" t="str">
        <x:f>'Ubicaciones'!C357</x:f>
        <x:v>38440</x:v>
      </x:c>
      <x:c r="B357" s="45" t="str">
        <x:f>'Ubicaciones'!A357</x:f>
        <x:v>Centro Centro</x:v>
      </x:c>
      <x:c r="C357" s="45" t="str">
        <x:f>'Ubicaciones'!B357</x:f>
        <x:v>Nora Caracas Saldaña</x:v>
      </x:c>
      <x:c r="D357" s="45" t="str">
        <x:f>IF(COUNTIFS('Catalogos'!$A$2:$A$41,B357,'Catalogos'!$B$2:$B$41,C357)&gt;0,"Correcta","Revisar Región DM")</x:f>
        <x:v>Correcta</x:v>
      </x:c>
      <x:c r="E357" s="45" t="str">
        <x:f>IF(COUNTIFS('Ubicaciones'!$C$2:$C$10001,A357)=1,"Único","Duplicado")</x:f>
        <x:v>Único</x:v>
      </x:c>
      <x:c r="F357" s="45" t="str">
        <x:f>IF('Ubicaciones'!T357=1,"Ubicable",IF('Ubicaciones'!E357&lt;&gt;"Abierta","Fuera por estatus","Coordenadas pendientes"))</x:f>
        <x:v>Ubicable</x:v>
      </x:c>
    </x:row>
    <x:row r="358" ht="23" customHeight="1">
      <x:c r="A358" s="45" t="str">
        <x:f>'Ubicaciones'!C358</x:f>
        <x:v>38483</x:v>
      </x:c>
      <x:c r="B358" s="45" t="str">
        <x:f>'Ubicaciones'!A358</x:f>
        <x:v>Centro Centro</x:v>
      </x:c>
      <x:c r="C358" s="45" t="str">
        <x:f>'Ubicaciones'!B358</x:f>
        <x:v>Nora Caracas Saldaña</x:v>
      </x:c>
      <x:c r="D358" s="45" t="str">
        <x:f>IF(COUNTIFS('Catalogos'!$A$2:$A$41,B358,'Catalogos'!$B$2:$B$41,C358)&gt;0,"Correcta","Revisar Región DM")</x:f>
        <x:v>Correcta</x:v>
      </x:c>
      <x:c r="E358" s="45" t="str">
        <x:f>IF(COUNTIFS('Ubicaciones'!$C$2:$C$10001,A358)=1,"Único","Duplicado")</x:f>
        <x:v>Único</x:v>
      </x:c>
      <x:c r="F358" s="45" t="str">
        <x:f>IF('Ubicaciones'!T358=1,"Ubicable",IF('Ubicaciones'!E358&lt;&gt;"Abierta","Fuera por estatus","Coordenadas pendientes"))</x:f>
        <x:v>Ubicable</x:v>
      </x:c>
    </x:row>
    <x:row r="359" ht="23" customHeight="1">
      <x:c r="A359" s="45" t="str">
        <x:f>'Ubicaciones'!C359</x:f>
        <x:v>38554</x:v>
      </x:c>
      <x:c r="B359" s="45" t="str">
        <x:f>'Ubicaciones'!A359</x:f>
        <x:v>Centro Centro</x:v>
      </x:c>
      <x:c r="C359" s="45" t="str">
        <x:f>'Ubicaciones'!B359</x:f>
        <x:v>Nora Caracas Saldaña</x:v>
      </x:c>
      <x:c r="D359" s="45" t="str">
        <x:f>IF(COUNTIFS('Catalogos'!$A$2:$A$41,B359,'Catalogos'!$B$2:$B$41,C359)&gt;0,"Correcta","Revisar Región DM")</x:f>
        <x:v>Correcta</x:v>
      </x:c>
      <x:c r="E359" s="45" t="str">
        <x:f>IF(COUNTIFS('Ubicaciones'!$C$2:$C$10001,A359)=1,"Único","Duplicado")</x:f>
        <x:v>Único</x:v>
      </x:c>
      <x:c r="F359" s="45" t="str">
        <x:f>IF('Ubicaciones'!T359=1,"Ubicable",IF('Ubicaciones'!E359&lt;&gt;"Abierta","Fuera por estatus","Coordenadas pendientes"))</x:f>
        <x:v>Ubicable</x:v>
      </x:c>
    </x:row>
    <x:row r="360" ht="23" customHeight="1">
      <x:c r="A360" s="45" t="str">
        <x:f>'Ubicaciones'!C360</x:f>
        <x:v>38556</x:v>
      </x:c>
      <x:c r="B360" s="45" t="str">
        <x:f>'Ubicaciones'!A360</x:f>
        <x:v>Centro Centro</x:v>
      </x:c>
      <x:c r="C360" s="45" t="str">
        <x:f>'Ubicaciones'!B360</x:f>
        <x:v>Nora Caracas Saldaña</x:v>
      </x:c>
      <x:c r="D360" s="45" t="str">
        <x:f>IF(COUNTIFS('Catalogos'!$A$2:$A$41,B360,'Catalogos'!$B$2:$B$41,C360)&gt;0,"Correcta","Revisar Región DM")</x:f>
        <x:v>Correcta</x:v>
      </x:c>
      <x:c r="E360" s="45" t="str">
        <x:f>IF(COUNTIFS('Ubicaciones'!$C$2:$C$10001,A360)=1,"Único","Duplicado")</x:f>
        <x:v>Único</x:v>
      </x:c>
      <x:c r="F360" s="45" t="str">
        <x:f>IF('Ubicaciones'!T360=1,"Ubicable",IF('Ubicaciones'!E360&lt;&gt;"Abierta","Fuera por estatus","Coordenadas pendientes"))</x:f>
        <x:v>Ubicable</x:v>
      </x:c>
    </x:row>
    <x:row r="361" ht="23" customHeight="1">
      <x:c r="A361" s="45" t="str">
        <x:f>'Ubicaciones'!C361</x:f>
        <x:v>38558</x:v>
      </x:c>
      <x:c r="B361" s="45" t="str">
        <x:f>'Ubicaciones'!A361</x:f>
        <x:v>Centro Centro</x:v>
      </x:c>
      <x:c r="C361" s="45" t="str">
        <x:f>'Ubicaciones'!B361</x:f>
        <x:v>Nora Caracas Saldaña</x:v>
      </x:c>
      <x:c r="D361" s="45" t="str">
        <x:f>IF(COUNTIFS('Catalogos'!$A$2:$A$41,B361,'Catalogos'!$B$2:$B$41,C361)&gt;0,"Correcta","Revisar Región DM")</x:f>
        <x:v>Correcta</x:v>
      </x:c>
      <x:c r="E361" s="45" t="str">
        <x:f>IF(COUNTIFS('Ubicaciones'!$C$2:$C$10001,A361)=1,"Único","Duplicado")</x:f>
        <x:v>Único</x:v>
      </x:c>
      <x:c r="F361" s="45" t="str">
        <x:f>IF('Ubicaciones'!T361=1,"Ubicable",IF('Ubicaciones'!E361&lt;&gt;"Abierta","Fuera por estatus","Coordenadas pendientes"))</x:f>
        <x:v>Ubicable</x:v>
      </x:c>
    </x:row>
    <x:row r="362" ht="23" customHeight="1">
      <x:c r="A362" s="45" t="str">
        <x:f>'Ubicaciones'!C362</x:f>
        <x:v>38602</x:v>
      </x:c>
      <x:c r="B362" s="45" t="str">
        <x:f>'Ubicaciones'!A362</x:f>
        <x:v>Centro Centro</x:v>
      </x:c>
      <x:c r="C362" s="45" t="str">
        <x:f>'Ubicaciones'!B362</x:f>
        <x:v>Nora Caracas Saldaña</x:v>
      </x:c>
      <x:c r="D362" s="45" t="str">
        <x:f>IF(COUNTIFS('Catalogos'!$A$2:$A$41,B362,'Catalogos'!$B$2:$B$41,C362)&gt;0,"Correcta","Revisar Región DM")</x:f>
        <x:v>Correcta</x:v>
      </x:c>
      <x:c r="E362" s="45" t="str">
        <x:f>IF(COUNTIFS('Ubicaciones'!$C$2:$C$10001,A362)=1,"Único","Duplicado")</x:f>
        <x:v>Único</x:v>
      </x:c>
      <x:c r="F362" s="45" t="str">
        <x:f>IF('Ubicaciones'!T362=1,"Ubicable",IF('Ubicaciones'!E362&lt;&gt;"Abierta","Fuera por estatus","Coordenadas pendientes"))</x:f>
        <x:v>Ubicable</x:v>
      </x:c>
    </x:row>
    <x:row r="363" ht="23" customHeight="1">
      <x:c r="A363" s="45" t="str">
        <x:f>'Ubicaciones'!C363</x:f>
        <x:v>38658</x:v>
      </x:c>
      <x:c r="B363" s="45" t="str">
        <x:f>'Ubicaciones'!A363</x:f>
        <x:v>Centro Centro</x:v>
      </x:c>
      <x:c r="C363" s="45" t="str">
        <x:f>'Ubicaciones'!B363</x:f>
        <x:v>Nora Caracas Saldaña</x:v>
      </x:c>
      <x:c r="D363" s="45" t="str">
        <x:f>IF(COUNTIFS('Catalogos'!$A$2:$A$41,B363,'Catalogos'!$B$2:$B$41,C363)&gt;0,"Correcta","Revisar Región DM")</x:f>
        <x:v>Correcta</x:v>
      </x:c>
      <x:c r="E363" s="45" t="str">
        <x:f>IF(COUNTIFS('Ubicaciones'!$C$2:$C$10001,A363)=1,"Único","Duplicado")</x:f>
        <x:v>Único</x:v>
      </x:c>
      <x:c r="F363" s="45" t="str">
        <x:f>IF('Ubicaciones'!T363=1,"Ubicable",IF('Ubicaciones'!E363&lt;&gt;"Abierta","Fuera por estatus","Coordenadas pendientes"))</x:f>
        <x:v>Ubicable</x:v>
      </x:c>
    </x:row>
    <x:row r="364" ht="23" customHeight="1">
      <x:c r="A364" s="45" t="str">
        <x:f>'Ubicaciones'!C364</x:f>
        <x:v>38752</x:v>
      </x:c>
      <x:c r="B364" s="45" t="str">
        <x:f>'Ubicaciones'!A364</x:f>
        <x:v>Centro Centro</x:v>
      </x:c>
      <x:c r="C364" s="45" t="str">
        <x:f>'Ubicaciones'!B364</x:f>
        <x:v>Nora Caracas Saldaña</x:v>
      </x:c>
      <x:c r="D364" s="45" t="str">
        <x:f>IF(COUNTIFS('Catalogos'!$A$2:$A$41,B364,'Catalogos'!$B$2:$B$41,C364)&gt;0,"Correcta","Revisar Región DM")</x:f>
        <x:v>Correcta</x:v>
      </x:c>
      <x:c r="E364" s="45" t="str">
        <x:f>IF(COUNTIFS('Ubicaciones'!$C$2:$C$10001,A364)=1,"Único","Duplicado")</x:f>
        <x:v>Único</x:v>
      </x:c>
      <x:c r="F364" s="45" t="str">
        <x:f>IF('Ubicaciones'!T364=1,"Ubicable",IF('Ubicaciones'!E364&lt;&gt;"Abierta","Fuera por estatus","Coordenadas pendientes"))</x:f>
        <x:v>Ubicable</x:v>
      </x:c>
    </x:row>
    <x:row r="365" ht="23" customHeight="1">
      <x:c r="A365" s="45" t="str">
        <x:f>'Ubicaciones'!C365</x:f>
        <x:v>38850</x:v>
      </x:c>
      <x:c r="B365" s="45" t="str">
        <x:f>'Ubicaciones'!A365</x:f>
        <x:v>Centro Centro</x:v>
      </x:c>
      <x:c r="C365" s="45" t="str">
        <x:f>'Ubicaciones'!B365</x:f>
        <x:v>Nora Caracas Saldaña</x:v>
      </x:c>
      <x:c r="D365" s="45" t="str">
        <x:f>IF(COUNTIFS('Catalogos'!$A$2:$A$41,B365,'Catalogos'!$B$2:$B$41,C365)&gt;0,"Correcta","Revisar Región DM")</x:f>
        <x:v>Correcta</x:v>
      </x:c>
      <x:c r="E365" s="45" t="str">
        <x:f>IF(COUNTIFS('Ubicaciones'!$C$2:$C$10001,A365)=1,"Único","Duplicado")</x:f>
        <x:v>Único</x:v>
      </x:c>
      <x:c r="F365" s="45" t="str">
        <x:f>IF('Ubicaciones'!T365=1,"Ubicable",IF('Ubicaciones'!E365&lt;&gt;"Abierta","Fuera por estatus","Coordenadas pendientes"))</x:f>
        <x:v>Ubicable</x:v>
      </x:c>
    </x:row>
    <x:row r="366" ht="23" customHeight="1">
      <x:c r="A366" s="45" t="str">
        <x:f>'Ubicaciones'!C366</x:f>
        <x:v>38156</x:v>
      </x:c>
      <x:c r="B366" s="45" t="str">
        <x:f>'Ubicaciones'!A366</x:f>
        <x:v>Centro Centro</x:v>
      </x:c>
      <x:c r="C366" s="45" t="str">
        <x:f>'Ubicaciones'!B366</x:f>
        <x:v>Sin asignación</x:v>
      </x:c>
      <x:c r="D366" s="45" t="str">
        <x:f>IF(COUNTIFS('Catalogos'!$A$2:$A$41,B366,'Catalogos'!$B$2:$B$41,C366)&gt;0,"Correcta","Revisar Región DM")</x:f>
        <x:v>Correcta</x:v>
      </x:c>
      <x:c r="E366" s="45" t="str">
        <x:f>IF(COUNTIFS('Ubicaciones'!$C$2:$C$10001,A366)=1,"Único","Duplicado")</x:f>
        <x:v>Único</x:v>
      </x:c>
      <x:c r="F366" s="45" t="str">
        <x:f>IF('Ubicaciones'!T366=1,"Ubicable",IF('Ubicaciones'!E366&lt;&gt;"Abierta","Fuera por estatus","Coordenadas pendientes"))</x:f>
        <x:v>Fuera por estatus</x:v>
      </x:c>
    </x:row>
    <x:row r="367" ht="23" customHeight="1">
      <x:c r="A367" s="45" t="str">
        <x:f>'Ubicaciones'!C367</x:f>
        <x:v>38202</x:v>
      </x:c>
      <x:c r="B367" s="45" t="str">
        <x:f>'Ubicaciones'!A367</x:f>
        <x:v>Centro Centro</x:v>
      </x:c>
      <x:c r="C367" s="45" t="str">
        <x:f>'Ubicaciones'!B367</x:f>
        <x:v>Sin asignación</x:v>
      </x:c>
      <x:c r="D367" s="45" t="str">
        <x:f>IF(COUNTIFS('Catalogos'!$A$2:$A$41,B367,'Catalogos'!$B$2:$B$41,C367)&gt;0,"Correcta","Revisar Región DM")</x:f>
        <x:v>Correcta</x:v>
      </x:c>
      <x:c r="E367" s="45" t="str">
        <x:f>IF(COUNTIFS('Ubicaciones'!$C$2:$C$10001,A367)=1,"Único","Duplicado")</x:f>
        <x:v>Único</x:v>
      </x:c>
      <x:c r="F367" s="45" t="str">
        <x:f>IF('Ubicaciones'!T367=1,"Ubicable",IF('Ubicaciones'!E367&lt;&gt;"Abierta","Fuera por estatus","Coordenadas pendientes"))</x:f>
        <x:v>Fuera por estatus</x:v>
      </x:c>
    </x:row>
    <x:row r="368" ht="23" customHeight="1">
      <x:c r="A368" s="45" t="str">
        <x:f>'Ubicaciones'!C368</x:f>
        <x:v>38421</x:v>
      </x:c>
      <x:c r="B368" s="45" t="str">
        <x:f>'Ubicaciones'!A368</x:f>
        <x:v>Centro Centro</x:v>
      </x:c>
      <x:c r="C368" s="45" t="str">
        <x:f>'Ubicaciones'!B368</x:f>
        <x:v>Sin asignación</x:v>
      </x:c>
      <x:c r="D368" s="45" t="str">
        <x:f>IF(COUNTIFS('Catalogos'!$A$2:$A$41,B368,'Catalogos'!$B$2:$B$41,C368)&gt;0,"Correcta","Revisar Región DM")</x:f>
        <x:v>Correcta</x:v>
      </x:c>
      <x:c r="E368" s="45" t="str">
        <x:f>IF(COUNTIFS('Ubicaciones'!$C$2:$C$10001,A368)=1,"Único","Duplicado")</x:f>
        <x:v>Único</x:v>
      </x:c>
      <x:c r="F368" s="45" t="str">
        <x:f>IF('Ubicaciones'!T368=1,"Ubicable",IF('Ubicaciones'!E368&lt;&gt;"Abierta","Fuera por estatus","Coordenadas pendientes"))</x:f>
        <x:v>Fuera por estatus</x:v>
      </x:c>
    </x:row>
    <x:row r="369" ht="23" customHeight="1">
      <x:c r="A369" s="45" t="str">
        <x:f>'Ubicaciones'!C369</x:f>
        <x:v>38495</x:v>
      </x:c>
      <x:c r="B369" s="45" t="str">
        <x:f>'Ubicaciones'!A369</x:f>
        <x:v>Centro Centro</x:v>
      </x:c>
      <x:c r="C369" s="45" t="str">
        <x:f>'Ubicaciones'!B369</x:f>
        <x:v>Sin asignación</x:v>
      </x:c>
      <x:c r="D369" s="45" t="str">
        <x:f>IF(COUNTIFS('Catalogos'!$A$2:$A$41,B369,'Catalogos'!$B$2:$B$41,C369)&gt;0,"Correcta","Revisar Región DM")</x:f>
        <x:v>Correcta</x:v>
      </x:c>
      <x:c r="E369" s="45" t="str">
        <x:f>IF(COUNTIFS('Ubicaciones'!$C$2:$C$10001,A369)=1,"Único","Duplicado")</x:f>
        <x:v>Único</x:v>
      </x:c>
      <x:c r="F369" s="45" t="str">
        <x:f>IF('Ubicaciones'!T369=1,"Ubicable",IF('Ubicaciones'!E369&lt;&gt;"Abierta","Fuera por estatus","Coordenadas pendientes"))</x:f>
        <x:v>Fuera por estatus</x:v>
      </x:c>
    </x:row>
    <x:row r="370" ht="23" customHeight="1">
      <x:c r="A370" s="45" t="str">
        <x:f>'Ubicaciones'!C370</x:f>
        <x:v>38632</x:v>
      </x:c>
      <x:c r="B370" s="45" t="str">
        <x:f>'Ubicaciones'!A370</x:f>
        <x:v>Centro Centro</x:v>
      </x:c>
      <x:c r="C370" s="45" t="str">
        <x:f>'Ubicaciones'!B370</x:f>
        <x:v>Sin asignación</x:v>
      </x:c>
      <x:c r="D370" s="45" t="str">
        <x:f>IF(COUNTIFS('Catalogos'!$A$2:$A$41,B370,'Catalogos'!$B$2:$B$41,C370)&gt;0,"Correcta","Revisar Región DM")</x:f>
        <x:v>Correcta</x:v>
      </x:c>
      <x:c r="E370" s="45" t="str">
        <x:f>IF(COUNTIFS('Ubicaciones'!$C$2:$C$10001,A370)=1,"Único","Duplicado")</x:f>
        <x:v>Único</x:v>
      </x:c>
      <x:c r="F370" s="45" t="str">
        <x:f>IF('Ubicaciones'!T370=1,"Ubicable",IF('Ubicaciones'!E370&lt;&gt;"Abierta","Fuera por estatus","Coordenadas pendientes"))</x:f>
        <x:v>Fuera por estatus</x:v>
      </x:c>
    </x:row>
    <x:row r="371" ht="23" customHeight="1">
      <x:c r="A371" s="45" t="str">
        <x:f>'Ubicaciones'!C371</x:f>
        <x:v>38915</x:v>
      </x:c>
      <x:c r="B371" s="45" t="str">
        <x:f>'Ubicaciones'!A371</x:f>
        <x:v>Centro Centro</x:v>
      </x:c>
      <x:c r="C371" s="45" t="str">
        <x:f>'Ubicaciones'!B371</x:f>
        <x:v>Sin asignación</x:v>
      </x:c>
      <x:c r="D371" s="45" t="str">
        <x:f>IF(COUNTIFS('Catalogos'!$A$2:$A$41,B371,'Catalogos'!$B$2:$B$41,C371)&gt;0,"Correcta","Revisar Región DM")</x:f>
        <x:v>Correcta</x:v>
      </x:c>
      <x:c r="E371" s="45" t="str">
        <x:f>IF(COUNTIFS('Ubicaciones'!$C$2:$C$10001,A371)=1,"Único","Duplicado")</x:f>
        <x:v>Único</x:v>
      </x:c>
      <x:c r="F371" s="45" t="str">
        <x:f>IF('Ubicaciones'!T371=1,"Ubicable",IF('Ubicaciones'!E371&lt;&gt;"Abierta","Fuera por estatus","Coordenadas pendientes"))</x:f>
        <x:v>Fuera por estatus</x:v>
      </x:c>
    </x:row>
    <x:row r="372" ht="23" customHeight="1">
      <x:c r="A372" s="45" t="str">
        <x:f>'Ubicaciones'!C372</x:f>
        <x:v>38123</x:v>
      </x:c>
      <x:c r="B372" s="45" t="str">
        <x:f>'Ubicaciones'!A372</x:f>
        <x:v>Centro Centro</x:v>
      </x:c>
      <x:c r="C372" s="45" t="str">
        <x:f>'Ubicaciones'!B372</x:f>
        <x:v>Vacante</x:v>
      </x:c>
      <x:c r="D372" s="45" t="str">
        <x:f>IF(COUNTIFS('Catalogos'!$A$2:$A$41,B372,'Catalogos'!$B$2:$B$41,C372)&gt;0,"Correcta","Revisar Región DM")</x:f>
        <x:v>Correcta</x:v>
      </x:c>
      <x:c r="E372" s="45" t="str">
        <x:f>IF(COUNTIFS('Ubicaciones'!$C$2:$C$10001,A372)=1,"Único","Duplicado")</x:f>
        <x:v>Único</x:v>
      </x:c>
      <x:c r="F372" s="45" t="str">
        <x:f>IF('Ubicaciones'!T372=1,"Ubicable",IF('Ubicaciones'!E372&lt;&gt;"Abierta","Fuera por estatus","Coordenadas pendientes"))</x:f>
        <x:v>Ubicable</x:v>
      </x:c>
    </x:row>
    <x:row r="373" ht="23" customHeight="1">
      <x:c r="A373" s="45" t="str">
        <x:f>'Ubicaciones'!C373</x:f>
        <x:v>38155</x:v>
      </x:c>
      <x:c r="B373" s="45" t="str">
        <x:f>'Ubicaciones'!A373</x:f>
        <x:v>Centro Centro</x:v>
      </x:c>
      <x:c r="C373" s="45" t="str">
        <x:f>'Ubicaciones'!B373</x:f>
        <x:v>Vacante</x:v>
      </x:c>
      <x:c r="D373" s="45" t="str">
        <x:f>IF(COUNTIFS('Catalogos'!$A$2:$A$41,B373,'Catalogos'!$B$2:$B$41,C373)&gt;0,"Correcta","Revisar Región DM")</x:f>
        <x:v>Correcta</x:v>
      </x:c>
      <x:c r="E373" s="45" t="str">
        <x:f>IF(COUNTIFS('Ubicaciones'!$C$2:$C$10001,A373)=1,"Único","Duplicado")</x:f>
        <x:v>Único</x:v>
      </x:c>
      <x:c r="F373" s="45" t="str">
        <x:f>IF('Ubicaciones'!T373=1,"Ubicable",IF('Ubicaciones'!E373&lt;&gt;"Abierta","Fuera por estatus","Coordenadas pendientes"))</x:f>
        <x:v>Ubicable</x:v>
      </x:c>
    </x:row>
    <x:row r="374" ht="23" customHeight="1">
      <x:c r="A374" s="45" t="str">
        <x:f>'Ubicaciones'!C374</x:f>
        <x:v>38203</x:v>
      </x:c>
      <x:c r="B374" s="45" t="str">
        <x:f>'Ubicaciones'!A374</x:f>
        <x:v>Centro Centro</x:v>
      </x:c>
      <x:c r="C374" s="45" t="str">
        <x:f>'Ubicaciones'!B374</x:f>
        <x:v>Vacante</x:v>
      </x:c>
      <x:c r="D374" s="45" t="str">
        <x:f>IF(COUNTIFS('Catalogos'!$A$2:$A$41,B374,'Catalogos'!$B$2:$B$41,C374)&gt;0,"Correcta","Revisar Región DM")</x:f>
        <x:v>Correcta</x:v>
      </x:c>
      <x:c r="E374" s="45" t="str">
        <x:f>IF(COUNTIFS('Ubicaciones'!$C$2:$C$10001,A374)=1,"Único","Duplicado")</x:f>
        <x:v>Único</x:v>
      </x:c>
      <x:c r="F374" s="45" t="str">
        <x:f>IF('Ubicaciones'!T374=1,"Ubicable",IF('Ubicaciones'!E374&lt;&gt;"Abierta","Fuera por estatus","Coordenadas pendientes"))</x:f>
        <x:v>Ubicable</x:v>
      </x:c>
    </x:row>
    <x:row r="375" ht="23" customHeight="1">
      <x:c r="A375" s="45" t="str">
        <x:f>'Ubicaciones'!C375</x:f>
        <x:v>38234</x:v>
      </x:c>
      <x:c r="B375" s="45" t="str">
        <x:f>'Ubicaciones'!A375</x:f>
        <x:v>Centro Centro</x:v>
      </x:c>
      <x:c r="C375" s="45" t="str">
        <x:f>'Ubicaciones'!B375</x:f>
        <x:v>Vacante</x:v>
      </x:c>
      <x:c r="D375" s="45" t="str">
        <x:f>IF(COUNTIFS('Catalogos'!$A$2:$A$41,B375,'Catalogos'!$B$2:$B$41,C375)&gt;0,"Correcta","Revisar Región DM")</x:f>
        <x:v>Correcta</x:v>
      </x:c>
      <x:c r="E375" s="45" t="str">
        <x:f>IF(COUNTIFS('Ubicaciones'!$C$2:$C$10001,A375)=1,"Único","Duplicado")</x:f>
        <x:v>Único</x:v>
      </x:c>
      <x:c r="F375" s="45" t="str">
        <x:f>IF('Ubicaciones'!T375=1,"Ubicable",IF('Ubicaciones'!E375&lt;&gt;"Abierta","Fuera por estatus","Coordenadas pendientes"))</x:f>
        <x:v>Ubicable</x:v>
      </x:c>
    </x:row>
    <x:row r="376" ht="23" customHeight="1">
      <x:c r="A376" s="45" t="str">
        <x:f>'Ubicaciones'!C376</x:f>
        <x:v>38376</x:v>
      </x:c>
      <x:c r="B376" s="45" t="str">
        <x:f>'Ubicaciones'!A376</x:f>
        <x:v>Centro Centro</x:v>
      </x:c>
      <x:c r="C376" s="45" t="str">
        <x:f>'Ubicaciones'!B376</x:f>
        <x:v>Vacante</x:v>
      </x:c>
      <x:c r="D376" s="45" t="str">
        <x:f>IF(COUNTIFS('Catalogos'!$A$2:$A$41,B376,'Catalogos'!$B$2:$B$41,C376)&gt;0,"Correcta","Revisar Región DM")</x:f>
        <x:v>Correcta</x:v>
      </x:c>
      <x:c r="E376" s="45" t="str">
        <x:f>IF(COUNTIFS('Ubicaciones'!$C$2:$C$10001,A376)=1,"Único","Duplicado")</x:f>
        <x:v>Único</x:v>
      </x:c>
      <x:c r="F376" s="45" t="str">
        <x:f>IF('Ubicaciones'!T376=1,"Ubicable",IF('Ubicaciones'!E376&lt;&gt;"Abierta","Fuera por estatus","Coordenadas pendientes"))</x:f>
        <x:v>Ubicable</x:v>
      </x:c>
    </x:row>
    <x:row r="377" ht="23" customHeight="1">
      <x:c r="A377" s="45" t="str">
        <x:f>'Ubicaciones'!C377</x:f>
        <x:v>38463</x:v>
      </x:c>
      <x:c r="B377" s="45" t="str">
        <x:f>'Ubicaciones'!A377</x:f>
        <x:v>Centro Centro</x:v>
      </x:c>
      <x:c r="C377" s="45" t="str">
        <x:f>'Ubicaciones'!B377</x:f>
        <x:v>Vacante</x:v>
      </x:c>
      <x:c r="D377" s="45" t="str">
        <x:f>IF(COUNTIFS('Catalogos'!$A$2:$A$41,B377,'Catalogos'!$B$2:$B$41,C377)&gt;0,"Correcta","Revisar Región DM")</x:f>
        <x:v>Correcta</x:v>
      </x:c>
      <x:c r="E377" s="45" t="str">
        <x:f>IF(COUNTIFS('Ubicaciones'!$C$2:$C$10001,A377)=1,"Único","Duplicado")</x:f>
        <x:v>Único</x:v>
      </x:c>
      <x:c r="F377" s="45" t="str">
        <x:f>IF('Ubicaciones'!T377=1,"Ubicable",IF('Ubicaciones'!E377&lt;&gt;"Abierta","Fuera por estatus","Coordenadas pendientes"))</x:f>
        <x:v>Ubicable</x:v>
      </x:c>
    </x:row>
    <x:row r="378" ht="23" customHeight="1">
      <x:c r="A378" s="45" t="str">
        <x:f>'Ubicaciones'!C378</x:f>
        <x:v>38465</x:v>
      </x:c>
      <x:c r="B378" s="45" t="str">
        <x:f>'Ubicaciones'!A378</x:f>
        <x:v>Centro Centro</x:v>
      </x:c>
      <x:c r="C378" s="45" t="str">
        <x:f>'Ubicaciones'!B378</x:f>
        <x:v>Vacante</x:v>
      </x:c>
      <x:c r="D378" s="45" t="str">
        <x:f>IF(COUNTIFS('Catalogos'!$A$2:$A$41,B378,'Catalogos'!$B$2:$B$41,C378)&gt;0,"Correcta","Revisar Región DM")</x:f>
        <x:v>Correcta</x:v>
      </x:c>
      <x:c r="E378" s="45" t="str">
        <x:f>IF(COUNTIFS('Ubicaciones'!$C$2:$C$10001,A378)=1,"Único","Duplicado")</x:f>
        <x:v>Único</x:v>
      </x:c>
      <x:c r="F378" s="45" t="str">
        <x:f>IF('Ubicaciones'!T378=1,"Ubicable",IF('Ubicaciones'!E378&lt;&gt;"Abierta","Fuera por estatus","Coordenadas pendientes"))</x:f>
        <x:v>Ubicable</x:v>
      </x:c>
    </x:row>
    <x:row r="379" ht="23" customHeight="1">
      <x:c r="A379" s="45" t="str">
        <x:f>'Ubicaciones'!C379</x:f>
        <x:v>38487</x:v>
      </x:c>
      <x:c r="B379" s="45" t="str">
        <x:f>'Ubicaciones'!A379</x:f>
        <x:v>Centro Centro</x:v>
      </x:c>
      <x:c r="C379" s="45" t="str">
        <x:f>'Ubicaciones'!B379</x:f>
        <x:v>Vacante</x:v>
      </x:c>
      <x:c r="D379" s="45" t="str">
        <x:f>IF(COUNTIFS('Catalogos'!$A$2:$A$41,B379,'Catalogos'!$B$2:$B$41,C379)&gt;0,"Correcta","Revisar Región DM")</x:f>
        <x:v>Correcta</x:v>
      </x:c>
      <x:c r="E379" s="45" t="str">
        <x:f>IF(COUNTIFS('Ubicaciones'!$C$2:$C$10001,A379)=1,"Único","Duplicado")</x:f>
        <x:v>Único</x:v>
      </x:c>
      <x:c r="F379" s="45" t="str">
        <x:f>IF('Ubicaciones'!T379=1,"Ubicable",IF('Ubicaciones'!E379&lt;&gt;"Abierta","Fuera por estatus","Coordenadas pendientes"))</x:f>
        <x:v>Ubicable</x:v>
      </x:c>
    </x:row>
    <x:row r="380" ht="23" customHeight="1">
      <x:c r="A380" s="45" t="str">
        <x:f>'Ubicaciones'!C380</x:f>
        <x:v>38497</x:v>
      </x:c>
      <x:c r="B380" s="45" t="str">
        <x:f>'Ubicaciones'!A380</x:f>
        <x:v>Centro Centro</x:v>
      </x:c>
      <x:c r="C380" s="45" t="str">
        <x:f>'Ubicaciones'!B380</x:f>
        <x:v>Vacante</x:v>
      </x:c>
      <x:c r="D380" s="45" t="str">
        <x:f>IF(COUNTIFS('Catalogos'!$A$2:$A$41,B380,'Catalogos'!$B$2:$B$41,C380)&gt;0,"Correcta","Revisar Región DM")</x:f>
        <x:v>Correcta</x:v>
      </x:c>
      <x:c r="E380" s="45" t="str">
        <x:f>IF(COUNTIFS('Ubicaciones'!$C$2:$C$10001,A380)=1,"Único","Duplicado")</x:f>
        <x:v>Único</x:v>
      </x:c>
      <x:c r="F380" s="45" t="str">
        <x:f>IF('Ubicaciones'!T380=1,"Ubicable",IF('Ubicaciones'!E380&lt;&gt;"Abierta","Fuera por estatus","Coordenadas pendientes"))</x:f>
        <x:v>Ubicable</x:v>
      </x:c>
    </x:row>
    <x:row r="381" ht="23" customHeight="1">
      <x:c r="A381" s="45" t="str">
        <x:f>'Ubicaciones'!C381</x:f>
        <x:v>38762</x:v>
      </x:c>
      <x:c r="B381" s="45" t="str">
        <x:f>'Ubicaciones'!A381</x:f>
        <x:v>Centro Centro</x:v>
      </x:c>
      <x:c r="C381" s="45" t="str">
        <x:f>'Ubicaciones'!B381</x:f>
        <x:v>Vacante</x:v>
      </x:c>
      <x:c r="D381" s="45" t="str">
        <x:f>IF(COUNTIFS('Catalogos'!$A$2:$A$41,B381,'Catalogos'!$B$2:$B$41,C381)&gt;0,"Correcta","Revisar Región DM")</x:f>
        <x:v>Correcta</x:v>
      </x:c>
      <x:c r="E381" s="45" t="str">
        <x:f>IF(COUNTIFS('Ubicaciones'!$C$2:$C$10001,A381)=1,"Único","Duplicado")</x:f>
        <x:v>Único</x:v>
      </x:c>
      <x:c r="F381" s="45" t="str">
        <x:f>IF('Ubicaciones'!T381=1,"Ubicable",IF('Ubicaciones'!E381&lt;&gt;"Abierta","Fuera por estatus","Coordenadas pendientes"))</x:f>
        <x:v>Ubicable</x:v>
      </x:c>
    </x:row>
    <x:row r="382" ht="23" customHeight="1">
      <x:c r="A382" s="45" t="str">
        <x:f>'Ubicaciones'!C382</x:f>
        <x:v>38785</x:v>
      </x:c>
      <x:c r="B382" s="45" t="str">
        <x:f>'Ubicaciones'!A382</x:f>
        <x:v>Centro Centro</x:v>
      </x:c>
      <x:c r="C382" s="45" t="str">
        <x:f>'Ubicaciones'!B382</x:f>
        <x:v>Vacante</x:v>
      </x:c>
      <x:c r="D382" s="45" t="str">
        <x:f>IF(COUNTIFS('Catalogos'!$A$2:$A$41,B382,'Catalogos'!$B$2:$B$41,C382)&gt;0,"Correcta","Revisar Región DM")</x:f>
        <x:v>Correcta</x:v>
      </x:c>
      <x:c r="E382" s="45" t="str">
        <x:f>IF(COUNTIFS('Ubicaciones'!$C$2:$C$10001,A382)=1,"Único","Duplicado")</x:f>
        <x:v>Único</x:v>
      </x:c>
      <x:c r="F382" s="45" t="str">
        <x:f>IF('Ubicaciones'!T382=1,"Ubicable",IF('Ubicaciones'!E382&lt;&gt;"Abierta","Fuera por estatus","Coordenadas pendientes"))</x:f>
        <x:v>Ubicable</x:v>
      </x:c>
    </x:row>
    <x:row r="383" ht="23" customHeight="1">
      <x:c r="A383" s="45" t="str">
        <x:f>'Ubicaciones'!C383</x:f>
        <x:v>43123</x:v>
      </x:c>
      <x:c r="B383" s="45" t="str">
        <x:f>'Ubicaciones'!A383</x:f>
        <x:v>Centro Centro</x:v>
      </x:c>
      <x:c r="C383" s="45" t="str">
        <x:f>'Ubicaciones'!B383</x:f>
        <x:v>Vacante</x:v>
      </x:c>
      <x:c r="D383" s="45" t="str">
        <x:f>IF(COUNTIFS('Catalogos'!$A$2:$A$41,B383,'Catalogos'!$B$2:$B$41,C383)&gt;0,"Correcta","Revisar Región DM")</x:f>
        <x:v>Correcta</x:v>
      </x:c>
      <x:c r="E383" s="45" t="str">
        <x:f>IF(COUNTIFS('Ubicaciones'!$C$2:$C$10001,A383)=1,"Único","Duplicado")</x:f>
        <x:v>Único</x:v>
      </x:c>
      <x:c r="F383" s="45" t="str">
        <x:f>IF('Ubicaciones'!T383=1,"Ubicable",IF('Ubicaciones'!E383&lt;&gt;"Abierta","Fuera por estatus","Coordenadas pendientes"))</x:f>
        <x:v>Ubicable</x:v>
      </x:c>
    </x:row>
    <x:row r="384" ht="23" customHeight="1">
      <x:c r="A384" s="45" t="str">
        <x:f>'Ubicaciones'!C384</x:f>
        <x:v>38262</x:v>
      </x:c>
      <x:c r="B384" s="45" t="str">
        <x:f>'Ubicaciones'!A384</x:f>
        <x:v>Bajío</x:v>
      </x:c>
      <x:c r="C384" s="45" t="str">
        <x:f>'Ubicaciones'!B384</x:f>
        <x:v>Christian Medina Capetillo</x:v>
      </x:c>
      <x:c r="D384" s="45" t="str">
        <x:f>IF(COUNTIFS('Catalogos'!$A$2:$A$41,B384,'Catalogos'!$B$2:$B$41,C384)&gt;0,"Correcta","Revisar Región DM")</x:f>
        <x:v>Correcta</x:v>
      </x:c>
      <x:c r="E384" s="45" t="str">
        <x:f>IF(COUNTIFS('Ubicaciones'!$C$2:$C$10001,A384)=1,"Único","Duplicado")</x:f>
        <x:v>Único</x:v>
      </x:c>
      <x:c r="F384" s="45" t="str">
        <x:f>IF('Ubicaciones'!T384=1,"Ubicable",IF('Ubicaciones'!E384&lt;&gt;"Abierta","Fuera por estatus","Coordenadas pendientes"))</x:f>
        <x:v>Ubicable</x:v>
      </x:c>
    </x:row>
    <x:row r="385" ht="23" customHeight="1">
      <x:c r="A385" s="45" t="str">
        <x:f>'Ubicaciones'!C385</x:f>
        <x:v>38355</x:v>
      </x:c>
      <x:c r="B385" s="45" t="str">
        <x:f>'Ubicaciones'!A385</x:f>
        <x:v>Bajío</x:v>
      </x:c>
      <x:c r="C385" s="45" t="str">
        <x:f>'Ubicaciones'!B385</x:f>
        <x:v>Christian Medina Capetillo</x:v>
      </x:c>
      <x:c r="D385" s="45" t="str">
        <x:f>IF(COUNTIFS('Catalogos'!$A$2:$A$41,B385,'Catalogos'!$B$2:$B$41,C385)&gt;0,"Correcta","Revisar Región DM")</x:f>
        <x:v>Correcta</x:v>
      </x:c>
      <x:c r="E385" s="45" t="str">
        <x:f>IF(COUNTIFS('Ubicaciones'!$C$2:$C$10001,A385)=1,"Único","Duplicado")</x:f>
        <x:v>Único</x:v>
      </x:c>
      <x:c r="F385" s="45" t="str">
        <x:f>IF('Ubicaciones'!T385=1,"Ubicable",IF('Ubicaciones'!E385&lt;&gt;"Abierta","Fuera por estatus","Coordenadas pendientes"))</x:f>
        <x:v>Ubicable</x:v>
      </x:c>
    </x:row>
    <x:row r="386" ht="23" customHeight="1">
      <x:c r="A386" s="45" t="str">
        <x:f>'Ubicaciones'!C386</x:f>
        <x:v>38392</x:v>
      </x:c>
      <x:c r="B386" s="45" t="str">
        <x:f>'Ubicaciones'!A386</x:f>
        <x:v>Bajío</x:v>
      </x:c>
      <x:c r="C386" s="45" t="str">
        <x:f>'Ubicaciones'!B386</x:f>
        <x:v>Christian Medina Capetillo</x:v>
      </x:c>
      <x:c r="D386" s="45" t="str">
        <x:f>IF(COUNTIFS('Catalogos'!$A$2:$A$41,B386,'Catalogos'!$B$2:$B$41,C386)&gt;0,"Correcta","Revisar Región DM")</x:f>
        <x:v>Correcta</x:v>
      </x:c>
      <x:c r="E386" s="45" t="str">
        <x:f>IF(COUNTIFS('Ubicaciones'!$C$2:$C$10001,A386)=1,"Único","Duplicado")</x:f>
        <x:v>Único</x:v>
      </x:c>
      <x:c r="F386" s="45" t="str">
        <x:f>IF('Ubicaciones'!T386=1,"Ubicable",IF('Ubicaciones'!E386&lt;&gt;"Abierta","Fuera por estatus","Coordenadas pendientes"))</x:f>
        <x:v>Ubicable</x:v>
      </x:c>
    </x:row>
    <x:row r="387" ht="23" customHeight="1">
      <x:c r="A387" s="45" t="str">
        <x:f>'Ubicaciones'!C387</x:f>
        <x:v>38473</x:v>
      </x:c>
      <x:c r="B387" s="45" t="str">
        <x:f>'Ubicaciones'!A387</x:f>
        <x:v>Bajío</x:v>
      </x:c>
      <x:c r="C387" s="45" t="str">
        <x:f>'Ubicaciones'!B387</x:f>
        <x:v>Christian Medina Capetillo</x:v>
      </x:c>
      <x:c r="D387" s="45" t="str">
        <x:f>IF(COUNTIFS('Catalogos'!$A$2:$A$41,B387,'Catalogos'!$B$2:$B$41,C387)&gt;0,"Correcta","Revisar Región DM")</x:f>
        <x:v>Correcta</x:v>
      </x:c>
      <x:c r="E387" s="45" t="str">
        <x:f>IF(COUNTIFS('Ubicaciones'!$C$2:$C$10001,A387)=1,"Único","Duplicado")</x:f>
        <x:v>Único</x:v>
      </x:c>
      <x:c r="F387" s="45" t="str">
        <x:f>IF('Ubicaciones'!T387=1,"Ubicable",IF('Ubicaciones'!E387&lt;&gt;"Abierta","Fuera por estatus","Coordenadas pendientes"))</x:f>
        <x:v>Ubicable</x:v>
      </x:c>
    </x:row>
    <x:row r="388" ht="23" customHeight="1">
      <x:c r="A388" s="45" t="str">
        <x:f>'Ubicaciones'!C388</x:f>
        <x:v>38506</x:v>
      </x:c>
      <x:c r="B388" s="45" t="str">
        <x:f>'Ubicaciones'!A388</x:f>
        <x:v>Bajío</x:v>
      </x:c>
      <x:c r="C388" s="45" t="str">
        <x:f>'Ubicaciones'!B388</x:f>
        <x:v>Christian Medina Capetillo</x:v>
      </x:c>
      <x:c r="D388" s="45" t="str">
        <x:f>IF(COUNTIFS('Catalogos'!$A$2:$A$41,B388,'Catalogos'!$B$2:$B$41,C388)&gt;0,"Correcta","Revisar Región DM")</x:f>
        <x:v>Correcta</x:v>
      </x:c>
      <x:c r="E388" s="45" t="str">
        <x:f>IF(COUNTIFS('Ubicaciones'!$C$2:$C$10001,A388)=1,"Único","Duplicado")</x:f>
        <x:v>Único</x:v>
      </x:c>
      <x:c r="F388" s="45" t="str">
        <x:f>IF('Ubicaciones'!T388=1,"Ubicable",IF('Ubicaciones'!E388&lt;&gt;"Abierta","Fuera por estatus","Coordenadas pendientes"))</x:f>
        <x:v>Ubicable</x:v>
      </x:c>
    </x:row>
    <x:row r="389" ht="23" customHeight="1">
      <x:c r="A389" s="45" t="str">
        <x:f>'Ubicaciones'!C389</x:f>
        <x:v>38563</x:v>
      </x:c>
      <x:c r="B389" s="45" t="str">
        <x:f>'Ubicaciones'!A389</x:f>
        <x:v>Bajío</x:v>
      </x:c>
      <x:c r="C389" s="45" t="str">
        <x:f>'Ubicaciones'!B389</x:f>
        <x:v>Christian Medina Capetillo</x:v>
      </x:c>
      <x:c r="D389" s="45" t="str">
        <x:f>IF(COUNTIFS('Catalogos'!$A$2:$A$41,B389,'Catalogos'!$B$2:$B$41,C389)&gt;0,"Correcta","Revisar Región DM")</x:f>
        <x:v>Correcta</x:v>
      </x:c>
      <x:c r="E389" s="45" t="str">
        <x:f>IF(COUNTIFS('Ubicaciones'!$C$2:$C$10001,A389)=1,"Único","Duplicado")</x:f>
        <x:v>Único</x:v>
      </x:c>
      <x:c r="F389" s="45" t="str">
        <x:f>IF('Ubicaciones'!T389=1,"Ubicable",IF('Ubicaciones'!E389&lt;&gt;"Abierta","Fuera por estatus","Coordenadas pendientes"))</x:f>
        <x:v>Ubicable</x:v>
      </x:c>
    </x:row>
    <x:row r="390" ht="23" customHeight="1">
      <x:c r="A390" s="45" t="str">
        <x:f>'Ubicaciones'!C390</x:f>
        <x:v>38630</x:v>
      </x:c>
      <x:c r="B390" s="45" t="str">
        <x:f>'Ubicaciones'!A390</x:f>
        <x:v>Bajío</x:v>
      </x:c>
      <x:c r="C390" s="45" t="str">
        <x:f>'Ubicaciones'!B390</x:f>
        <x:v>Christian Medina Capetillo</x:v>
      </x:c>
      <x:c r="D390" s="45" t="str">
        <x:f>IF(COUNTIFS('Catalogos'!$A$2:$A$41,B390,'Catalogos'!$B$2:$B$41,C390)&gt;0,"Correcta","Revisar Región DM")</x:f>
        <x:v>Correcta</x:v>
      </x:c>
      <x:c r="E390" s="45" t="str">
        <x:f>IF(COUNTIFS('Ubicaciones'!$C$2:$C$10001,A390)=1,"Único","Duplicado")</x:f>
        <x:v>Único</x:v>
      </x:c>
      <x:c r="F390" s="45" t="str">
        <x:f>IF('Ubicaciones'!T390=1,"Ubicable",IF('Ubicaciones'!E390&lt;&gt;"Abierta","Fuera por estatus","Coordenadas pendientes"))</x:f>
        <x:v>Ubicable</x:v>
      </x:c>
    </x:row>
    <x:row r="391" ht="23" customHeight="1">
      <x:c r="A391" s="45" t="str">
        <x:f>'Ubicaciones'!C391</x:f>
        <x:v>38734</x:v>
      </x:c>
      <x:c r="B391" s="45" t="str">
        <x:f>'Ubicaciones'!A391</x:f>
        <x:v>Bajío</x:v>
      </x:c>
      <x:c r="C391" s="45" t="str">
        <x:f>'Ubicaciones'!B391</x:f>
        <x:v>Christian Medina Capetillo</x:v>
      </x:c>
      <x:c r="D391" s="45" t="str">
        <x:f>IF(COUNTIFS('Catalogos'!$A$2:$A$41,B391,'Catalogos'!$B$2:$B$41,C391)&gt;0,"Correcta","Revisar Región DM")</x:f>
        <x:v>Correcta</x:v>
      </x:c>
      <x:c r="E391" s="45" t="str">
        <x:f>IF(COUNTIFS('Ubicaciones'!$C$2:$C$10001,A391)=1,"Único","Duplicado")</x:f>
        <x:v>Único</x:v>
      </x:c>
      <x:c r="F391" s="45" t="str">
        <x:f>IF('Ubicaciones'!T391=1,"Ubicable",IF('Ubicaciones'!E391&lt;&gt;"Abierta","Fuera por estatus","Coordenadas pendientes"))</x:f>
        <x:v>Ubicable</x:v>
      </x:c>
    </x:row>
    <x:row r="392" ht="23" customHeight="1">
      <x:c r="A392" s="45" t="str">
        <x:f>'Ubicaciones'!C392</x:f>
        <x:v>38833</x:v>
      </x:c>
      <x:c r="B392" s="45" t="str">
        <x:f>'Ubicaciones'!A392</x:f>
        <x:v>Bajío</x:v>
      </x:c>
      <x:c r="C392" s="45" t="str">
        <x:f>'Ubicaciones'!B392</x:f>
        <x:v>Christian Medina Capetillo</x:v>
      </x:c>
      <x:c r="D392" s="45" t="str">
        <x:f>IF(COUNTIFS('Catalogos'!$A$2:$A$41,B392,'Catalogos'!$B$2:$B$41,C392)&gt;0,"Correcta","Revisar Región DM")</x:f>
        <x:v>Correcta</x:v>
      </x:c>
      <x:c r="E392" s="45" t="str">
        <x:f>IF(COUNTIFS('Ubicaciones'!$C$2:$C$10001,A392)=1,"Único","Duplicado")</x:f>
        <x:v>Único</x:v>
      </x:c>
      <x:c r="F392" s="45" t="str">
        <x:f>IF('Ubicaciones'!T392=1,"Ubicable",IF('Ubicaciones'!E392&lt;&gt;"Abierta","Fuera por estatus","Coordenadas pendientes"))</x:f>
        <x:v>Ubicable</x:v>
      </x:c>
    </x:row>
    <x:row r="393" ht="23" customHeight="1">
      <x:c r="A393" s="45" t="str">
        <x:f>'Ubicaciones'!C393</x:f>
        <x:v>38891</x:v>
      </x:c>
      <x:c r="B393" s="45" t="str">
        <x:f>'Ubicaciones'!A393</x:f>
        <x:v>Bajío</x:v>
      </x:c>
      <x:c r="C393" s="45" t="str">
        <x:f>'Ubicaciones'!B393</x:f>
        <x:v>Christian Medina Capetillo</x:v>
      </x:c>
      <x:c r="D393" s="45" t="str">
        <x:f>IF(COUNTIFS('Catalogos'!$A$2:$A$41,B393,'Catalogos'!$B$2:$B$41,C393)&gt;0,"Correcta","Revisar Región DM")</x:f>
        <x:v>Correcta</x:v>
      </x:c>
      <x:c r="E393" s="45" t="str">
        <x:f>IF(COUNTIFS('Ubicaciones'!$C$2:$C$10001,A393)=1,"Único","Duplicado")</x:f>
        <x:v>Único</x:v>
      </x:c>
      <x:c r="F393" s="45" t="str">
        <x:f>IF('Ubicaciones'!T393=1,"Ubicable",IF('Ubicaciones'!E393&lt;&gt;"Abierta","Fuera por estatus","Coordenadas pendientes"))</x:f>
        <x:v>Ubicable</x:v>
      </x:c>
    </x:row>
    <x:row r="394" ht="23" customHeight="1">
      <x:c r="A394" s="45" t="str">
        <x:f>'Ubicaciones'!C394</x:f>
        <x:v>38912</x:v>
      </x:c>
      <x:c r="B394" s="45" t="str">
        <x:f>'Ubicaciones'!A394</x:f>
        <x:v>Bajío</x:v>
      </x:c>
      <x:c r="C394" s="45" t="str">
        <x:f>'Ubicaciones'!B394</x:f>
        <x:v>Christian Medina Capetillo</x:v>
      </x:c>
      <x:c r="D394" s="45" t="str">
        <x:f>IF(COUNTIFS('Catalogos'!$A$2:$A$41,B394,'Catalogos'!$B$2:$B$41,C394)&gt;0,"Correcta","Revisar Región DM")</x:f>
        <x:v>Correcta</x:v>
      </x:c>
      <x:c r="E394" s="45" t="str">
        <x:f>IF(COUNTIFS('Ubicaciones'!$C$2:$C$10001,A394)=1,"Único","Duplicado")</x:f>
        <x:v>Único</x:v>
      </x:c>
      <x:c r="F394" s="45" t="str">
        <x:f>IF('Ubicaciones'!T394=1,"Ubicable",IF('Ubicaciones'!E394&lt;&gt;"Abierta","Fuera por estatus","Coordenadas pendientes"))</x:f>
        <x:v>Ubicable</x:v>
      </x:c>
    </x:row>
    <x:row r="395" ht="23" customHeight="1">
      <x:c r="A395" s="45" t="str">
        <x:f>'Ubicaciones'!C395</x:f>
        <x:v>38974</x:v>
      </x:c>
      <x:c r="B395" s="45" t="str">
        <x:f>'Ubicaciones'!A395</x:f>
        <x:v>Bajío</x:v>
      </x:c>
      <x:c r="C395" s="45" t="str">
        <x:f>'Ubicaciones'!B395</x:f>
        <x:v>Christian Medina Capetillo</x:v>
      </x:c>
      <x:c r="D395" s="45" t="str">
        <x:f>IF(COUNTIFS('Catalogos'!$A$2:$A$41,B395,'Catalogos'!$B$2:$B$41,C395)&gt;0,"Correcta","Revisar Región DM")</x:f>
        <x:v>Correcta</x:v>
      </x:c>
      <x:c r="E395" s="45" t="str">
        <x:f>IF(COUNTIFS('Ubicaciones'!$C$2:$C$10001,A395)=1,"Único","Duplicado")</x:f>
        <x:v>Único</x:v>
      </x:c>
      <x:c r="F395" s="45" t="str">
        <x:f>IF('Ubicaciones'!T395=1,"Ubicable",IF('Ubicaciones'!E395&lt;&gt;"Abierta","Fuera por estatus","Coordenadas pendientes"))</x:f>
        <x:v>Ubicable</x:v>
      </x:c>
    </x:row>
    <x:row r="396" ht="23" customHeight="1">
      <x:c r="A396" s="45" t="str">
        <x:f>'Ubicaciones'!C396</x:f>
        <x:v>43063</x:v>
      </x:c>
      <x:c r="B396" s="45" t="str">
        <x:f>'Ubicaciones'!A396</x:f>
        <x:v>Bajío</x:v>
      </x:c>
      <x:c r="C396" s="45" t="str">
        <x:f>'Ubicaciones'!B396</x:f>
        <x:v>Christian Medina Capetillo</x:v>
      </x:c>
      <x:c r="D396" s="45" t="str">
        <x:f>IF(COUNTIFS('Catalogos'!$A$2:$A$41,B396,'Catalogos'!$B$2:$B$41,C396)&gt;0,"Correcta","Revisar Región DM")</x:f>
        <x:v>Correcta</x:v>
      </x:c>
      <x:c r="E396" s="45" t="str">
        <x:f>IF(COUNTIFS('Ubicaciones'!$C$2:$C$10001,A396)=1,"Único","Duplicado")</x:f>
        <x:v>Único</x:v>
      </x:c>
      <x:c r="F396" s="45" t="str">
        <x:f>IF('Ubicaciones'!T396=1,"Ubicable",IF('Ubicaciones'!E396&lt;&gt;"Abierta","Fuera por estatus","Coordenadas pendientes"))</x:f>
        <x:v>Ubicable</x:v>
      </x:c>
    </x:row>
    <x:row r="397" ht="23" customHeight="1">
      <x:c r="A397" s="45" t="str">
        <x:f>'Ubicaciones'!C397</x:f>
        <x:v>43185</x:v>
      </x:c>
      <x:c r="B397" s="45" t="str">
        <x:f>'Ubicaciones'!A397</x:f>
        <x:v>Bajío</x:v>
      </x:c>
      <x:c r="C397" s="45" t="str">
        <x:f>'Ubicaciones'!B397</x:f>
        <x:v>Christian Medina Capetillo</x:v>
      </x:c>
      <x:c r="D397" s="45" t="str">
        <x:f>IF(COUNTIFS('Catalogos'!$A$2:$A$41,B397,'Catalogos'!$B$2:$B$41,C397)&gt;0,"Correcta","Revisar Región DM")</x:f>
        <x:v>Correcta</x:v>
      </x:c>
      <x:c r="E397" s="45" t="str">
        <x:f>IF(COUNTIFS('Ubicaciones'!$C$2:$C$10001,A397)=1,"Único","Duplicado")</x:f>
        <x:v>Único</x:v>
      </x:c>
      <x:c r="F397" s="45" t="str">
        <x:f>IF('Ubicaciones'!T397=1,"Ubicable",IF('Ubicaciones'!E397&lt;&gt;"Abierta","Fuera por estatus","Coordenadas pendientes"))</x:f>
        <x:v>Ubicable</x:v>
      </x:c>
    </x:row>
    <x:row r="398" ht="23" customHeight="1">
      <x:c r="A398" s="45" t="str">
        <x:f>'Ubicaciones'!C398</x:f>
        <x:v>38357</x:v>
      </x:c>
      <x:c r="B398" s="45" t="str">
        <x:f>'Ubicaciones'!A398</x:f>
        <x:v>Bajío</x:v>
      </x:c>
      <x:c r="C398" s="45" t="str">
        <x:f>'Ubicaciones'!B398</x:f>
        <x:v>David Carrasco</x:v>
      </x:c>
      <x:c r="D398" s="45" t="str">
        <x:f>IF(COUNTIFS('Catalogos'!$A$2:$A$41,B398,'Catalogos'!$B$2:$B$41,C398)&gt;0,"Correcta","Revisar Región DM")</x:f>
        <x:v>Correcta</x:v>
      </x:c>
      <x:c r="E398" s="45" t="str">
        <x:f>IF(COUNTIFS('Ubicaciones'!$C$2:$C$10001,A398)=1,"Único","Duplicado")</x:f>
        <x:v>Único</x:v>
      </x:c>
      <x:c r="F398" s="45" t="str">
        <x:f>IF('Ubicaciones'!T398=1,"Ubicable",IF('Ubicaciones'!E398&lt;&gt;"Abierta","Fuera por estatus","Coordenadas pendientes"))</x:f>
        <x:v>Fuera por estatus</x:v>
      </x:c>
    </x:row>
    <x:row r="399" ht="23" customHeight="1">
      <x:c r="A399" s="45" t="str">
        <x:f>'Ubicaciones'!C399</x:f>
        <x:v>38358</x:v>
      </x:c>
      <x:c r="B399" s="45" t="str">
        <x:f>'Ubicaciones'!A399</x:f>
        <x:v>Bajío</x:v>
      </x:c>
      <x:c r="C399" s="45" t="str">
        <x:f>'Ubicaciones'!B399</x:f>
        <x:v>David Carrasco</x:v>
      </x:c>
      <x:c r="D399" s="45" t="str">
        <x:f>IF(COUNTIFS('Catalogos'!$A$2:$A$41,B399,'Catalogos'!$B$2:$B$41,C399)&gt;0,"Correcta","Revisar Región DM")</x:f>
        <x:v>Correcta</x:v>
      </x:c>
      <x:c r="E399" s="45" t="str">
        <x:f>IF(COUNTIFS('Ubicaciones'!$C$2:$C$10001,A399)=1,"Único","Duplicado")</x:f>
        <x:v>Único</x:v>
      </x:c>
      <x:c r="F399" s="45" t="str">
        <x:f>IF('Ubicaciones'!T399=1,"Ubicable",IF('Ubicaciones'!E399&lt;&gt;"Abierta","Fuera por estatus","Coordenadas pendientes"))</x:f>
        <x:v>Ubicable</x:v>
      </x:c>
    </x:row>
    <x:row r="400" ht="23" customHeight="1">
      <x:c r="A400" s="45" t="str">
        <x:f>'Ubicaciones'!C400</x:f>
        <x:v>38790</x:v>
      </x:c>
      <x:c r="B400" s="45" t="str">
        <x:f>'Ubicaciones'!A400</x:f>
        <x:v>Bajío</x:v>
      </x:c>
      <x:c r="C400" s="45" t="str">
        <x:f>'Ubicaciones'!B400</x:f>
        <x:v>David Carrasco</x:v>
      </x:c>
      <x:c r="D400" s="45" t="str">
        <x:f>IF(COUNTIFS('Catalogos'!$A$2:$A$41,B400,'Catalogos'!$B$2:$B$41,C400)&gt;0,"Correcta","Revisar Región DM")</x:f>
        <x:v>Correcta</x:v>
      </x:c>
      <x:c r="E400" s="45" t="str">
        <x:f>IF(COUNTIFS('Ubicaciones'!$C$2:$C$10001,A400)=1,"Único","Duplicado")</x:f>
        <x:v>Único</x:v>
      </x:c>
      <x:c r="F400" s="45" t="str">
        <x:f>IF('Ubicaciones'!T400=1,"Ubicable",IF('Ubicaciones'!E400&lt;&gt;"Abierta","Fuera por estatus","Coordenadas pendientes"))</x:f>
        <x:v>Ubicable</x:v>
      </x:c>
    </x:row>
    <x:row r="401" ht="23" customHeight="1">
      <x:c r="A401" s="45" t="str">
        <x:f>'Ubicaciones'!C401</x:f>
        <x:v>38793</x:v>
      </x:c>
      <x:c r="B401" s="45" t="str">
        <x:f>'Ubicaciones'!A401</x:f>
        <x:v>Bajío</x:v>
      </x:c>
      <x:c r="C401" s="45" t="str">
        <x:f>'Ubicaciones'!B401</x:f>
        <x:v>David Carrasco</x:v>
      </x:c>
      <x:c r="D401" s="45" t="str">
        <x:f>IF(COUNTIFS('Catalogos'!$A$2:$A$41,B401,'Catalogos'!$B$2:$B$41,C401)&gt;0,"Correcta","Revisar Región DM")</x:f>
        <x:v>Correcta</x:v>
      </x:c>
      <x:c r="E401" s="45" t="str">
        <x:f>IF(COUNTIFS('Ubicaciones'!$C$2:$C$10001,A401)=1,"Único","Duplicado")</x:f>
        <x:v>Único</x:v>
      </x:c>
      <x:c r="F401" s="45" t="str">
        <x:f>IF('Ubicaciones'!T401=1,"Ubicable",IF('Ubicaciones'!E401&lt;&gt;"Abierta","Fuera por estatus","Coordenadas pendientes"))</x:f>
        <x:v>Ubicable</x:v>
      </x:c>
    </x:row>
    <x:row r="402" ht="23" customHeight="1">
      <x:c r="A402" s="45" t="str">
        <x:f>'Ubicaciones'!C402</x:f>
        <x:v>38893</x:v>
      </x:c>
      <x:c r="B402" s="45" t="str">
        <x:f>'Ubicaciones'!A402</x:f>
        <x:v>Bajío</x:v>
      </x:c>
      <x:c r="C402" s="45" t="str">
        <x:f>'Ubicaciones'!B402</x:f>
        <x:v>David Carrasco</x:v>
      </x:c>
      <x:c r="D402" s="45" t="str">
        <x:f>IF(COUNTIFS('Catalogos'!$A$2:$A$41,B402,'Catalogos'!$B$2:$B$41,C402)&gt;0,"Correcta","Revisar Región DM")</x:f>
        <x:v>Correcta</x:v>
      </x:c>
      <x:c r="E402" s="45" t="str">
        <x:f>IF(COUNTIFS('Ubicaciones'!$C$2:$C$10001,A402)=1,"Único","Duplicado")</x:f>
        <x:v>Único</x:v>
      </x:c>
      <x:c r="F402" s="45" t="str">
        <x:f>IF('Ubicaciones'!T402=1,"Ubicable",IF('Ubicaciones'!E402&lt;&gt;"Abierta","Fuera por estatus","Coordenadas pendientes"))</x:f>
        <x:v>Ubicable</x:v>
      </x:c>
    </x:row>
    <x:row r="403" ht="23" customHeight="1">
      <x:c r="A403" s="45" t="str">
        <x:f>'Ubicaciones'!C403</x:f>
        <x:v>38908</x:v>
      </x:c>
      <x:c r="B403" s="45" t="str">
        <x:f>'Ubicaciones'!A403</x:f>
        <x:v>Bajío</x:v>
      </x:c>
      <x:c r="C403" s="45" t="str">
        <x:f>'Ubicaciones'!B403</x:f>
        <x:v>David Carrasco</x:v>
      </x:c>
      <x:c r="D403" s="45" t="str">
        <x:f>IF(COUNTIFS('Catalogos'!$A$2:$A$41,B403,'Catalogos'!$B$2:$B$41,C403)&gt;0,"Correcta","Revisar Región DM")</x:f>
        <x:v>Correcta</x:v>
      </x:c>
      <x:c r="E403" s="45" t="str">
        <x:f>IF(COUNTIFS('Ubicaciones'!$C$2:$C$10001,A403)=1,"Único","Duplicado")</x:f>
        <x:v>Único</x:v>
      </x:c>
      <x:c r="F403" s="45" t="str">
        <x:f>IF('Ubicaciones'!T403=1,"Ubicable",IF('Ubicaciones'!E403&lt;&gt;"Abierta","Fuera por estatus","Coordenadas pendientes"))</x:f>
        <x:v>Ubicable</x:v>
      </x:c>
    </x:row>
    <x:row r="404" ht="23" customHeight="1">
      <x:c r="A404" s="45" t="str">
        <x:f>'Ubicaciones'!C404</x:f>
        <x:v>38910</x:v>
      </x:c>
      <x:c r="B404" s="45" t="str">
        <x:f>'Ubicaciones'!A404</x:f>
        <x:v>Bajío</x:v>
      </x:c>
      <x:c r="C404" s="45" t="str">
        <x:f>'Ubicaciones'!B404</x:f>
        <x:v>David Carrasco</x:v>
      </x:c>
      <x:c r="D404" s="45" t="str">
        <x:f>IF(COUNTIFS('Catalogos'!$A$2:$A$41,B404,'Catalogos'!$B$2:$B$41,C404)&gt;0,"Correcta","Revisar Región DM")</x:f>
        <x:v>Correcta</x:v>
      </x:c>
      <x:c r="E404" s="45" t="str">
        <x:f>IF(COUNTIFS('Ubicaciones'!$C$2:$C$10001,A404)=1,"Único","Duplicado")</x:f>
        <x:v>Único</x:v>
      </x:c>
      <x:c r="F404" s="45" t="str">
        <x:f>IF('Ubicaciones'!T404=1,"Ubicable",IF('Ubicaciones'!E404&lt;&gt;"Abierta","Fuera por estatus","Coordenadas pendientes"))</x:f>
        <x:v>Ubicable</x:v>
      </x:c>
    </x:row>
    <x:row r="405" ht="23" customHeight="1">
      <x:c r="A405" s="45" t="str">
        <x:f>'Ubicaciones'!C405</x:f>
        <x:v>38911</x:v>
      </x:c>
      <x:c r="B405" s="45" t="str">
        <x:f>'Ubicaciones'!A405</x:f>
        <x:v>Bajío</x:v>
      </x:c>
      <x:c r="C405" s="45" t="str">
        <x:f>'Ubicaciones'!B405</x:f>
        <x:v>David Carrasco</x:v>
      </x:c>
      <x:c r="D405" s="45" t="str">
        <x:f>IF(COUNTIFS('Catalogos'!$A$2:$A$41,B405,'Catalogos'!$B$2:$B$41,C405)&gt;0,"Correcta","Revisar Región DM")</x:f>
        <x:v>Correcta</x:v>
      </x:c>
      <x:c r="E405" s="45" t="str">
        <x:f>IF(COUNTIFS('Ubicaciones'!$C$2:$C$10001,A405)=1,"Único","Duplicado")</x:f>
        <x:v>Único</x:v>
      </x:c>
      <x:c r="F405" s="45" t="str">
        <x:f>IF('Ubicaciones'!T405=1,"Ubicable",IF('Ubicaciones'!E405&lt;&gt;"Abierta","Fuera por estatus","Coordenadas pendientes"))</x:f>
        <x:v>Ubicable</x:v>
      </x:c>
    </x:row>
    <x:row r="406" ht="23" customHeight="1">
      <x:c r="A406" s="45" t="str">
        <x:f>'Ubicaciones'!C406</x:f>
        <x:v>38939</x:v>
      </x:c>
      <x:c r="B406" s="45" t="str">
        <x:f>'Ubicaciones'!A406</x:f>
        <x:v>Bajío</x:v>
      </x:c>
      <x:c r="C406" s="45" t="str">
        <x:f>'Ubicaciones'!B406</x:f>
        <x:v>David Carrasco</x:v>
      </x:c>
      <x:c r="D406" s="45" t="str">
        <x:f>IF(COUNTIFS('Catalogos'!$A$2:$A$41,B406,'Catalogos'!$B$2:$B$41,C406)&gt;0,"Correcta","Revisar Región DM")</x:f>
        <x:v>Correcta</x:v>
      </x:c>
      <x:c r="E406" s="45" t="str">
        <x:f>IF(COUNTIFS('Ubicaciones'!$C$2:$C$10001,A406)=1,"Único","Duplicado")</x:f>
        <x:v>Único</x:v>
      </x:c>
      <x:c r="F406" s="45" t="str">
        <x:f>IF('Ubicaciones'!T406=1,"Ubicable",IF('Ubicaciones'!E406&lt;&gt;"Abierta","Fuera por estatus","Coordenadas pendientes"))</x:f>
        <x:v>Ubicable</x:v>
      </x:c>
    </x:row>
    <x:row r="407" ht="23" customHeight="1">
      <x:c r="A407" s="45" t="str">
        <x:f>'Ubicaciones'!C407</x:f>
        <x:v>43064</x:v>
      </x:c>
      <x:c r="B407" s="45" t="str">
        <x:f>'Ubicaciones'!A407</x:f>
        <x:v>Bajío</x:v>
      </x:c>
      <x:c r="C407" s="45" t="str">
        <x:f>'Ubicaciones'!B407</x:f>
        <x:v>David Carrasco</x:v>
      </x:c>
      <x:c r="D407" s="45" t="str">
        <x:f>IF(COUNTIFS('Catalogos'!$A$2:$A$41,B407,'Catalogos'!$B$2:$B$41,C407)&gt;0,"Correcta","Revisar Región DM")</x:f>
        <x:v>Correcta</x:v>
      </x:c>
      <x:c r="E407" s="45" t="str">
        <x:f>IF(COUNTIFS('Ubicaciones'!$C$2:$C$10001,A407)=1,"Único","Duplicado")</x:f>
        <x:v>Único</x:v>
      </x:c>
      <x:c r="F407" s="45" t="str">
        <x:f>IF('Ubicaciones'!T407=1,"Ubicable",IF('Ubicaciones'!E407&lt;&gt;"Abierta","Fuera por estatus","Coordenadas pendientes"))</x:f>
        <x:v>Ubicable</x:v>
      </x:c>
    </x:row>
    <x:row r="408" ht="23" customHeight="1">
      <x:c r="A408" s="45" t="str">
        <x:f>'Ubicaciones'!C408</x:f>
        <x:v>43082</x:v>
      </x:c>
      <x:c r="B408" s="45" t="str">
        <x:f>'Ubicaciones'!A408</x:f>
        <x:v>Bajío</x:v>
      </x:c>
      <x:c r="C408" s="45" t="str">
        <x:f>'Ubicaciones'!B408</x:f>
        <x:v>David Carrasco</x:v>
      </x:c>
      <x:c r="D408" s="45" t="str">
        <x:f>IF(COUNTIFS('Catalogos'!$A$2:$A$41,B408,'Catalogos'!$B$2:$B$41,C408)&gt;0,"Correcta","Revisar Región DM")</x:f>
        <x:v>Correcta</x:v>
      </x:c>
      <x:c r="E408" s="45" t="str">
        <x:f>IF(COUNTIFS('Ubicaciones'!$C$2:$C$10001,A408)=1,"Único","Duplicado")</x:f>
        <x:v>Único</x:v>
      </x:c>
      <x:c r="F408" s="45" t="str">
        <x:f>IF('Ubicaciones'!T408=1,"Ubicable",IF('Ubicaciones'!E408&lt;&gt;"Abierta","Fuera por estatus","Coordenadas pendientes"))</x:f>
        <x:v>Ubicable</x:v>
      </x:c>
    </x:row>
    <x:row r="409" ht="23" customHeight="1">
      <x:c r="A409" s="45" t="str">
        <x:f>'Ubicaciones'!C409</x:f>
        <x:v>43083</x:v>
      </x:c>
      <x:c r="B409" s="45" t="str">
        <x:f>'Ubicaciones'!A409</x:f>
        <x:v>Bajío</x:v>
      </x:c>
      <x:c r="C409" s="45" t="str">
        <x:f>'Ubicaciones'!B409</x:f>
        <x:v>David Carrasco</x:v>
      </x:c>
      <x:c r="D409" s="45" t="str">
        <x:f>IF(COUNTIFS('Catalogos'!$A$2:$A$41,B409,'Catalogos'!$B$2:$B$41,C409)&gt;0,"Correcta","Revisar Región DM")</x:f>
        <x:v>Correcta</x:v>
      </x:c>
      <x:c r="E409" s="45" t="str">
        <x:f>IF(COUNTIFS('Ubicaciones'!$C$2:$C$10001,A409)=1,"Único","Duplicado")</x:f>
        <x:v>Único</x:v>
      </x:c>
      <x:c r="F409" s="45" t="str">
        <x:f>IF('Ubicaciones'!T409=1,"Ubicable",IF('Ubicaciones'!E409&lt;&gt;"Abierta","Fuera por estatus","Coordenadas pendientes"))</x:f>
        <x:v>Ubicable</x:v>
      </x:c>
    </x:row>
    <x:row r="410" ht="23" customHeight="1">
      <x:c r="A410" s="45" t="str">
        <x:f>'Ubicaciones'!C410</x:f>
        <x:v>43170</x:v>
      </x:c>
      <x:c r="B410" s="45" t="str">
        <x:f>'Ubicaciones'!A410</x:f>
        <x:v>Bajío</x:v>
      </x:c>
      <x:c r="C410" s="45" t="str">
        <x:f>'Ubicaciones'!B410</x:f>
        <x:v>David Carrasco</x:v>
      </x:c>
      <x:c r="D410" s="45" t="str">
        <x:f>IF(COUNTIFS('Catalogos'!$A$2:$A$41,B410,'Catalogos'!$B$2:$B$41,C410)&gt;0,"Correcta","Revisar Región DM")</x:f>
        <x:v>Correcta</x:v>
      </x:c>
      <x:c r="E410" s="45" t="str">
        <x:f>IF(COUNTIFS('Ubicaciones'!$C$2:$C$10001,A410)=1,"Único","Duplicado")</x:f>
        <x:v>Único</x:v>
      </x:c>
      <x:c r="F410" s="45" t="str">
        <x:f>IF('Ubicaciones'!T410=1,"Ubicable",IF('Ubicaciones'!E410&lt;&gt;"Abierta","Fuera por estatus","Coordenadas pendientes"))</x:f>
        <x:v>Ubicable</x:v>
      </x:c>
    </x:row>
    <x:row r="411" ht="23" customHeight="1">
      <x:c r="A411" s="45" t="str">
        <x:f>'Ubicaciones'!C411</x:f>
        <x:v>43256</x:v>
      </x:c>
      <x:c r="B411" s="45" t="str">
        <x:f>'Ubicaciones'!A411</x:f>
        <x:v>Bajío</x:v>
      </x:c>
      <x:c r="C411" s="45" t="str">
        <x:f>'Ubicaciones'!B411</x:f>
        <x:v>David Carrasco</x:v>
      </x:c>
      <x:c r="D411" s="45" t="str">
        <x:f>IF(COUNTIFS('Catalogos'!$A$2:$A$41,B411,'Catalogos'!$B$2:$B$41,C411)&gt;0,"Correcta","Revisar Región DM")</x:f>
        <x:v>Correcta</x:v>
      </x:c>
      <x:c r="E411" s="45" t="str">
        <x:f>IF(COUNTIFS('Ubicaciones'!$C$2:$C$10001,A411)=1,"Único","Duplicado")</x:f>
        <x:v>Único</x:v>
      </x:c>
      <x:c r="F411" s="45" t="str">
        <x:f>IF('Ubicaciones'!T411=1,"Ubicable",IF('Ubicaciones'!E411&lt;&gt;"Abierta","Fuera por estatus","Coordenadas pendientes"))</x:f>
        <x:v>Ubicable</x:v>
      </x:c>
    </x:row>
    <x:row r="412" ht="23" customHeight="1">
      <x:c r="A412" s="45" t="str">
        <x:f>'Ubicaciones'!C412</x:f>
        <x:v>38306</x:v>
      </x:c>
      <x:c r="B412" s="45" t="str">
        <x:f>'Ubicaciones'!A412</x:f>
        <x:v>Bajío</x:v>
      </x:c>
      <x:c r="C412" s="45" t="str">
        <x:f>'Ubicaciones'!B412</x:f>
        <x:v>Elizabeth Berenice Chaires Espinoza</x:v>
      </x:c>
      <x:c r="D412" s="45" t="str">
        <x:f>IF(COUNTIFS('Catalogos'!$A$2:$A$41,B412,'Catalogos'!$B$2:$B$41,C412)&gt;0,"Correcta","Revisar Región DM")</x:f>
        <x:v>Correcta</x:v>
      </x:c>
      <x:c r="E412" s="45" t="str">
        <x:f>IF(COUNTIFS('Ubicaciones'!$C$2:$C$10001,A412)=1,"Único","Duplicado")</x:f>
        <x:v>Único</x:v>
      </x:c>
      <x:c r="F412" s="45" t="str">
        <x:f>IF('Ubicaciones'!T412=1,"Ubicable",IF('Ubicaciones'!E412&lt;&gt;"Abierta","Fuera por estatus","Coordenadas pendientes"))</x:f>
        <x:v>Ubicable</x:v>
      </x:c>
    </x:row>
    <x:row r="413" ht="23" customHeight="1">
      <x:c r="A413" s="45" t="str">
        <x:f>'Ubicaciones'!C413</x:f>
        <x:v>38315</x:v>
      </x:c>
      <x:c r="B413" s="45" t="str">
        <x:f>'Ubicaciones'!A413</x:f>
        <x:v>Bajío</x:v>
      </x:c>
      <x:c r="C413" s="45" t="str">
        <x:f>'Ubicaciones'!B413</x:f>
        <x:v>Elizabeth Berenice Chaires Espinoza</x:v>
      </x:c>
      <x:c r="D413" s="45" t="str">
        <x:f>IF(COUNTIFS('Catalogos'!$A$2:$A$41,B413,'Catalogos'!$B$2:$B$41,C413)&gt;0,"Correcta","Revisar Región DM")</x:f>
        <x:v>Correcta</x:v>
      </x:c>
      <x:c r="E413" s="45" t="str">
        <x:f>IF(COUNTIFS('Ubicaciones'!$C$2:$C$10001,A413)=1,"Único","Duplicado")</x:f>
        <x:v>Único</x:v>
      </x:c>
      <x:c r="F413" s="45" t="str">
        <x:f>IF('Ubicaciones'!T413=1,"Ubicable",IF('Ubicaciones'!E413&lt;&gt;"Abierta","Fuera por estatus","Coordenadas pendientes"))</x:f>
        <x:v>Ubicable</x:v>
      </x:c>
    </x:row>
    <x:row r="414" ht="23" customHeight="1">
      <x:c r="A414" s="45" t="str">
        <x:f>'Ubicaciones'!C414</x:f>
        <x:v>38520</x:v>
      </x:c>
      <x:c r="B414" s="45" t="str">
        <x:f>'Ubicaciones'!A414</x:f>
        <x:v>Bajío</x:v>
      </x:c>
      <x:c r="C414" s="45" t="str">
        <x:f>'Ubicaciones'!B414</x:f>
        <x:v>Elizabeth Berenice Chaires Espinoza</x:v>
      </x:c>
      <x:c r="D414" s="45" t="str">
        <x:f>IF(COUNTIFS('Catalogos'!$A$2:$A$41,B414,'Catalogos'!$B$2:$B$41,C414)&gt;0,"Correcta","Revisar Región DM")</x:f>
        <x:v>Correcta</x:v>
      </x:c>
      <x:c r="E414" s="45" t="str">
        <x:f>IF(COUNTIFS('Ubicaciones'!$C$2:$C$10001,A414)=1,"Único","Duplicado")</x:f>
        <x:v>Único</x:v>
      </x:c>
      <x:c r="F414" s="45" t="str">
        <x:f>IF('Ubicaciones'!T414=1,"Ubicable",IF('Ubicaciones'!E414&lt;&gt;"Abierta","Fuera por estatus","Coordenadas pendientes"))</x:f>
        <x:v>Ubicable</x:v>
      </x:c>
    </x:row>
    <x:row r="415" ht="23" customHeight="1">
      <x:c r="A415" s="45" t="str">
        <x:f>'Ubicaciones'!C415</x:f>
        <x:v>38631</x:v>
      </x:c>
      <x:c r="B415" s="45" t="str">
        <x:f>'Ubicaciones'!A415</x:f>
        <x:v>Bajío</x:v>
      </x:c>
      <x:c r="C415" s="45" t="str">
        <x:f>'Ubicaciones'!B415</x:f>
        <x:v>Elizabeth Berenice Chaires Espinoza</x:v>
      </x:c>
      <x:c r="D415" s="45" t="str">
        <x:f>IF(COUNTIFS('Catalogos'!$A$2:$A$41,B415,'Catalogos'!$B$2:$B$41,C415)&gt;0,"Correcta","Revisar Región DM")</x:f>
        <x:v>Correcta</x:v>
      </x:c>
      <x:c r="E415" s="45" t="str">
        <x:f>IF(COUNTIFS('Ubicaciones'!$C$2:$C$10001,A415)=1,"Único","Duplicado")</x:f>
        <x:v>Único</x:v>
      </x:c>
      <x:c r="F415" s="45" t="str">
        <x:f>IF('Ubicaciones'!T415=1,"Ubicable",IF('Ubicaciones'!E415&lt;&gt;"Abierta","Fuera por estatus","Coordenadas pendientes"))</x:f>
        <x:v>Ubicable</x:v>
      </x:c>
    </x:row>
    <x:row r="416" ht="23" customHeight="1">
      <x:c r="A416" s="45" t="str">
        <x:f>'Ubicaciones'!C416</x:f>
        <x:v>38665</x:v>
      </x:c>
      <x:c r="B416" s="45" t="str">
        <x:f>'Ubicaciones'!A416</x:f>
        <x:v>Bajío</x:v>
      </x:c>
      <x:c r="C416" s="45" t="str">
        <x:f>'Ubicaciones'!B416</x:f>
        <x:v>Elizabeth Berenice Chaires Espinoza</x:v>
      </x:c>
      <x:c r="D416" s="45" t="str">
        <x:f>IF(COUNTIFS('Catalogos'!$A$2:$A$41,B416,'Catalogos'!$B$2:$B$41,C416)&gt;0,"Correcta","Revisar Región DM")</x:f>
        <x:v>Correcta</x:v>
      </x:c>
      <x:c r="E416" s="45" t="str">
        <x:f>IF(COUNTIFS('Ubicaciones'!$C$2:$C$10001,A416)=1,"Único","Duplicado")</x:f>
        <x:v>Único</x:v>
      </x:c>
      <x:c r="F416" s="45" t="str">
        <x:f>IF('Ubicaciones'!T416=1,"Ubicable",IF('Ubicaciones'!E416&lt;&gt;"Abierta","Fuera por estatus","Coordenadas pendientes"))</x:f>
        <x:v>Ubicable</x:v>
      </x:c>
    </x:row>
    <x:row r="417" ht="23" customHeight="1">
      <x:c r="A417" s="45" t="str">
        <x:f>'Ubicaciones'!C417</x:f>
        <x:v>38669</x:v>
      </x:c>
      <x:c r="B417" s="45" t="str">
        <x:f>'Ubicaciones'!A417</x:f>
        <x:v>Bajío</x:v>
      </x:c>
      <x:c r="C417" s="45" t="str">
        <x:f>'Ubicaciones'!B417</x:f>
        <x:v>Elizabeth Berenice Chaires Espinoza</x:v>
      </x:c>
      <x:c r="D417" s="45" t="str">
        <x:f>IF(COUNTIFS('Catalogos'!$A$2:$A$41,B417,'Catalogos'!$B$2:$B$41,C417)&gt;0,"Correcta","Revisar Región DM")</x:f>
        <x:v>Correcta</x:v>
      </x:c>
      <x:c r="E417" s="45" t="str">
        <x:f>IF(COUNTIFS('Ubicaciones'!$C$2:$C$10001,A417)=1,"Único","Duplicado")</x:f>
        <x:v>Único</x:v>
      </x:c>
      <x:c r="F417" s="45" t="str">
        <x:f>IF('Ubicaciones'!T417=1,"Ubicable",IF('Ubicaciones'!E417&lt;&gt;"Abierta","Fuera por estatus","Coordenadas pendientes"))</x:f>
        <x:v>Ubicable</x:v>
      </x:c>
    </x:row>
    <x:row r="418" ht="23" customHeight="1">
      <x:c r="A418" s="45" t="str">
        <x:f>'Ubicaciones'!C418</x:f>
        <x:v>38689</x:v>
      </x:c>
      <x:c r="B418" s="45" t="str">
        <x:f>'Ubicaciones'!A418</x:f>
        <x:v>Bajío</x:v>
      </x:c>
      <x:c r="C418" s="45" t="str">
        <x:f>'Ubicaciones'!B418</x:f>
        <x:v>Elizabeth Berenice Chaires Espinoza</x:v>
      </x:c>
      <x:c r="D418" s="45" t="str">
        <x:f>IF(COUNTIFS('Catalogos'!$A$2:$A$41,B418,'Catalogos'!$B$2:$B$41,C418)&gt;0,"Correcta","Revisar Región DM")</x:f>
        <x:v>Correcta</x:v>
      </x:c>
      <x:c r="E418" s="45" t="str">
        <x:f>IF(COUNTIFS('Ubicaciones'!$C$2:$C$10001,A418)=1,"Único","Duplicado")</x:f>
        <x:v>Único</x:v>
      </x:c>
      <x:c r="F418" s="45" t="str">
        <x:f>IF('Ubicaciones'!T418=1,"Ubicable",IF('Ubicaciones'!E418&lt;&gt;"Abierta","Fuera por estatus","Coordenadas pendientes"))</x:f>
        <x:v>Ubicable</x:v>
      </x:c>
    </x:row>
    <x:row r="419" ht="23" customHeight="1">
      <x:c r="A419" s="45" t="str">
        <x:f>'Ubicaciones'!C419</x:f>
        <x:v>38735</x:v>
      </x:c>
      <x:c r="B419" s="45" t="str">
        <x:f>'Ubicaciones'!A419</x:f>
        <x:v>Bajío</x:v>
      </x:c>
      <x:c r="C419" s="45" t="str">
        <x:f>'Ubicaciones'!B419</x:f>
        <x:v>Elizabeth Berenice Chaires Espinoza</x:v>
      </x:c>
      <x:c r="D419" s="45" t="str">
        <x:f>IF(COUNTIFS('Catalogos'!$A$2:$A$41,B419,'Catalogos'!$B$2:$B$41,C419)&gt;0,"Correcta","Revisar Región DM")</x:f>
        <x:v>Correcta</x:v>
      </x:c>
      <x:c r="E419" s="45" t="str">
        <x:f>IF(COUNTIFS('Ubicaciones'!$C$2:$C$10001,A419)=1,"Único","Duplicado")</x:f>
        <x:v>Único</x:v>
      </x:c>
      <x:c r="F419" s="45" t="str">
        <x:f>IF('Ubicaciones'!T419=1,"Ubicable",IF('Ubicaciones'!E419&lt;&gt;"Abierta","Fuera por estatus","Coordenadas pendientes"))</x:f>
        <x:v>Ubicable</x:v>
      </x:c>
    </x:row>
    <x:row r="420" ht="23" customHeight="1">
      <x:c r="A420" s="45" t="str">
        <x:f>'Ubicaciones'!C420</x:f>
        <x:v>38818</x:v>
      </x:c>
      <x:c r="B420" s="45" t="str">
        <x:f>'Ubicaciones'!A420</x:f>
        <x:v>Bajío</x:v>
      </x:c>
      <x:c r="C420" s="45" t="str">
        <x:f>'Ubicaciones'!B420</x:f>
        <x:v>Elizabeth Berenice Chaires Espinoza</x:v>
      </x:c>
      <x:c r="D420" s="45" t="str">
        <x:f>IF(COUNTIFS('Catalogos'!$A$2:$A$41,B420,'Catalogos'!$B$2:$B$41,C420)&gt;0,"Correcta","Revisar Región DM")</x:f>
        <x:v>Correcta</x:v>
      </x:c>
      <x:c r="E420" s="45" t="str">
        <x:f>IF(COUNTIFS('Ubicaciones'!$C$2:$C$10001,A420)=1,"Único","Duplicado")</x:f>
        <x:v>Único</x:v>
      </x:c>
      <x:c r="F420" s="45" t="str">
        <x:f>IF('Ubicaciones'!T420=1,"Ubicable",IF('Ubicaciones'!E420&lt;&gt;"Abierta","Fuera por estatus","Coordenadas pendientes"))</x:f>
        <x:v>Ubicable</x:v>
      </x:c>
    </x:row>
    <x:row r="421" ht="23" customHeight="1">
      <x:c r="A421" s="45" t="str">
        <x:f>'Ubicaciones'!C421</x:f>
        <x:v>38953</x:v>
      </x:c>
      <x:c r="B421" s="45" t="str">
        <x:f>'Ubicaciones'!A421</x:f>
        <x:v>Bajío</x:v>
      </x:c>
      <x:c r="C421" s="45" t="str">
        <x:f>'Ubicaciones'!B421</x:f>
        <x:v>Elizabeth Berenice Chaires Espinoza</x:v>
      </x:c>
      <x:c r="D421" s="45" t="str">
        <x:f>IF(COUNTIFS('Catalogos'!$A$2:$A$41,B421,'Catalogos'!$B$2:$B$41,C421)&gt;0,"Correcta","Revisar Región DM")</x:f>
        <x:v>Correcta</x:v>
      </x:c>
      <x:c r="E421" s="45" t="str">
        <x:f>IF(COUNTIFS('Ubicaciones'!$C$2:$C$10001,A421)=1,"Único","Duplicado")</x:f>
        <x:v>Único</x:v>
      </x:c>
      <x:c r="F421" s="45" t="str">
        <x:f>IF('Ubicaciones'!T421=1,"Ubicable",IF('Ubicaciones'!E421&lt;&gt;"Abierta","Fuera por estatus","Coordenadas pendientes"))</x:f>
        <x:v>Ubicable</x:v>
      </x:c>
    </x:row>
    <x:row r="422" ht="23" customHeight="1">
      <x:c r="A422" s="45" t="str">
        <x:f>'Ubicaciones'!C422</x:f>
        <x:v>43050</x:v>
      </x:c>
      <x:c r="B422" s="45" t="str">
        <x:f>'Ubicaciones'!A422</x:f>
        <x:v>Bajío</x:v>
      </x:c>
      <x:c r="C422" s="45" t="str">
        <x:f>'Ubicaciones'!B422</x:f>
        <x:v>Elizabeth Berenice Chaires Espinoza</x:v>
      </x:c>
      <x:c r="D422" s="45" t="str">
        <x:f>IF(COUNTIFS('Catalogos'!$A$2:$A$41,B422,'Catalogos'!$B$2:$B$41,C422)&gt;0,"Correcta","Revisar Región DM")</x:f>
        <x:v>Correcta</x:v>
      </x:c>
      <x:c r="E422" s="45" t="str">
        <x:f>IF(COUNTIFS('Ubicaciones'!$C$2:$C$10001,A422)=1,"Único","Duplicado")</x:f>
        <x:v>Único</x:v>
      </x:c>
      <x:c r="F422" s="45" t="str">
        <x:f>IF('Ubicaciones'!T422=1,"Ubicable",IF('Ubicaciones'!E422&lt;&gt;"Abierta","Fuera por estatus","Coordenadas pendientes"))</x:f>
        <x:v>Ubicable</x:v>
      </x:c>
    </x:row>
    <x:row r="423" ht="23" customHeight="1">
      <x:c r="A423" s="45" t="str">
        <x:f>'Ubicaciones'!C423</x:f>
        <x:v>43071</x:v>
      </x:c>
      <x:c r="B423" s="45" t="str">
        <x:f>'Ubicaciones'!A423</x:f>
        <x:v>Bajío</x:v>
      </x:c>
      <x:c r="C423" s="45" t="str">
        <x:f>'Ubicaciones'!B423</x:f>
        <x:v>Elizabeth Berenice Chaires Espinoza</x:v>
      </x:c>
      <x:c r="D423" s="45" t="str">
        <x:f>IF(COUNTIFS('Catalogos'!$A$2:$A$41,B423,'Catalogos'!$B$2:$B$41,C423)&gt;0,"Correcta","Revisar Región DM")</x:f>
        <x:v>Correcta</x:v>
      </x:c>
      <x:c r="E423" s="45" t="str">
        <x:f>IF(COUNTIFS('Ubicaciones'!$C$2:$C$10001,A423)=1,"Único","Duplicado")</x:f>
        <x:v>Único</x:v>
      </x:c>
      <x:c r="F423" s="45" t="str">
        <x:f>IF('Ubicaciones'!T423=1,"Ubicable",IF('Ubicaciones'!E423&lt;&gt;"Abierta","Fuera por estatus","Coordenadas pendientes"))</x:f>
        <x:v>Ubicable</x:v>
      </x:c>
    </x:row>
    <x:row r="424" ht="23" customHeight="1">
      <x:c r="A424" s="45" t="str">
        <x:f>'Ubicaciones'!C424</x:f>
        <x:v>38268</x:v>
      </x:c>
      <x:c r="B424" s="45" t="str">
        <x:f>'Ubicaciones'!A424</x:f>
        <x:v>Bajío</x:v>
      </x:c>
      <x:c r="C424" s="45" t="str">
        <x:f>'Ubicaciones'!B424</x:f>
        <x:v>Gloria Montiel Piñon</x:v>
      </x:c>
      <x:c r="D424" s="45" t="str">
        <x:f>IF(COUNTIFS('Catalogos'!$A$2:$A$41,B424,'Catalogos'!$B$2:$B$41,C424)&gt;0,"Correcta","Revisar Región DM")</x:f>
        <x:v>Correcta</x:v>
      </x:c>
      <x:c r="E424" s="45" t="str">
        <x:f>IF(COUNTIFS('Ubicaciones'!$C$2:$C$10001,A424)=1,"Único","Duplicado")</x:f>
        <x:v>Único</x:v>
      </x:c>
      <x:c r="F424" s="45" t="str">
        <x:f>IF('Ubicaciones'!T424=1,"Ubicable",IF('Ubicaciones'!E424&lt;&gt;"Abierta","Fuera por estatus","Coordenadas pendientes"))</x:f>
        <x:v>Ubicable</x:v>
      </x:c>
    </x:row>
    <x:row r="425" ht="23" customHeight="1">
      <x:c r="A425" s="45" t="str">
        <x:f>'Ubicaciones'!C425</x:f>
        <x:v>38286</x:v>
      </x:c>
      <x:c r="B425" s="45" t="str">
        <x:f>'Ubicaciones'!A425</x:f>
        <x:v>Bajío</x:v>
      </x:c>
      <x:c r="C425" s="45" t="str">
        <x:f>'Ubicaciones'!B425</x:f>
        <x:v>Gloria Montiel Piñon</x:v>
      </x:c>
      <x:c r="D425" s="45" t="str">
        <x:f>IF(COUNTIFS('Catalogos'!$A$2:$A$41,B425,'Catalogos'!$B$2:$B$41,C425)&gt;0,"Correcta","Revisar Región DM")</x:f>
        <x:v>Correcta</x:v>
      </x:c>
      <x:c r="E425" s="45" t="str">
        <x:f>IF(COUNTIFS('Ubicaciones'!$C$2:$C$10001,A425)=1,"Único","Duplicado")</x:f>
        <x:v>Único</x:v>
      </x:c>
      <x:c r="F425" s="45" t="str">
        <x:f>IF('Ubicaciones'!T425=1,"Ubicable",IF('Ubicaciones'!E425&lt;&gt;"Abierta","Fuera por estatus","Coordenadas pendientes"))</x:f>
        <x:v>Ubicable</x:v>
      </x:c>
    </x:row>
    <x:row r="426" ht="23" customHeight="1">
      <x:c r="A426" s="45" t="str">
        <x:f>'Ubicaciones'!C426</x:f>
        <x:v>38601</x:v>
      </x:c>
      <x:c r="B426" s="45" t="str">
        <x:f>'Ubicaciones'!A426</x:f>
        <x:v>Bajío</x:v>
      </x:c>
      <x:c r="C426" s="45" t="str">
        <x:f>'Ubicaciones'!B426</x:f>
        <x:v>Gloria Montiel Piñon</x:v>
      </x:c>
      <x:c r="D426" s="45" t="str">
        <x:f>IF(COUNTIFS('Catalogos'!$A$2:$A$41,B426,'Catalogos'!$B$2:$B$41,C426)&gt;0,"Correcta","Revisar Región DM")</x:f>
        <x:v>Correcta</x:v>
      </x:c>
      <x:c r="E426" s="45" t="str">
        <x:f>IF(COUNTIFS('Ubicaciones'!$C$2:$C$10001,A426)=1,"Único","Duplicado")</x:f>
        <x:v>Único</x:v>
      </x:c>
      <x:c r="F426" s="45" t="str">
        <x:f>IF('Ubicaciones'!T426=1,"Ubicable",IF('Ubicaciones'!E426&lt;&gt;"Abierta","Fuera por estatus","Coordenadas pendientes"))</x:f>
        <x:v>Ubicable</x:v>
      </x:c>
    </x:row>
    <x:row r="427" ht="23" customHeight="1">
      <x:c r="A427" s="45" t="str">
        <x:f>'Ubicaciones'!C427</x:f>
        <x:v>38642</x:v>
      </x:c>
      <x:c r="B427" s="45" t="str">
        <x:f>'Ubicaciones'!A427</x:f>
        <x:v>Bajío</x:v>
      </x:c>
      <x:c r="C427" s="45" t="str">
        <x:f>'Ubicaciones'!B427</x:f>
        <x:v>Gloria Montiel Piñon</x:v>
      </x:c>
      <x:c r="D427" s="45" t="str">
        <x:f>IF(COUNTIFS('Catalogos'!$A$2:$A$41,B427,'Catalogos'!$B$2:$B$41,C427)&gt;0,"Correcta","Revisar Región DM")</x:f>
        <x:v>Correcta</x:v>
      </x:c>
      <x:c r="E427" s="45" t="str">
        <x:f>IF(COUNTIFS('Ubicaciones'!$C$2:$C$10001,A427)=1,"Único","Duplicado")</x:f>
        <x:v>Único</x:v>
      </x:c>
      <x:c r="F427" s="45" t="str">
        <x:f>IF('Ubicaciones'!T427=1,"Ubicable",IF('Ubicaciones'!E427&lt;&gt;"Abierta","Fuera por estatus","Coordenadas pendientes"))</x:f>
        <x:v>Ubicable</x:v>
      </x:c>
    </x:row>
    <x:row r="428" ht="23" customHeight="1">
      <x:c r="A428" s="45" t="str">
        <x:f>'Ubicaciones'!C428</x:f>
        <x:v>38729</x:v>
      </x:c>
      <x:c r="B428" s="45" t="str">
        <x:f>'Ubicaciones'!A428</x:f>
        <x:v>Bajío</x:v>
      </x:c>
      <x:c r="C428" s="45" t="str">
        <x:f>'Ubicaciones'!B428</x:f>
        <x:v>Gloria Montiel Piñon</x:v>
      </x:c>
      <x:c r="D428" s="45" t="str">
        <x:f>IF(COUNTIFS('Catalogos'!$A$2:$A$41,B428,'Catalogos'!$B$2:$B$41,C428)&gt;0,"Correcta","Revisar Región DM")</x:f>
        <x:v>Correcta</x:v>
      </x:c>
      <x:c r="E428" s="45" t="str">
        <x:f>IF(COUNTIFS('Ubicaciones'!$C$2:$C$10001,A428)=1,"Único","Duplicado")</x:f>
        <x:v>Único</x:v>
      </x:c>
      <x:c r="F428" s="45" t="str">
        <x:f>IF('Ubicaciones'!T428=1,"Ubicable",IF('Ubicaciones'!E428&lt;&gt;"Abierta","Fuera por estatus","Coordenadas pendientes"))</x:f>
        <x:v>Ubicable</x:v>
      </x:c>
    </x:row>
    <x:row r="429" ht="23" customHeight="1">
      <x:c r="A429" s="45" t="str">
        <x:f>'Ubicaciones'!C429</x:f>
        <x:v>38809</x:v>
      </x:c>
      <x:c r="B429" s="45" t="str">
        <x:f>'Ubicaciones'!A429</x:f>
        <x:v>Bajío</x:v>
      </x:c>
      <x:c r="C429" s="45" t="str">
        <x:f>'Ubicaciones'!B429</x:f>
        <x:v>Gloria Montiel Piñon</x:v>
      </x:c>
      <x:c r="D429" s="45" t="str">
        <x:f>IF(COUNTIFS('Catalogos'!$A$2:$A$41,B429,'Catalogos'!$B$2:$B$41,C429)&gt;0,"Correcta","Revisar Región DM")</x:f>
        <x:v>Correcta</x:v>
      </x:c>
      <x:c r="E429" s="45" t="str">
        <x:f>IF(COUNTIFS('Ubicaciones'!$C$2:$C$10001,A429)=1,"Único","Duplicado")</x:f>
        <x:v>Único</x:v>
      </x:c>
      <x:c r="F429" s="45" t="str">
        <x:f>IF('Ubicaciones'!T429=1,"Ubicable",IF('Ubicaciones'!E429&lt;&gt;"Abierta","Fuera por estatus","Coordenadas pendientes"))</x:f>
        <x:v>Ubicable</x:v>
      </x:c>
    </x:row>
    <x:row r="430" ht="23" customHeight="1">
      <x:c r="A430" s="45" t="str">
        <x:f>'Ubicaciones'!C430</x:f>
        <x:v>38812</x:v>
      </x:c>
      <x:c r="B430" s="45" t="str">
        <x:f>'Ubicaciones'!A430</x:f>
        <x:v>Bajío</x:v>
      </x:c>
      <x:c r="C430" s="45" t="str">
        <x:f>'Ubicaciones'!B430</x:f>
        <x:v>Gloria Montiel Piñon</x:v>
      </x:c>
      <x:c r="D430" s="45" t="str">
        <x:f>IF(COUNTIFS('Catalogos'!$A$2:$A$41,B430,'Catalogos'!$B$2:$B$41,C430)&gt;0,"Correcta","Revisar Región DM")</x:f>
        <x:v>Correcta</x:v>
      </x:c>
      <x:c r="E430" s="45" t="str">
        <x:f>IF(COUNTIFS('Ubicaciones'!$C$2:$C$10001,A430)=1,"Único","Duplicado")</x:f>
        <x:v>Único</x:v>
      </x:c>
      <x:c r="F430" s="45" t="str">
        <x:f>IF('Ubicaciones'!T430=1,"Ubicable",IF('Ubicaciones'!E430&lt;&gt;"Abierta","Fuera por estatus","Coordenadas pendientes"))</x:f>
        <x:v>Ubicable</x:v>
      </x:c>
    </x:row>
    <x:row r="431" ht="23" customHeight="1">
      <x:c r="A431" s="45" t="str">
        <x:f>'Ubicaciones'!C431</x:f>
        <x:v>38832</x:v>
      </x:c>
      <x:c r="B431" s="45" t="str">
        <x:f>'Ubicaciones'!A431</x:f>
        <x:v>Bajío</x:v>
      </x:c>
      <x:c r="C431" s="45" t="str">
        <x:f>'Ubicaciones'!B431</x:f>
        <x:v>Gloria Montiel Piñon</x:v>
      </x:c>
      <x:c r="D431" s="45" t="str">
        <x:f>IF(COUNTIFS('Catalogos'!$A$2:$A$41,B431,'Catalogos'!$B$2:$B$41,C431)&gt;0,"Correcta","Revisar Región DM")</x:f>
        <x:v>Correcta</x:v>
      </x:c>
      <x:c r="E431" s="45" t="str">
        <x:f>IF(COUNTIFS('Ubicaciones'!$C$2:$C$10001,A431)=1,"Único","Duplicado")</x:f>
        <x:v>Único</x:v>
      </x:c>
      <x:c r="F431" s="45" t="str">
        <x:f>IF('Ubicaciones'!T431=1,"Ubicable",IF('Ubicaciones'!E431&lt;&gt;"Abierta","Fuera por estatus","Coordenadas pendientes"))</x:f>
        <x:v>Ubicable</x:v>
      </x:c>
    </x:row>
    <x:row r="432" ht="23" customHeight="1">
      <x:c r="A432" s="45" t="str">
        <x:f>'Ubicaciones'!C432</x:f>
        <x:v>38899</x:v>
      </x:c>
      <x:c r="B432" s="45" t="str">
        <x:f>'Ubicaciones'!A432</x:f>
        <x:v>Bajío</x:v>
      </x:c>
      <x:c r="C432" s="45" t="str">
        <x:f>'Ubicaciones'!B432</x:f>
        <x:v>Gloria Montiel Piñon</x:v>
      </x:c>
      <x:c r="D432" s="45" t="str">
        <x:f>IF(COUNTIFS('Catalogos'!$A$2:$A$41,B432,'Catalogos'!$B$2:$B$41,C432)&gt;0,"Correcta","Revisar Región DM")</x:f>
        <x:v>Correcta</x:v>
      </x:c>
      <x:c r="E432" s="45" t="str">
        <x:f>IF(COUNTIFS('Ubicaciones'!$C$2:$C$10001,A432)=1,"Único","Duplicado")</x:f>
        <x:v>Único</x:v>
      </x:c>
      <x:c r="F432" s="45" t="str">
        <x:f>IF('Ubicaciones'!T432=1,"Ubicable",IF('Ubicaciones'!E432&lt;&gt;"Abierta","Fuera por estatus","Coordenadas pendientes"))</x:f>
        <x:v>Ubicable</x:v>
      </x:c>
    </x:row>
    <x:row r="433" ht="23" customHeight="1">
      <x:c r="A433" s="45" t="str">
        <x:f>'Ubicaciones'!C433</x:f>
        <x:v>38997</x:v>
      </x:c>
      <x:c r="B433" s="45" t="str">
        <x:f>'Ubicaciones'!A433</x:f>
        <x:v>Bajío</x:v>
      </x:c>
      <x:c r="C433" s="45" t="str">
        <x:f>'Ubicaciones'!B433</x:f>
        <x:v>Gloria Montiel Piñon</x:v>
      </x:c>
      <x:c r="D433" s="45" t="str">
        <x:f>IF(COUNTIFS('Catalogos'!$A$2:$A$41,B433,'Catalogos'!$B$2:$B$41,C433)&gt;0,"Correcta","Revisar Región DM")</x:f>
        <x:v>Correcta</x:v>
      </x:c>
      <x:c r="E433" s="45" t="str">
        <x:f>IF(COUNTIFS('Ubicaciones'!$C$2:$C$10001,A433)=1,"Único","Duplicado")</x:f>
        <x:v>Único</x:v>
      </x:c>
      <x:c r="F433" s="45" t="str">
        <x:f>IF('Ubicaciones'!T433=1,"Ubicable",IF('Ubicaciones'!E433&lt;&gt;"Abierta","Fuera por estatus","Coordenadas pendientes"))</x:f>
        <x:v>Ubicable</x:v>
      </x:c>
    </x:row>
    <x:row r="434" ht="23" customHeight="1">
      <x:c r="A434" s="45" t="str">
        <x:f>'Ubicaciones'!C434</x:f>
        <x:v>43209</x:v>
      </x:c>
      <x:c r="B434" s="45" t="str">
        <x:f>'Ubicaciones'!A434</x:f>
        <x:v>Bajío</x:v>
      </x:c>
      <x:c r="C434" s="45" t="str">
        <x:f>'Ubicaciones'!B434</x:f>
        <x:v>Gloria Montiel Piñon</x:v>
      </x:c>
      <x:c r="D434" s="45" t="str">
        <x:f>IF(COUNTIFS('Catalogos'!$A$2:$A$41,B434,'Catalogos'!$B$2:$B$41,C434)&gt;0,"Correcta","Revisar Región DM")</x:f>
        <x:v>Correcta</x:v>
      </x:c>
      <x:c r="E434" s="45" t="str">
        <x:f>IF(COUNTIFS('Ubicaciones'!$C$2:$C$10001,A434)=1,"Único","Duplicado")</x:f>
        <x:v>Único</x:v>
      </x:c>
      <x:c r="F434" s="45" t="str">
        <x:f>IF('Ubicaciones'!T434=1,"Ubicable",IF('Ubicaciones'!E434&lt;&gt;"Abierta","Fuera por estatus","Coordenadas pendientes"))</x:f>
        <x:v>Ubicable</x:v>
      </x:c>
    </x:row>
    <x:row r="435" ht="23" customHeight="1">
      <x:c r="A435" s="45" t="str">
        <x:f>'Ubicaciones'!C435</x:f>
        <x:v>38377</x:v>
      </x:c>
      <x:c r="B435" s="45" t="str">
        <x:f>'Ubicaciones'!A435</x:f>
        <x:v>Bajío</x:v>
      </x:c>
      <x:c r="C435" s="45" t="str">
        <x:f>'Ubicaciones'!B435</x:f>
        <x:v>Joel Pereda Rojas</x:v>
      </x:c>
      <x:c r="D435" s="45" t="str">
        <x:f>IF(COUNTIFS('Catalogos'!$A$2:$A$41,B435,'Catalogos'!$B$2:$B$41,C435)&gt;0,"Correcta","Revisar Región DM")</x:f>
        <x:v>Correcta</x:v>
      </x:c>
      <x:c r="E435" s="45" t="str">
        <x:f>IF(COUNTIFS('Ubicaciones'!$C$2:$C$10001,A435)=1,"Único","Duplicado")</x:f>
        <x:v>Único</x:v>
      </x:c>
      <x:c r="F435" s="45" t="str">
        <x:f>IF('Ubicaciones'!T435=1,"Ubicable",IF('Ubicaciones'!E435&lt;&gt;"Abierta","Fuera por estatus","Coordenadas pendientes"))</x:f>
        <x:v>Ubicable</x:v>
      </x:c>
    </x:row>
    <x:row r="436" ht="23" customHeight="1">
      <x:c r="A436" s="45" t="str">
        <x:f>'Ubicaciones'!C436</x:f>
        <x:v>38480</x:v>
      </x:c>
      <x:c r="B436" s="45" t="str">
        <x:f>'Ubicaciones'!A436</x:f>
        <x:v>Bajío</x:v>
      </x:c>
      <x:c r="C436" s="45" t="str">
        <x:f>'Ubicaciones'!B436</x:f>
        <x:v>Joel Pereda Rojas</x:v>
      </x:c>
      <x:c r="D436" s="45" t="str">
        <x:f>IF(COUNTIFS('Catalogos'!$A$2:$A$41,B436,'Catalogos'!$B$2:$B$41,C436)&gt;0,"Correcta","Revisar Región DM")</x:f>
        <x:v>Correcta</x:v>
      </x:c>
      <x:c r="E436" s="45" t="str">
        <x:f>IF(COUNTIFS('Ubicaciones'!$C$2:$C$10001,A436)=1,"Único","Duplicado")</x:f>
        <x:v>Único</x:v>
      </x:c>
      <x:c r="F436" s="45" t="str">
        <x:f>IF('Ubicaciones'!T436=1,"Ubicable",IF('Ubicaciones'!E436&lt;&gt;"Abierta","Fuera por estatus","Coordenadas pendientes"))</x:f>
        <x:v>Ubicable</x:v>
      </x:c>
    </x:row>
    <x:row r="437" ht="23" customHeight="1">
      <x:c r="A437" s="45" t="str">
        <x:f>'Ubicaciones'!C437</x:f>
        <x:v>38559</x:v>
      </x:c>
      <x:c r="B437" s="45" t="str">
        <x:f>'Ubicaciones'!A437</x:f>
        <x:v>Bajío</x:v>
      </x:c>
      <x:c r="C437" s="45" t="str">
        <x:f>'Ubicaciones'!B437</x:f>
        <x:v>Joel Pereda Rojas</x:v>
      </x:c>
      <x:c r="D437" s="45" t="str">
        <x:f>IF(COUNTIFS('Catalogos'!$A$2:$A$41,B437,'Catalogos'!$B$2:$B$41,C437)&gt;0,"Correcta","Revisar Región DM")</x:f>
        <x:v>Correcta</x:v>
      </x:c>
      <x:c r="E437" s="45" t="str">
        <x:f>IF(COUNTIFS('Ubicaciones'!$C$2:$C$10001,A437)=1,"Único","Duplicado")</x:f>
        <x:v>Único</x:v>
      </x:c>
      <x:c r="F437" s="45" t="str">
        <x:f>IF('Ubicaciones'!T437=1,"Ubicable",IF('Ubicaciones'!E437&lt;&gt;"Abierta","Fuera por estatus","Coordenadas pendientes"))</x:f>
        <x:v>Ubicable</x:v>
      </x:c>
    </x:row>
    <x:row r="438" ht="23" customHeight="1">
      <x:c r="A438" s="45" t="str">
        <x:f>'Ubicaciones'!C438</x:f>
        <x:v>38629</x:v>
      </x:c>
      <x:c r="B438" s="45" t="str">
        <x:f>'Ubicaciones'!A438</x:f>
        <x:v>Bajío</x:v>
      </x:c>
      <x:c r="C438" s="45" t="str">
        <x:f>'Ubicaciones'!B438</x:f>
        <x:v>Joel Pereda Rojas</x:v>
      </x:c>
      <x:c r="D438" s="45" t="str">
        <x:f>IF(COUNTIFS('Catalogos'!$A$2:$A$41,B438,'Catalogos'!$B$2:$B$41,C438)&gt;0,"Correcta","Revisar Región DM")</x:f>
        <x:v>Correcta</x:v>
      </x:c>
      <x:c r="E438" s="45" t="str">
        <x:f>IF(COUNTIFS('Ubicaciones'!$C$2:$C$10001,A438)=1,"Único","Duplicado")</x:f>
        <x:v>Único</x:v>
      </x:c>
      <x:c r="F438" s="45" t="str">
        <x:f>IF('Ubicaciones'!T438=1,"Ubicable",IF('Ubicaciones'!E438&lt;&gt;"Abierta","Fuera por estatus","Coordenadas pendientes"))</x:f>
        <x:v>Ubicable</x:v>
      </x:c>
    </x:row>
    <x:row r="439" ht="23" customHeight="1">
      <x:c r="A439" s="45" t="str">
        <x:f>'Ubicaciones'!C439</x:f>
        <x:v>38750</x:v>
      </x:c>
      <x:c r="B439" s="45" t="str">
        <x:f>'Ubicaciones'!A439</x:f>
        <x:v>Bajío</x:v>
      </x:c>
      <x:c r="C439" s="45" t="str">
        <x:f>'Ubicaciones'!B439</x:f>
        <x:v>Joel Pereda Rojas</x:v>
      </x:c>
      <x:c r="D439" s="45" t="str">
        <x:f>IF(COUNTIFS('Catalogos'!$A$2:$A$41,B439,'Catalogos'!$B$2:$B$41,C439)&gt;0,"Correcta","Revisar Región DM")</x:f>
        <x:v>Correcta</x:v>
      </x:c>
      <x:c r="E439" s="45" t="str">
        <x:f>IF(COUNTIFS('Ubicaciones'!$C$2:$C$10001,A439)=1,"Único","Duplicado")</x:f>
        <x:v>Único</x:v>
      </x:c>
      <x:c r="F439" s="45" t="str">
        <x:f>IF('Ubicaciones'!T439=1,"Ubicable",IF('Ubicaciones'!E439&lt;&gt;"Abierta","Fuera por estatus","Coordenadas pendientes"))</x:f>
        <x:v>Ubicable</x:v>
      </x:c>
    </x:row>
    <x:row r="440" ht="23" customHeight="1">
      <x:c r="A440" s="45" t="str">
        <x:f>'Ubicaciones'!C440</x:f>
        <x:v>38846</x:v>
      </x:c>
      <x:c r="B440" s="45" t="str">
        <x:f>'Ubicaciones'!A440</x:f>
        <x:v>Bajío</x:v>
      </x:c>
      <x:c r="C440" s="45" t="str">
        <x:f>'Ubicaciones'!B440</x:f>
        <x:v>Joel Pereda Rojas</x:v>
      </x:c>
      <x:c r="D440" s="45" t="str">
        <x:f>IF(COUNTIFS('Catalogos'!$A$2:$A$41,B440,'Catalogos'!$B$2:$B$41,C440)&gt;0,"Correcta","Revisar Región DM")</x:f>
        <x:v>Correcta</x:v>
      </x:c>
      <x:c r="E440" s="45" t="str">
        <x:f>IF(COUNTIFS('Ubicaciones'!$C$2:$C$10001,A440)=1,"Único","Duplicado")</x:f>
        <x:v>Único</x:v>
      </x:c>
      <x:c r="F440" s="45" t="str">
        <x:f>IF('Ubicaciones'!T440=1,"Ubicable",IF('Ubicaciones'!E440&lt;&gt;"Abierta","Fuera por estatus","Coordenadas pendientes"))</x:f>
        <x:v>Ubicable</x:v>
      </x:c>
    </x:row>
    <x:row r="441" ht="23" customHeight="1">
      <x:c r="A441" s="45" t="str">
        <x:f>'Ubicaciones'!C441</x:f>
        <x:v>38882</x:v>
      </x:c>
      <x:c r="B441" s="45" t="str">
        <x:f>'Ubicaciones'!A441</x:f>
        <x:v>Bajío</x:v>
      </x:c>
      <x:c r="C441" s="45" t="str">
        <x:f>'Ubicaciones'!B441</x:f>
        <x:v>Joel Pereda Rojas</x:v>
      </x:c>
      <x:c r="D441" s="45" t="str">
        <x:f>IF(COUNTIFS('Catalogos'!$A$2:$A$41,B441,'Catalogos'!$B$2:$B$41,C441)&gt;0,"Correcta","Revisar Región DM")</x:f>
        <x:v>Correcta</x:v>
      </x:c>
      <x:c r="E441" s="45" t="str">
        <x:f>IF(COUNTIFS('Ubicaciones'!$C$2:$C$10001,A441)=1,"Único","Duplicado")</x:f>
        <x:v>Único</x:v>
      </x:c>
      <x:c r="F441" s="45" t="str">
        <x:f>IF('Ubicaciones'!T441=1,"Ubicable",IF('Ubicaciones'!E441&lt;&gt;"Abierta","Fuera por estatus","Coordenadas pendientes"))</x:f>
        <x:v>Ubicable</x:v>
      </x:c>
    </x:row>
    <x:row r="442" ht="23" customHeight="1">
      <x:c r="A442" s="45" t="str">
        <x:f>'Ubicaciones'!C442</x:f>
        <x:v>43055</x:v>
      </x:c>
      <x:c r="B442" s="45" t="str">
        <x:f>'Ubicaciones'!A442</x:f>
        <x:v>Bajío</x:v>
      </x:c>
      <x:c r="C442" s="45" t="str">
        <x:f>'Ubicaciones'!B442</x:f>
        <x:v>Joel Pereda Rojas</x:v>
      </x:c>
      <x:c r="D442" s="45" t="str">
        <x:f>IF(COUNTIFS('Catalogos'!$A$2:$A$41,B442,'Catalogos'!$B$2:$B$41,C442)&gt;0,"Correcta","Revisar Región DM")</x:f>
        <x:v>Correcta</x:v>
      </x:c>
      <x:c r="E442" s="45" t="str">
        <x:f>IF(COUNTIFS('Ubicaciones'!$C$2:$C$10001,A442)=1,"Único","Duplicado")</x:f>
        <x:v>Único</x:v>
      </x:c>
      <x:c r="F442" s="45" t="str">
        <x:f>IF('Ubicaciones'!T442=1,"Ubicable",IF('Ubicaciones'!E442&lt;&gt;"Abierta","Fuera por estatus","Coordenadas pendientes"))</x:f>
        <x:v>Ubicable</x:v>
      </x:c>
    </x:row>
    <x:row r="443" ht="23" customHeight="1">
      <x:c r="A443" s="45" t="str">
        <x:f>'Ubicaciones'!C443</x:f>
        <x:v>43135</x:v>
      </x:c>
      <x:c r="B443" s="45" t="str">
        <x:f>'Ubicaciones'!A443</x:f>
        <x:v>Bajío</x:v>
      </x:c>
      <x:c r="C443" s="45" t="str">
        <x:f>'Ubicaciones'!B443</x:f>
        <x:v>Joel Pereda Rojas</x:v>
      </x:c>
      <x:c r="D443" s="45" t="str">
        <x:f>IF(COUNTIFS('Catalogos'!$A$2:$A$41,B443,'Catalogos'!$B$2:$B$41,C443)&gt;0,"Correcta","Revisar Región DM")</x:f>
        <x:v>Correcta</x:v>
      </x:c>
      <x:c r="E443" s="45" t="str">
        <x:f>IF(COUNTIFS('Ubicaciones'!$C$2:$C$10001,A443)=1,"Único","Duplicado")</x:f>
        <x:v>Único</x:v>
      </x:c>
      <x:c r="F443" s="45" t="str">
        <x:f>IF('Ubicaciones'!T443=1,"Ubicable",IF('Ubicaciones'!E443&lt;&gt;"Abierta","Fuera por estatus","Coordenadas pendientes"))</x:f>
        <x:v>Ubicable</x:v>
      </x:c>
    </x:row>
    <x:row r="444" ht="23" customHeight="1">
      <x:c r="A444" s="45" t="str">
        <x:f>'Ubicaciones'!C444</x:f>
        <x:v>38305</x:v>
      </x:c>
      <x:c r="B444" s="45" t="str">
        <x:f>'Ubicaciones'!A444</x:f>
        <x:v>Bajío</x:v>
      </x:c>
      <x:c r="C444" s="45" t="str">
        <x:f>'Ubicaciones'!B444</x:f>
        <x:v>Jose Antonio Gutierrez Lopez</x:v>
      </x:c>
      <x:c r="D444" s="45" t="str">
        <x:f>IF(COUNTIFS('Catalogos'!$A$2:$A$41,B444,'Catalogos'!$B$2:$B$41,C444)&gt;0,"Correcta","Revisar Región DM")</x:f>
        <x:v>Correcta</x:v>
      </x:c>
      <x:c r="E444" s="45" t="str">
        <x:f>IF(COUNTIFS('Ubicaciones'!$C$2:$C$10001,A444)=1,"Único","Duplicado")</x:f>
        <x:v>Único</x:v>
      </x:c>
      <x:c r="F444" s="45" t="str">
        <x:f>IF('Ubicaciones'!T444=1,"Ubicable",IF('Ubicaciones'!E444&lt;&gt;"Abierta","Fuera por estatus","Coordenadas pendientes"))</x:f>
        <x:v>Ubicable</x:v>
      </x:c>
    </x:row>
    <x:row r="445" ht="23" customHeight="1">
      <x:c r="A445" s="45" t="str">
        <x:f>'Ubicaciones'!C445</x:f>
        <x:v>38860</x:v>
      </x:c>
      <x:c r="B445" s="45" t="str">
        <x:f>'Ubicaciones'!A445</x:f>
        <x:v>Bajío</x:v>
      </x:c>
      <x:c r="C445" s="45" t="str">
        <x:f>'Ubicaciones'!B445</x:f>
        <x:v>Jose Antonio Gutierrez Lopez</x:v>
      </x:c>
      <x:c r="D445" s="45" t="str">
        <x:f>IF(COUNTIFS('Catalogos'!$A$2:$A$41,B445,'Catalogos'!$B$2:$B$41,C445)&gt;0,"Correcta","Revisar Región DM")</x:f>
        <x:v>Correcta</x:v>
      </x:c>
      <x:c r="E445" s="45" t="str">
        <x:f>IF(COUNTIFS('Ubicaciones'!$C$2:$C$10001,A445)=1,"Único","Duplicado")</x:f>
        <x:v>Único</x:v>
      </x:c>
      <x:c r="F445" s="45" t="str">
        <x:f>IF('Ubicaciones'!T445=1,"Ubicable",IF('Ubicaciones'!E445&lt;&gt;"Abierta","Fuera por estatus","Coordenadas pendientes"))</x:f>
        <x:v>Ubicable</x:v>
      </x:c>
    </x:row>
    <x:row r="446" ht="23" customHeight="1">
      <x:c r="A446" s="45" t="str">
        <x:f>'Ubicaciones'!C446</x:f>
        <x:v>38885</x:v>
      </x:c>
      <x:c r="B446" s="45" t="str">
        <x:f>'Ubicaciones'!A446</x:f>
        <x:v>Bajío</x:v>
      </x:c>
      <x:c r="C446" s="45" t="str">
        <x:f>'Ubicaciones'!B446</x:f>
        <x:v>Jose Antonio Gutierrez Lopez</x:v>
      </x:c>
      <x:c r="D446" s="45" t="str">
        <x:f>IF(COUNTIFS('Catalogos'!$A$2:$A$41,B446,'Catalogos'!$B$2:$B$41,C446)&gt;0,"Correcta","Revisar Región DM")</x:f>
        <x:v>Correcta</x:v>
      </x:c>
      <x:c r="E446" s="45" t="str">
        <x:f>IF(COUNTIFS('Ubicaciones'!$C$2:$C$10001,A446)=1,"Único","Duplicado")</x:f>
        <x:v>Único</x:v>
      </x:c>
      <x:c r="F446" s="45" t="str">
        <x:f>IF('Ubicaciones'!T446=1,"Ubicable",IF('Ubicaciones'!E446&lt;&gt;"Abierta","Fuera por estatus","Coordenadas pendientes"))</x:f>
        <x:v>Ubicable</x:v>
      </x:c>
    </x:row>
    <x:row r="447" ht="23" customHeight="1">
      <x:c r="A447" s="45" t="str">
        <x:f>'Ubicaciones'!C447</x:f>
        <x:v>38895</x:v>
      </x:c>
      <x:c r="B447" s="45" t="str">
        <x:f>'Ubicaciones'!A447</x:f>
        <x:v>Bajío</x:v>
      </x:c>
      <x:c r="C447" s="45" t="str">
        <x:f>'Ubicaciones'!B447</x:f>
        <x:v>Jose Antonio Gutierrez Lopez</x:v>
      </x:c>
      <x:c r="D447" s="45" t="str">
        <x:f>IF(COUNTIFS('Catalogos'!$A$2:$A$41,B447,'Catalogos'!$B$2:$B$41,C447)&gt;0,"Correcta","Revisar Región DM")</x:f>
        <x:v>Correcta</x:v>
      </x:c>
      <x:c r="E447" s="45" t="str">
        <x:f>IF(COUNTIFS('Ubicaciones'!$C$2:$C$10001,A447)=1,"Único","Duplicado")</x:f>
        <x:v>Único</x:v>
      </x:c>
      <x:c r="F447" s="45" t="str">
        <x:f>IF('Ubicaciones'!T447=1,"Ubicable",IF('Ubicaciones'!E447&lt;&gt;"Abierta","Fuera por estatus","Coordenadas pendientes"))</x:f>
        <x:v>Ubicable</x:v>
      </x:c>
    </x:row>
    <x:row r="448" ht="23" customHeight="1">
      <x:c r="A448" s="45" t="str">
        <x:f>'Ubicaciones'!C448</x:f>
        <x:v>38945</x:v>
      </x:c>
      <x:c r="B448" s="45" t="str">
        <x:f>'Ubicaciones'!A448</x:f>
        <x:v>Bajío</x:v>
      </x:c>
      <x:c r="C448" s="45" t="str">
        <x:f>'Ubicaciones'!B448</x:f>
        <x:v>Jose Antonio Gutierrez Lopez</x:v>
      </x:c>
      <x:c r="D448" s="45" t="str">
        <x:f>IF(COUNTIFS('Catalogos'!$A$2:$A$41,B448,'Catalogos'!$B$2:$B$41,C448)&gt;0,"Correcta","Revisar Región DM")</x:f>
        <x:v>Correcta</x:v>
      </x:c>
      <x:c r="E448" s="45" t="str">
        <x:f>IF(COUNTIFS('Ubicaciones'!$C$2:$C$10001,A448)=1,"Único","Duplicado")</x:f>
        <x:v>Único</x:v>
      </x:c>
      <x:c r="F448" s="45" t="str">
        <x:f>IF('Ubicaciones'!T448=1,"Ubicable",IF('Ubicaciones'!E448&lt;&gt;"Abierta","Fuera por estatus","Coordenadas pendientes"))</x:f>
        <x:v>Ubicable</x:v>
      </x:c>
    </x:row>
    <x:row r="449" ht="23" customHeight="1">
      <x:c r="A449" s="45" t="str">
        <x:f>'Ubicaciones'!C449</x:f>
        <x:v>43036</x:v>
      </x:c>
      <x:c r="B449" s="45" t="str">
        <x:f>'Ubicaciones'!A449</x:f>
        <x:v>Bajío</x:v>
      </x:c>
      <x:c r="C449" s="45" t="str">
        <x:f>'Ubicaciones'!B449</x:f>
        <x:v>Jose Antonio Gutierrez Lopez</x:v>
      </x:c>
      <x:c r="D449" s="45" t="str">
        <x:f>IF(COUNTIFS('Catalogos'!$A$2:$A$41,B449,'Catalogos'!$B$2:$B$41,C449)&gt;0,"Correcta","Revisar Región DM")</x:f>
        <x:v>Correcta</x:v>
      </x:c>
      <x:c r="E449" s="45" t="str">
        <x:f>IF(COUNTIFS('Ubicaciones'!$C$2:$C$10001,A449)=1,"Único","Duplicado")</x:f>
        <x:v>Único</x:v>
      </x:c>
      <x:c r="F449" s="45" t="str">
        <x:f>IF('Ubicaciones'!T449=1,"Ubicable",IF('Ubicaciones'!E449&lt;&gt;"Abierta","Fuera por estatus","Coordenadas pendientes"))</x:f>
        <x:v>Ubicable</x:v>
      </x:c>
    </x:row>
    <x:row r="450" ht="23" customHeight="1">
      <x:c r="A450" s="45" t="str">
        <x:f>'Ubicaciones'!C450</x:f>
        <x:v>43040</x:v>
      </x:c>
      <x:c r="B450" s="45" t="str">
        <x:f>'Ubicaciones'!A450</x:f>
        <x:v>Bajío</x:v>
      </x:c>
      <x:c r="C450" s="45" t="str">
        <x:f>'Ubicaciones'!B450</x:f>
        <x:v>Jose Antonio Gutierrez Lopez</x:v>
      </x:c>
      <x:c r="D450" s="45" t="str">
        <x:f>IF(COUNTIFS('Catalogos'!$A$2:$A$41,B450,'Catalogos'!$B$2:$B$41,C450)&gt;0,"Correcta","Revisar Región DM")</x:f>
        <x:v>Correcta</x:v>
      </x:c>
      <x:c r="E450" s="45" t="str">
        <x:f>IF(COUNTIFS('Ubicaciones'!$C$2:$C$10001,A450)=1,"Único","Duplicado")</x:f>
        <x:v>Único</x:v>
      </x:c>
      <x:c r="F450" s="45" t="str">
        <x:f>IF('Ubicaciones'!T450=1,"Ubicable",IF('Ubicaciones'!E450&lt;&gt;"Abierta","Fuera por estatus","Coordenadas pendientes"))</x:f>
        <x:v>Ubicable</x:v>
      </x:c>
    </x:row>
    <x:row r="451" ht="23" customHeight="1">
      <x:c r="A451" s="45" t="str">
        <x:f>'Ubicaciones'!C451</x:f>
        <x:v>43125</x:v>
      </x:c>
      <x:c r="B451" s="45" t="str">
        <x:f>'Ubicaciones'!A451</x:f>
        <x:v>Bajío</x:v>
      </x:c>
      <x:c r="C451" s="45" t="str">
        <x:f>'Ubicaciones'!B451</x:f>
        <x:v>Jose Antonio Gutierrez Lopez</x:v>
      </x:c>
      <x:c r="D451" s="45" t="str">
        <x:f>IF(COUNTIFS('Catalogos'!$A$2:$A$41,B451,'Catalogos'!$B$2:$B$41,C451)&gt;0,"Correcta","Revisar Región DM")</x:f>
        <x:v>Correcta</x:v>
      </x:c>
      <x:c r="E451" s="45" t="str">
        <x:f>IF(COUNTIFS('Ubicaciones'!$C$2:$C$10001,A451)=1,"Único","Duplicado")</x:f>
        <x:v>Único</x:v>
      </x:c>
      <x:c r="F451" s="45" t="str">
        <x:f>IF('Ubicaciones'!T451=1,"Ubicable",IF('Ubicaciones'!E451&lt;&gt;"Abierta","Fuera por estatus","Coordenadas pendientes"))</x:f>
        <x:v>Ubicable</x:v>
      </x:c>
    </x:row>
    <x:row r="452" ht="23" customHeight="1">
      <x:c r="A452" s="45" t="str">
        <x:f>'Ubicaciones'!C452</x:f>
        <x:v>43149</x:v>
      </x:c>
      <x:c r="B452" s="45" t="str">
        <x:f>'Ubicaciones'!A452</x:f>
        <x:v>Bajío</x:v>
      </x:c>
      <x:c r="C452" s="45" t="str">
        <x:f>'Ubicaciones'!B452</x:f>
        <x:v>Jose Antonio Gutierrez Lopez</x:v>
      </x:c>
      <x:c r="D452" s="45" t="str">
        <x:f>IF(COUNTIFS('Catalogos'!$A$2:$A$41,B452,'Catalogos'!$B$2:$B$41,C452)&gt;0,"Correcta","Revisar Región DM")</x:f>
        <x:v>Correcta</x:v>
      </x:c>
      <x:c r="E452" s="45" t="str">
        <x:f>IF(COUNTIFS('Ubicaciones'!$C$2:$C$10001,A452)=1,"Único","Duplicado")</x:f>
        <x:v>Único</x:v>
      </x:c>
      <x:c r="F452" s="45" t="str">
        <x:f>IF('Ubicaciones'!T452=1,"Ubicable",IF('Ubicaciones'!E452&lt;&gt;"Abierta","Fuera por estatus","Coordenadas pendientes"))</x:f>
        <x:v>Ubicable</x:v>
      </x:c>
    </x:row>
    <x:row r="453" ht="23" customHeight="1">
      <x:c r="A453" s="45" t="str">
        <x:f>'Ubicaciones'!C453</x:f>
        <x:v>43155</x:v>
      </x:c>
      <x:c r="B453" s="45" t="str">
        <x:f>'Ubicaciones'!A453</x:f>
        <x:v>Bajío</x:v>
      </x:c>
      <x:c r="C453" s="45" t="str">
        <x:f>'Ubicaciones'!B453</x:f>
        <x:v>Jose Antonio Gutierrez Lopez</x:v>
      </x:c>
      <x:c r="D453" s="45" t="str">
        <x:f>IF(COUNTIFS('Catalogos'!$A$2:$A$41,B453,'Catalogos'!$B$2:$B$41,C453)&gt;0,"Correcta","Revisar Región DM")</x:f>
        <x:v>Correcta</x:v>
      </x:c>
      <x:c r="E453" s="45" t="str">
        <x:f>IF(COUNTIFS('Ubicaciones'!$C$2:$C$10001,A453)=1,"Único","Duplicado")</x:f>
        <x:v>Único</x:v>
      </x:c>
      <x:c r="F453" s="45" t="str">
        <x:f>IF('Ubicaciones'!T453=1,"Ubicable",IF('Ubicaciones'!E453&lt;&gt;"Abierta","Fuera por estatus","Coordenadas pendientes"))</x:f>
        <x:v>Ubicable</x:v>
      </x:c>
    </x:row>
    <x:row r="454" ht="23" customHeight="1">
      <x:c r="A454" s="45" t="str">
        <x:f>'Ubicaciones'!C454</x:f>
        <x:v>43200</x:v>
      </x:c>
      <x:c r="B454" s="45" t="str">
        <x:f>'Ubicaciones'!A454</x:f>
        <x:v>Bajío</x:v>
      </x:c>
      <x:c r="C454" s="45" t="str">
        <x:f>'Ubicaciones'!B454</x:f>
        <x:v>Jose Antonio Gutierrez Lopez</x:v>
      </x:c>
      <x:c r="D454" s="45" t="str">
        <x:f>IF(COUNTIFS('Catalogos'!$A$2:$A$41,B454,'Catalogos'!$B$2:$B$41,C454)&gt;0,"Correcta","Revisar Región DM")</x:f>
        <x:v>Correcta</x:v>
      </x:c>
      <x:c r="E454" s="45" t="str">
        <x:f>IF(COUNTIFS('Ubicaciones'!$C$2:$C$10001,A454)=1,"Único","Duplicado")</x:f>
        <x:v>Único</x:v>
      </x:c>
      <x:c r="F454" s="45" t="str">
        <x:f>IF('Ubicaciones'!T454=1,"Ubicable",IF('Ubicaciones'!E454&lt;&gt;"Abierta","Fuera por estatus","Coordenadas pendientes"))</x:f>
        <x:v>Fuera por estatus</x:v>
      </x:c>
    </x:row>
    <x:row r="455" ht="23" customHeight="1">
      <x:c r="A455" s="45" t="str">
        <x:f>'Ubicaciones'!C455</x:f>
        <x:v>43213</x:v>
      </x:c>
      <x:c r="B455" s="45" t="str">
        <x:f>'Ubicaciones'!A455</x:f>
        <x:v>Bajío</x:v>
      </x:c>
      <x:c r="C455" s="45" t="str">
        <x:f>'Ubicaciones'!B455</x:f>
        <x:v>Jose Antonio Gutierrez Lopez</x:v>
      </x:c>
      <x:c r="D455" s="45" t="str">
        <x:f>IF(COUNTIFS('Catalogos'!$A$2:$A$41,B455,'Catalogos'!$B$2:$B$41,C455)&gt;0,"Correcta","Revisar Región DM")</x:f>
        <x:v>Correcta</x:v>
      </x:c>
      <x:c r="E455" s="45" t="str">
        <x:f>IF(COUNTIFS('Ubicaciones'!$C$2:$C$10001,A455)=1,"Único","Duplicado")</x:f>
        <x:v>Único</x:v>
      </x:c>
      <x:c r="F455" s="45" t="str">
        <x:f>IF('Ubicaciones'!T455=1,"Ubicable",IF('Ubicaciones'!E455&lt;&gt;"Abierta","Fuera por estatus","Coordenadas pendientes"))</x:f>
        <x:v>Fuera por estatus</x:v>
      </x:c>
    </x:row>
    <x:row r="456" ht="23" customHeight="1">
      <x:c r="A456" s="45" t="str">
        <x:f>'Ubicaciones'!C456</x:f>
        <x:v>43220</x:v>
      </x:c>
      <x:c r="B456" s="45" t="str">
        <x:f>'Ubicaciones'!A456</x:f>
        <x:v>Bajío</x:v>
      </x:c>
      <x:c r="C456" s="45" t="str">
        <x:f>'Ubicaciones'!B456</x:f>
        <x:v>Jose Antonio Gutierrez Lopez</x:v>
      </x:c>
      <x:c r="D456" s="45" t="str">
        <x:f>IF(COUNTIFS('Catalogos'!$A$2:$A$41,B456,'Catalogos'!$B$2:$B$41,C456)&gt;0,"Correcta","Revisar Región DM")</x:f>
        <x:v>Correcta</x:v>
      </x:c>
      <x:c r="E456" s="45" t="str">
        <x:f>IF(COUNTIFS('Ubicaciones'!$C$2:$C$10001,A456)=1,"Único","Duplicado")</x:f>
        <x:v>Único</x:v>
      </x:c>
      <x:c r="F456" s="45" t="str">
        <x:f>IF('Ubicaciones'!T456=1,"Ubicable",IF('Ubicaciones'!E456&lt;&gt;"Abierta","Fuera por estatus","Coordenadas pendientes"))</x:f>
        <x:v>Ubicable</x:v>
      </x:c>
    </x:row>
    <x:row r="457" ht="23" customHeight="1">
      <x:c r="A457" s="45" t="str">
        <x:f>'Ubicaciones'!C457</x:f>
        <x:v>38245</x:v>
      </x:c>
      <x:c r="B457" s="45" t="str">
        <x:f>'Ubicaciones'!A457</x:f>
        <x:v>Bajío</x:v>
      </x:c>
      <x:c r="C457" s="45" t="str">
        <x:f>'Ubicaciones'!B457</x:f>
        <x:v>Josue Joatan Gonzalez Anaya</x:v>
      </x:c>
      <x:c r="D457" s="45" t="str">
        <x:f>IF(COUNTIFS('Catalogos'!$A$2:$A$41,B457,'Catalogos'!$B$2:$B$41,C457)&gt;0,"Correcta","Revisar Región DM")</x:f>
        <x:v>Correcta</x:v>
      </x:c>
      <x:c r="E457" s="45" t="str">
        <x:f>IF(COUNTIFS('Ubicaciones'!$C$2:$C$10001,A457)=1,"Único","Duplicado")</x:f>
        <x:v>Único</x:v>
      </x:c>
      <x:c r="F457" s="45" t="str">
        <x:f>IF('Ubicaciones'!T457=1,"Ubicable",IF('Ubicaciones'!E457&lt;&gt;"Abierta","Fuera por estatus","Coordenadas pendientes"))</x:f>
        <x:v>Ubicable</x:v>
      </x:c>
    </x:row>
    <x:row r="458" ht="23" customHeight="1">
      <x:c r="A458" s="45" t="str">
        <x:f>'Ubicaciones'!C458</x:f>
        <x:v>38247</x:v>
      </x:c>
      <x:c r="B458" s="45" t="str">
        <x:f>'Ubicaciones'!A458</x:f>
        <x:v>Bajío</x:v>
      </x:c>
      <x:c r="C458" s="45" t="str">
        <x:f>'Ubicaciones'!B458</x:f>
        <x:v>Josue Joatan Gonzalez Anaya</x:v>
      </x:c>
      <x:c r="D458" s="45" t="str">
        <x:f>IF(COUNTIFS('Catalogos'!$A$2:$A$41,B458,'Catalogos'!$B$2:$B$41,C458)&gt;0,"Correcta","Revisar Región DM")</x:f>
        <x:v>Correcta</x:v>
      </x:c>
      <x:c r="E458" s="45" t="str">
        <x:f>IF(COUNTIFS('Ubicaciones'!$C$2:$C$10001,A458)=1,"Único","Duplicado")</x:f>
        <x:v>Único</x:v>
      </x:c>
      <x:c r="F458" s="45" t="str">
        <x:f>IF('Ubicaciones'!T458=1,"Ubicable",IF('Ubicaciones'!E458&lt;&gt;"Abierta","Fuera por estatus","Coordenadas pendientes"))</x:f>
        <x:v>Ubicable</x:v>
      </x:c>
    </x:row>
    <x:row r="459" ht="23" customHeight="1">
      <x:c r="A459" s="45" t="str">
        <x:f>'Ubicaciones'!C459</x:f>
        <x:v>38251</x:v>
      </x:c>
      <x:c r="B459" s="45" t="str">
        <x:f>'Ubicaciones'!A459</x:f>
        <x:v>Bajío</x:v>
      </x:c>
      <x:c r="C459" s="45" t="str">
        <x:f>'Ubicaciones'!B459</x:f>
        <x:v>Josue Joatan Gonzalez Anaya</x:v>
      </x:c>
      <x:c r="D459" s="45" t="str">
        <x:f>IF(COUNTIFS('Catalogos'!$A$2:$A$41,B459,'Catalogos'!$B$2:$B$41,C459)&gt;0,"Correcta","Revisar Región DM")</x:f>
        <x:v>Correcta</x:v>
      </x:c>
      <x:c r="E459" s="45" t="str">
        <x:f>IF(COUNTIFS('Ubicaciones'!$C$2:$C$10001,A459)=1,"Único","Duplicado")</x:f>
        <x:v>Único</x:v>
      </x:c>
      <x:c r="F459" s="45" t="str">
        <x:f>IF('Ubicaciones'!T459=1,"Ubicable",IF('Ubicaciones'!E459&lt;&gt;"Abierta","Fuera por estatus","Coordenadas pendientes"))</x:f>
        <x:v>Ubicable</x:v>
      </x:c>
    </x:row>
    <x:row r="460" ht="23" customHeight="1">
      <x:c r="A460" s="45" t="str">
        <x:f>'Ubicaciones'!C460</x:f>
        <x:v>38453</x:v>
      </x:c>
      <x:c r="B460" s="45" t="str">
        <x:f>'Ubicaciones'!A460</x:f>
        <x:v>Bajío</x:v>
      </x:c>
      <x:c r="C460" s="45" t="str">
        <x:f>'Ubicaciones'!B460</x:f>
        <x:v>Josue Joatan Gonzalez Anaya</x:v>
      </x:c>
      <x:c r="D460" s="45" t="str">
        <x:f>IF(COUNTIFS('Catalogos'!$A$2:$A$41,B460,'Catalogos'!$B$2:$B$41,C460)&gt;0,"Correcta","Revisar Región DM")</x:f>
        <x:v>Correcta</x:v>
      </x:c>
      <x:c r="E460" s="45" t="str">
        <x:f>IF(COUNTIFS('Ubicaciones'!$C$2:$C$10001,A460)=1,"Único","Duplicado")</x:f>
        <x:v>Único</x:v>
      </x:c>
      <x:c r="F460" s="45" t="str">
        <x:f>IF('Ubicaciones'!T460=1,"Ubicable",IF('Ubicaciones'!E460&lt;&gt;"Abierta","Fuera por estatus","Coordenadas pendientes"))</x:f>
        <x:v>Ubicable</x:v>
      </x:c>
    </x:row>
    <x:row r="461" ht="23" customHeight="1">
      <x:c r="A461" s="45" t="str">
        <x:f>'Ubicaciones'!C461</x:f>
        <x:v>38552</x:v>
      </x:c>
      <x:c r="B461" s="45" t="str">
        <x:f>'Ubicaciones'!A461</x:f>
        <x:v>Bajío</x:v>
      </x:c>
      <x:c r="C461" s="45" t="str">
        <x:f>'Ubicaciones'!B461</x:f>
        <x:v>Josue Joatan Gonzalez Anaya</x:v>
      </x:c>
      <x:c r="D461" s="45" t="str">
        <x:f>IF(COUNTIFS('Catalogos'!$A$2:$A$41,B461,'Catalogos'!$B$2:$B$41,C461)&gt;0,"Correcta","Revisar Región DM")</x:f>
        <x:v>Correcta</x:v>
      </x:c>
      <x:c r="E461" s="45" t="str">
        <x:f>IF(COUNTIFS('Ubicaciones'!$C$2:$C$10001,A461)=1,"Único","Duplicado")</x:f>
        <x:v>Único</x:v>
      </x:c>
      <x:c r="F461" s="45" t="str">
        <x:f>IF('Ubicaciones'!T461=1,"Ubicable",IF('Ubicaciones'!E461&lt;&gt;"Abierta","Fuera por estatus","Coordenadas pendientes"))</x:f>
        <x:v>Ubicable</x:v>
      </x:c>
    </x:row>
    <x:row r="462" ht="23" customHeight="1">
      <x:c r="A462" s="45" t="str">
        <x:f>'Ubicaciones'!C462</x:f>
        <x:v>38673</x:v>
      </x:c>
      <x:c r="B462" s="45" t="str">
        <x:f>'Ubicaciones'!A462</x:f>
        <x:v>Bajío</x:v>
      </x:c>
      <x:c r="C462" s="45" t="str">
        <x:f>'Ubicaciones'!B462</x:f>
        <x:v>Josue Joatan Gonzalez Anaya</x:v>
      </x:c>
      <x:c r="D462" s="45" t="str">
        <x:f>IF(COUNTIFS('Catalogos'!$A$2:$A$41,B462,'Catalogos'!$B$2:$B$41,C462)&gt;0,"Correcta","Revisar Región DM")</x:f>
        <x:v>Correcta</x:v>
      </x:c>
      <x:c r="E462" s="45" t="str">
        <x:f>IF(COUNTIFS('Ubicaciones'!$C$2:$C$10001,A462)=1,"Único","Duplicado")</x:f>
        <x:v>Único</x:v>
      </x:c>
      <x:c r="F462" s="45" t="str">
        <x:f>IF('Ubicaciones'!T462=1,"Ubicable",IF('Ubicaciones'!E462&lt;&gt;"Abierta","Fuera por estatus","Coordenadas pendientes"))</x:f>
        <x:v>Ubicable</x:v>
      </x:c>
    </x:row>
    <x:row r="463" ht="23" customHeight="1">
      <x:c r="A463" s="45" t="str">
        <x:f>'Ubicaciones'!C463</x:f>
        <x:v>38884</x:v>
      </x:c>
      <x:c r="B463" s="45" t="str">
        <x:f>'Ubicaciones'!A463</x:f>
        <x:v>Bajío</x:v>
      </x:c>
      <x:c r="C463" s="45" t="str">
        <x:f>'Ubicaciones'!B463</x:f>
        <x:v>Josue Joatan Gonzalez Anaya</x:v>
      </x:c>
      <x:c r="D463" s="45" t="str">
        <x:f>IF(COUNTIFS('Catalogos'!$A$2:$A$41,B463,'Catalogos'!$B$2:$B$41,C463)&gt;0,"Correcta","Revisar Región DM")</x:f>
        <x:v>Correcta</x:v>
      </x:c>
      <x:c r="E463" s="45" t="str">
        <x:f>IF(COUNTIFS('Ubicaciones'!$C$2:$C$10001,A463)=1,"Único","Duplicado")</x:f>
        <x:v>Único</x:v>
      </x:c>
      <x:c r="F463" s="45" t="str">
        <x:f>IF('Ubicaciones'!T463=1,"Ubicable",IF('Ubicaciones'!E463&lt;&gt;"Abierta","Fuera por estatus","Coordenadas pendientes"))</x:f>
        <x:v>Ubicable</x:v>
      </x:c>
    </x:row>
    <x:row r="464" ht="23" customHeight="1">
      <x:c r="A464" s="45" t="str">
        <x:f>'Ubicaciones'!C464</x:f>
        <x:v>38904</x:v>
      </x:c>
      <x:c r="B464" s="45" t="str">
        <x:f>'Ubicaciones'!A464</x:f>
        <x:v>Bajío</x:v>
      </x:c>
      <x:c r="C464" s="45" t="str">
        <x:f>'Ubicaciones'!B464</x:f>
        <x:v>Josue Joatan Gonzalez Anaya</x:v>
      </x:c>
      <x:c r="D464" s="45" t="str">
        <x:f>IF(COUNTIFS('Catalogos'!$A$2:$A$41,B464,'Catalogos'!$B$2:$B$41,C464)&gt;0,"Correcta","Revisar Región DM")</x:f>
        <x:v>Correcta</x:v>
      </x:c>
      <x:c r="E464" s="45" t="str">
        <x:f>IF(COUNTIFS('Ubicaciones'!$C$2:$C$10001,A464)=1,"Único","Duplicado")</x:f>
        <x:v>Único</x:v>
      </x:c>
      <x:c r="F464" s="45" t="str">
        <x:f>IF('Ubicaciones'!T464=1,"Ubicable",IF('Ubicaciones'!E464&lt;&gt;"Abierta","Fuera por estatus","Coordenadas pendientes"))</x:f>
        <x:v>Ubicable</x:v>
      </x:c>
    </x:row>
    <x:row r="465" ht="23" customHeight="1">
      <x:c r="A465" s="45" t="str">
        <x:f>'Ubicaciones'!C465</x:f>
        <x:v>38940</x:v>
      </x:c>
      <x:c r="B465" s="45" t="str">
        <x:f>'Ubicaciones'!A465</x:f>
        <x:v>Bajío</x:v>
      </x:c>
      <x:c r="C465" s="45" t="str">
        <x:f>'Ubicaciones'!B465</x:f>
        <x:v>Josue Joatan Gonzalez Anaya</x:v>
      </x:c>
      <x:c r="D465" s="45" t="str">
        <x:f>IF(COUNTIFS('Catalogos'!$A$2:$A$41,B465,'Catalogos'!$B$2:$B$41,C465)&gt;0,"Correcta","Revisar Región DM")</x:f>
        <x:v>Correcta</x:v>
      </x:c>
      <x:c r="E465" s="45" t="str">
        <x:f>IF(COUNTIFS('Ubicaciones'!$C$2:$C$10001,A465)=1,"Único","Duplicado")</x:f>
        <x:v>Único</x:v>
      </x:c>
      <x:c r="F465" s="45" t="str">
        <x:f>IF('Ubicaciones'!T465=1,"Ubicable",IF('Ubicaciones'!E465&lt;&gt;"Abierta","Fuera por estatus","Coordenadas pendientes"))</x:f>
        <x:v>Fuera por estatus</x:v>
      </x:c>
    </x:row>
    <x:row r="466" ht="23" customHeight="1">
      <x:c r="A466" s="45" t="str">
        <x:f>'Ubicaciones'!C466</x:f>
        <x:v>43027</x:v>
      </x:c>
      <x:c r="B466" s="45" t="str">
        <x:f>'Ubicaciones'!A466</x:f>
        <x:v>Bajío</x:v>
      </x:c>
      <x:c r="C466" s="45" t="str">
        <x:f>'Ubicaciones'!B466</x:f>
        <x:v>Josue Joatan Gonzalez Anaya</x:v>
      </x:c>
      <x:c r="D466" s="45" t="str">
        <x:f>IF(COUNTIFS('Catalogos'!$A$2:$A$41,B466,'Catalogos'!$B$2:$B$41,C466)&gt;0,"Correcta","Revisar Región DM")</x:f>
        <x:v>Correcta</x:v>
      </x:c>
      <x:c r="E466" s="45" t="str">
        <x:f>IF(COUNTIFS('Ubicaciones'!$C$2:$C$10001,A466)=1,"Único","Duplicado")</x:f>
        <x:v>Único</x:v>
      </x:c>
      <x:c r="F466" s="45" t="str">
        <x:f>IF('Ubicaciones'!T466=1,"Ubicable",IF('Ubicaciones'!E466&lt;&gt;"Abierta","Fuera por estatus","Coordenadas pendientes"))</x:f>
        <x:v>Ubicable</x:v>
      </x:c>
    </x:row>
    <x:row r="467" ht="23" customHeight="1">
      <x:c r="A467" s="45" t="str">
        <x:f>'Ubicaciones'!C467</x:f>
        <x:v>43032</x:v>
      </x:c>
      <x:c r="B467" s="45" t="str">
        <x:f>'Ubicaciones'!A467</x:f>
        <x:v>Bajío</x:v>
      </x:c>
      <x:c r="C467" s="45" t="str">
        <x:f>'Ubicaciones'!B467</x:f>
        <x:v>Josue Joatan Gonzalez Anaya</x:v>
      </x:c>
      <x:c r="D467" s="45" t="str">
        <x:f>IF(COUNTIFS('Catalogos'!$A$2:$A$41,B467,'Catalogos'!$B$2:$B$41,C467)&gt;0,"Correcta","Revisar Región DM")</x:f>
        <x:v>Correcta</x:v>
      </x:c>
      <x:c r="E467" s="45" t="str">
        <x:f>IF(COUNTIFS('Ubicaciones'!$C$2:$C$10001,A467)=1,"Único","Duplicado")</x:f>
        <x:v>Único</x:v>
      </x:c>
      <x:c r="F467" s="45" t="str">
        <x:f>IF('Ubicaciones'!T467=1,"Ubicable",IF('Ubicaciones'!E467&lt;&gt;"Abierta","Fuera por estatus","Coordenadas pendientes"))</x:f>
        <x:v>Ubicable</x:v>
      </x:c>
    </x:row>
    <x:row r="468" ht="23" customHeight="1">
      <x:c r="A468" s="45" t="str">
        <x:f>'Ubicaciones'!C468</x:f>
        <x:v>43089</x:v>
      </x:c>
      <x:c r="B468" s="45" t="str">
        <x:f>'Ubicaciones'!A468</x:f>
        <x:v>Bajío</x:v>
      </x:c>
      <x:c r="C468" s="45" t="str">
        <x:f>'Ubicaciones'!B468</x:f>
        <x:v>Josue Joatan Gonzalez Anaya</x:v>
      </x:c>
      <x:c r="D468" s="45" t="str">
        <x:f>IF(COUNTIFS('Catalogos'!$A$2:$A$41,B468,'Catalogos'!$B$2:$B$41,C468)&gt;0,"Correcta","Revisar Región DM")</x:f>
        <x:v>Correcta</x:v>
      </x:c>
      <x:c r="E468" s="45" t="str">
        <x:f>IF(COUNTIFS('Ubicaciones'!$C$2:$C$10001,A468)=1,"Único","Duplicado")</x:f>
        <x:v>Único</x:v>
      </x:c>
      <x:c r="F468" s="45" t="str">
        <x:f>IF('Ubicaciones'!T468=1,"Ubicable",IF('Ubicaciones'!E468&lt;&gt;"Abierta","Fuera por estatus","Coordenadas pendientes"))</x:f>
        <x:v>Ubicable</x:v>
      </x:c>
    </x:row>
    <x:row r="469" ht="23" customHeight="1">
      <x:c r="A469" s="45" t="str">
        <x:f>'Ubicaciones'!C469</x:f>
        <x:v>43215</x:v>
      </x:c>
      <x:c r="B469" s="45" t="str">
        <x:f>'Ubicaciones'!A469</x:f>
        <x:v>Bajío</x:v>
      </x:c>
      <x:c r="C469" s="45" t="str">
        <x:f>'Ubicaciones'!B469</x:f>
        <x:v>Josue Joatan Gonzalez Anaya</x:v>
      </x:c>
      <x:c r="D469" s="45" t="str">
        <x:f>IF(COUNTIFS('Catalogos'!$A$2:$A$41,B469,'Catalogos'!$B$2:$B$41,C469)&gt;0,"Correcta","Revisar Región DM")</x:f>
        <x:v>Correcta</x:v>
      </x:c>
      <x:c r="E469" s="45" t="str">
        <x:f>IF(COUNTIFS('Ubicaciones'!$C$2:$C$10001,A469)=1,"Único","Duplicado")</x:f>
        <x:v>Único</x:v>
      </x:c>
      <x:c r="F469" s="45" t="str">
        <x:f>IF('Ubicaciones'!T469=1,"Ubicable",IF('Ubicaciones'!E469&lt;&gt;"Abierta","Fuera por estatus","Coordenadas pendientes"))</x:f>
        <x:v>Ubicable</x:v>
      </x:c>
    </x:row>
    <x:row r="470" ht="23" customHeight="1">
      <x:c r="A470" s="45" t="str">
        <x:f>'Ubicaciones'!C470</x:f>
        <x:v>38250</x:v>
      </x:c>
      <x:c r="B470" s="45" t="str">
        <x:f>'Ubicaciones'!A470</x:f>
        <x:v>Bajío</x:v>
      </x:c>
      <x:c r="C470" s="45" t="str">
        <x:f>'Ubicaciones'!B470</x:f>
        <x:v>Mauricio Sour Romero</x:v>
      </x:c>
      <x:c r="D470" s="45" t="str">
        <x:f>IF(COUNTIFS('Catalogos'!$A$2:$A$41,B470,'Catalogos'!$B$2:$B$41,C470)&gt;0,"Correcta","Revisar Región DM")</x:f>
        <x:v>Correcta</x:v>
      </x:c>
      <x:c r="E470" s="45" t="str">
        <x:f>IF(COUNTIFS('Ubicaciones'!$C$2:$C$10001,A470)=1,"Único","Duplicado")</x:f>
        <x:v>Único</x:v>
      </x:c>
      <x:c r="F470" s="45" t="str">
        <x:f>IF('Ubicaciones'!T470=1,"Ubicable",IF('Ubicaciones'!E470&lt;&gt;"Abierta","Fuera por estatus","Coordenadas pendientes"))</x:f>
        <x:v>Ubicable</x:v>
      </x:c>
    </x:row>
    <x:row r="471" ht="23" customHeight="1">
      <x:c r="A471" s="45" t="str">
        <x:f>'Ubicaciones'!C471</x:f>
        <x:v>38295</x:v>
      </x:c>
      <x:c r="B471" s="45" t="str">
        <x:f>'Ubicaciones'!A471</x:f>
        <x:v>Bajío</x:v>
      </x:c>
      <x:c r="C471" s="45" t="str">
        <x:f>'Ubicaciones'!B471</x:f>
        <x:v>Mauricio Sour Romero</x:v>
      </x:c>
      <x:c r="D471" s="45" t="str">
        <x:f>IF(COUNTIFS('Catalogos'!$A$2:$A$41,B471,'Catalogos'!$B$2:$B$41,C471)&gt;0,"Correcta","Revisar Región DM")</x:f>
        <x:v>Correcta</x:v>
      </x:c>
      <x:c r="E471" s="45" t="str">
        <x:f>IF(COUNTIFS('Ubicaciones'!$C$2:$C$10001,A471)=1,"Único","Duplicado")</x:f>
        <x:v>Único</x:v>
      </x:c>
      <x:c r="F471" s="45" t="str">
        <x:f>IF('Ubicaciones'!T471=1,"Ubicable",IF('Ubicaciones'!E471&lt;&gt;"Abierta","Fuera por estatus","Coordenadas pendientes"))</x:f>
        <x:v>Ubicable</x:v>
      </x:c>
    </x:row>
    <x:row r="472" ht="23" customHeight="1">
      <x:c r="A472" s="45" t="str">
        <x:f>'Ubicaciones'!C472</x:f>
        <x:v>38467</x:v>
      </x:c>
      <x:c r="B472" s="45" t="str">
        <x:f>'Ubicaciones'!A472</x:f>
        <x:v>Bajío</x:v>
      </x:c>
      <x:c r="C472" s="45" t="str">
        <x:f>'Ubicaciones'!B472</x:f>
        <x:v>Mauricio Sour Romero</x:v>
      </x:c>
      <x:c r="D472" s="45" t="str">
        <x:f>IF(COUNTIFS('Catalogos'!$A$2:$A$41,B472,'Catalogos'!$B$2:$B$41,C472)&gt;0,"Correcta","Revisar Región DM")</x:f>
        <x:v>Correcta</x:v>
      </x:c>
      <x:c r="E472" s="45" t="str">
        <x:f>IF(COUNTIFS('Ubicaciones'!$C$2:$C$10001,A472)=1,"Único","Duplicado")</x:f>
        <x:v>Único</x:v>
      </x:c>
      <x:c r="F472" s="45" t="str">
        <x:f>IF('Ubicaciones'!T472=1,"Ubicable",IF('Ubicaciones'!E472&lt;&gt;"Abierta","Fuera por estatus","Coordenadas pendientes"))</x:f>
        <x:v>Ubicable</x:v>
      </x:c>
    </x:row>
    <x:row r="473" ht="23" customHeight="1">
      <x:c r="A473" s="45" t="str">
        <x:f>'Ubicaciones'!C473</x:f>
        <x:v>38728</x:v>
      </x:c>
      <x:c r="B473" s="45" t="str">
        <x:f>'Ubicaciones'!A473</x:f>
        <x:v>Bajío</x:v>
      </x:c>
      <x:c r="C473" s="45" t="str">
        <x:f>'Ubicaciones'!B473</x:f>
        <x:v>Mauricio Sour Romero</x:v>
      </x:c>
      <x:c r="D473" s="45" t="str">
        <x:f>IF(COUNTIFS('Catalogos'!$A$2:$A$41,B473,'Catalogos'!$B$2:$B$41,C473)&gt;0,"Correcta","Revisar Región DM")</x:f>
        <x:v>Correcta</x:v>
      </x:c>
      <x:c r="E473" s="45" t="str">
        <x:f>IF(COUNTIFS('Ubicaciones'!$C$2:$C$10001,A473)=1,"Único","Duplicado")</x:f>
        <x:v>Único</x:v>
      </x:c>
      <x:c r="F473" s="45" t="str">
        <x:f>IF('Ubicaciones'!T473=1,"Ubicable",IF('Ubicaciones'!E473&lt;&gt;"Abierta","Fuera por estatus","Coordenadas pendientes"))</x:f>
        <x:v>Ubicable</x:v>
      </x:c>
    </x:row>
    <x:row r="474" ht="23" customHeight="1">
      <x:c r="A474" s="45" t="str">
        <x:f>'Ubicaciones'!C474</x:f>
        <x:v>38757</x:v>
      </x:c>
      <x:c r="B474" s="45" t="str">
        <x:f>'Ubicaciones'!A474</x:f>
        <x:v>Bajío</x:v>
      </x:c>
      <x:c r="C474" s="45" t="str">
        <x:f>'Ubicaciones'!B474</x:f>
        <x:v>Mauricio Sour Romero</x:v>
      </x:c>
      <x:c r="D474" s="45" t="str">
        <x:f>IF(COUNTIFS('Catalogos'!$A$2:$A$41,B474,'Catalogos'!$B$2:$B$41,C474)&gt;0,"Correcta","Revisar Región DM")</x:f>
        <x:v>Correcta</x:v>
      </x:c>
      <x:c r="E474" s="45" t="str">
        <x:f>IF(COUNTIFS('Ubicaciones'!$C$2:$C$10001,A474)=1,"Único","Duplicado")</x:f>
        <x:v>Único</x:v>
      </x:c>
      <x:c r="F474" s="45" t="str">
        <x:f>IF('Ubicaciones'!T474=1,"Ubicable",IF('Ubicaciones'!E474&lt;&gt;"Abierta","Fuera por estatus","Coordenadas pendientes"))</x:f>
        <x:v>Ubicable</x:v>
      </x:c>
    </x:row>
    <x:row r="475" ht="23" customHeight="1">
      <x:c r="A475" s="45" t="str">
        <x:f>'Ubicaciones'!C475</x:f>
        <x:v>38864</x:v>
      </x:c>
      <x:c r="B475" s="45" t="str">
        <x:f>'Ubicaciones'!A475</x:f>
        <x:v>Bajío</x:v>
      </x:c>
      <x:c r="C475" s="45" t="str">
        <x:f>'Ubicaciones'!B475</x:f>
        <x:v>Mauricio Sour Romero</x:v>
      </x:c>
      <x:c r="D475" s="45" t="str">
        <x:f>IF(COUNTIFS('Catalogos'!$A$2:$A$41,B475,'Catalogos'!$B$2:$B$41,C475)&gt;0,"Correcta","Revisar Región DM")</x:f>
        <x:v>Correcta</x:v>
      </x:c>
      <x:c r="E475" s="45" t="str">
        <x:f>IF(COUNTIFS('Ubicaciones'!$C$2:$C$10001,A475)=1,"Único","Duplicado")</x:f>
        <x:v>Único</x:v>
      </x:c>
      <x:c r="F475" s="45" t="str">
        <x:f>IF('Ubicaciones'!T475=1,"Ubicable",IF('Ubicaciones'!E475&lt;&gt;"Abierta","Fuera por estatus","Coordenadas pendientes"))</x:f>
        <x:v>Ubicable</x:v>
      </x:c>
    </x:row>
    <x:row r="476" ht="23" customHeight="1">
      <x:c r="A476" s="45" t="str">
        <x:f>'Ubicaciones'!C476</x:f>
        <x:v>38871</x:v>
      </x:c>
      <x:c r="B476" s="45" t="str">
        <x:f>'Ubicaciones'!A476</x:f>
        <x:v>Bajío</x:v>
      </x:c>
      <x:c r="C476" s="45" t="str">
        <x:f>'Ubicaciones'!B476</x:f>
        <x:v>Mauricio Sour Romero</x:v>
      </x:c>
      <x:c r="D476" s="45" t="str">
        <x:f>IF(COUNTIFS('Catalogos'!$A$2:$A$41,B476,'Catalogos'!$B$2:$B$41,C476)&gt;0,"Correcta","Revisar Región DM")</x:f>
        <x:v>Correcta</x:v>
      </x:c>
      <x:c r="E476" s="45" t="str">
        <x:f>IF(COUNTIFS('Ubicaciones'!$C$2:$C$10001,A476)=1,"Único","Duplicado")</x:f>
        <x:v>Único</x:v>
      </x:c>
      <x:c r="F476" s="45" t="str">
        <x:f>IF('Ubicaciones'!T476=1,"Ubicable",IF('Ubicaciones'!E476&lt;&gt;"Abierta","Fuera por estatus","Coordenadas pendientes"))</x:f>
        <x:v>Ubicable</x:v>
      </x:c>
    </x:row>
    <x:row r="477" ht="23" customHeight="1">
      <x:c r="A477" s="45" t="str">
        <x:f>'Ubicaciones'!C477</x:f>
        <x:v>38886</x:v>
      </x:c>
      <x:c r="B477" s="45" t="str">
        <x:f>'Ubicaciones'!A477</x:f>
        <x:v>Bajío</x:v>
      </x:c>
      <x:c r="C477" s="45" t="str">
        <x:f>'Ubicaciones'!B477</x:f>
        <x:v>Mauricio Sour Romero</x:v>
      </x:c>
      <x:c r="D477" s="45" t="str">
        <x:f>IF(COUNTIFS('Catalogos'!$A$2:$A$41,B477,'Catalogos'!$B$2:$B$41,C477)&gt;0,"Correcta","Revisar Región DM")</x:f>
        <x:v>Correcta</x:v>
      </x:c>
      <x:c r="E477" s="45" t="str">
        <x:f>IF(COUNTIFS('Ubicaciones'!$C$2:$C$10001,A477)=1,"Único","Duplicado")</x:f>
        <x:v>Único</x:v>
      </x:c>
      <x:c r="F477" s="45" t="str">
        <x:f>IF('Ubicaciones'!T477=1,"Ubicable",IF('Ubicaciones'!E477&lt;&gt;"Abierta","Fuera por estatus","Coordenadas pendientes"))</x:f>
        <x:v>Ubicable</x:v>
      </x:c>
    </x:row>
    <x:row r="478" ht="23" customHeight="1">
      <x:c r="A478" s="45" t="str">
        <x:f>'Ubicaciones'!C478</x:f>
        <x:v>38916</x:v>
      </x:c>
      <x:c r="B478" s="45" t="str">
        <x:f>'Ubicaciones'!A478</x:f>
        <x:v>Bajío</x:v>
      </x:c>
      <x:c r="C478" s="45" t="str">
        <x:f>'Ubicaciones'!B478</x:f>
        <x:v>Mauricio Sour Romero</x:v>
      </x:c>
      <x:c r="D478" s="45" t="str">
        <x:f>IF(COUNTIFS('Catalogos'!$A$2:$A$41,B478,'Catalogos'!$B$2:$B$41,C478)&gt;0,"Correcta","Revisar Región DM")</x:f>
        <x:v>Correcta</x:v>
      </x:c>
      <x:c r="E478" s="45" t="str">
        <x:f>IF(COUNTIFS('Ubicaciones'!$C$2:$C$10001,A478)=1,"Único","Duplicado")</x:f>
        <x:v>Único</x:v>
      </x:c>
      <x:c r="F478" s="45" t="str">
        <x:f>IF('Ubicaciones'!T478=1,"Ubicable",IF('Ubicaciones'!E478&lt;&gt;"Abierta","Fuera por estatus","Coordenadas pendientes"))</x:f>
        <x:v>Ubicable</x:v>
      </x:c>
    </x:row>
    <x:row r="479" ht="23" customHeight="1">
      <x:c r="A479" s="45" t="str">
        <x:f>'Ubicaciones'!C479</x:f>
        <x:v>38944</x:v>
      </x:c>
      <x:c r="B479" s="45" t="str">
        <x:f>'Ubicaciones'!A479</x:f>
        <x:v>Bajío</x:v>
      </x:c>
      <x:c r="C479" s="45" t="str">
        <x:f>'Ubicaciones'!B479</x:f>
        <x:v>Mauricio Sour Romero</x:v>
      </x:c>
      <x:c r="D479" s="45" t="str">
        <x:f>IF(COUNTIFS('Catalogos'!$A$2:$A$41,B479,'Catalogos'!$B$2:$B$41,C479)&gt;0,"Correcta","Revisar Región DM")</x:f>
        <x:v>Correcta</x:v>
      </x:c>
      <x:c r="E479" s="45" t="str">
        <x:f>IF(COUNTIFS('Ubicaciones'!$C$2:$C$10001,A479)=1,"Único","Duplicado")</x:f>
        <x:v>Único</x:v>
      </x:c>
      <x:c r="F479" s="45" t="str">
        <x:f>IF('Ubicaciones'!T479=1,"Ubicable",IF('Ubicaciones'!E479&lt;&gt;"Abierta","Fuera por estatus","Coordenadas pendientes"))</x:f>
        <x:v>Ubicable</x:v>
      </x:c>
    </x:row>
    <x:row r="480" ht="23" customHeight="1">
      <x:c r="A480" s="45" t="str">
        <x:f>'Ubicaciones'!C480</x:f>
        <x:v>38976</x:v>
      </x:c>
      <x:c r="B480" s="45" t="str">
        <x:f>'Ubicaciones'!A480</x:f>
        <x:v>Bajío</x:v>
      </x:c>
      <x:c r="C480" s="45" t="str">
        <x:f>'Ubicaciones'!B480</x:f>
        <x:v>Mauricio Sour Romero</x:v>
      </x:c>
      <x:c r="D480" s="45" t="str">
        <x:f>IF(COUNTIFS('Catalogos'!$A$2:$A$41,B480,'Catalogos'!$B$2:$B$41,C480)&gt;0,"Correcta","Revisar Región DM")</x:f>
        <x:v>Correcta</x:v>
      </x:c>
      <x:c r="E480" s="45" t="str">
        <x:f>IF(COUNTIFS('Ubicaciones'!$C$2:$C$10001,A480)=1,"Único","Duplicado")</x:f>
        <x:v>Único</x:v>
      </x:c>
      <x:c r="F480" s="45" t="str">
        <x:f>IF('Ubicaciones'!T480=1,"Ubicable",IF('Ubicaciones'!E480&lt;&gt;"Abierta","Fuera por estatus","Coordenadas pendientes"))</x:f>
        <x:v>Ubicable</x:v>
      </x:c>
    </x:row>
    <x:row r="481" ht="23" customHeight="1">
      <x:c r="A481" s="45" t="str">
        <x:f>'Ubicaciones'!C481</x:f>
        <x:v>43033</x:v>
      </x:c>
      <x:c r="B481" s="45" t="str">
        <x:f>'Ubicaciones'!A481</x:f>
        <x:v>Bajío</x:v>
      </x:c>
      <x:c r="C481" s="45" t="str">
        <x:f>'Ubicaciones'!B481</x:f>
        <x:v>Mauricio Sour Romero</x:v>
      </x:c>
      <x:c r="D481" s="45" t="str">
        <x:f>IF(COUNTIFS('Catalogos'!$A$2:$A$41,B481,'Catalogos'!$B$2:$B$41,C481)&gt;0,"Correcta","Revisar Región DM")</x:f>
        <x:v>Correcta</x:v>
      </x:c>
      <x:c r="E481" s="45" t="str">
        <x:f>IF(COUNTIFS('Ubicaciones'!$C$2:$C$10001,A481)=1,"Único","Duplicado")</x:f>
        <x:v>Único</x:v>
      </x:c>
      <x:c r="F481" s="45" t="str">
        <x:f>IF('Ubicaciones'!T481=1,"Ubicable",IF('Ubicaciones'!E481&lt;&gt;"Abierta","Fuera por estatus","Coordenadas pendientes"))</x:f>
        <x:v>Ubicable</x:v>
      </x:c>
    </x:row>
    <x:row r="482" ht="23" customHeight="1">
      <x:c r="A482" s="45" t="str">
        <x:f>'Ubicaciones'!C482</x:f>
        <x:v>43180</x:v>
      </x:c>
      <x:c r="B482" s="45" t="str">
        <x:f>'Ubicaciones'!A482</x:f>
        <x:v>Bajío</x:v>
      </x:c>
      <x:c r="C482" s="45" t="str">
        <x:f>'Ubicaciones'!B482</x:f>
        <x:v>Mauricio Sour Romero</x:v>
      </x:c>
      <x:c r="D482" s="45" t="str">
        <x:f>IF(COUNTIFS('Catalogos'!$A$2:$A$41,B482,'Catalogos'!$B$2:$B$41,C482)&gt;0,"Correcta","Revisar Región DM")</x:f>
        <x:v>Correcta</x:v>
      </x:c>
      <x:c r="E482" s="45" t="str">
        <x:f>IF(COUNTIFS('Ubicaciones'!$C$2:$C$10001,A482)=1,"Único","Duplicado")</x:f>
        <x:v>Único</x:v>
      </x:c>
      <x:c r="F482" s="45" t="str">
        <x:f>IF('Ubicaciones'!T482=1,"Ubicable",IF('Ubicaciones'!E482&lt;&gt;"Abierta","Fuera por estatus","Coordenadas pendientes"))</x:f>
        <x:v>Ubicable</x:v>
      </x:c>
    </x:row>
    <x:row r="483" ht="23" customHeight="1">
      <x:c r="A483" s="45" t="str">
        <x:f>'Ubicaciones'!C483</x:f>
        <x:v>43199</x:v>
      </x:c>
      <x:c r="B483" s="45" t="str">
        <x:f>'Ubicaciones'!A483</x:f>
        <x:v>Bajío</x:v>
      </x:c>
      <x:c r="C483" s="45" t="str">
        <x:f>'Ubicaciones'!B483</x:f>
        <x:v>Mauricio Sour Romero</x:v>
      </x:c>
      <x:c r="D483" s="45" t="str">
        <x:f>IF(COUNTIFS('Catalogos'!$A$2:$A$41,B483,'Catalogos'!$B$2:$B$41,C483)&gt;0,"Correcta","Revisar Región DM")</x:f>
        <x:v>Correcta</x:v>
      </x:c>
      <x:c r="E483" s="45" t="str">
        <x:f>IF(COUNTIFS('Ubicaciones'!$C$2:$C$10001,A483)=1,"Único","Duplicado")</x:f>
        <x:v>Único</x:v>
      </x:c>
      <x:c r="F483" s="45" t="str">
        <x:f>IF('Ubicaciones'!T483=1,"Ubicable",IF('Ubicaciones'!E483&lt;&gt;"Abierta","Fuera por estatus","Coordenadas pendientes"))</x:f>
        <x:v>Ubicable</x:v>
      </x:c>
    </x:row>
    <x:row r="484">
      <x:c r="A484"/>
      <x:c r="B484"/>
      <x:c r="C484"/>
    </x:row>
    <x:row r="485">
      <x:c r="A485"/>
      <x:c r="B485"/>
      <x:c r="C485"/>
    </x:row>
    <x:row r="486">
      <x:c r="A486"/>
      <x:c r="B486"/>
      <x:c r="C486"/>
    </x:row>
    <x:row r="487">
      <x:c r="A487"/>
      <x:c r="B487"/>
      <x:c r="C487"/>
    </x:row>
    <x:row r="488">
      <x:c r="A488"/>
      <x:c r="B488"/>
      <x:c r="C488"/>
    </x:row>
    <x:row r="489">
      <x:c r="A489"/>
      <x:c r="B489"/>
      <x:c r="C489"/>
    </x:row>
    <x:row r="490">
      <x:c r="A490"/>
      <x:c r="B490"/>
      <x:c r="C490"/>
    </x:row>
    <x:row r="491">
      <x:c r="A491"/>
      <x:c r="B491"/>
      <x:c r="C491"/>
    </x:row>
    <x:row r="492">
      <x:c r="A492"/>
      <x:c r="B492"/>
      <x:c r="C492"/>
    </x:row>
    <x:row r="493">
      <x:c r="A493"/>
      <x:c r="B493"/>
      <x:c r="C493"/>
    </x:row>
    <x:row r="494">
      <x:c r="A494"/>
      <x:c r="B494"/>
      <x:c r="C494"/>
    </x:row>
    <x:row r="495">
      <x:c r="A495"/>
      <x:c r="B495"/>
      <x:c r="C495"/>
    </x:row>
    <x:row r="496">
      <x:c r="A496"/>
      <x:c r="B496"/>
      <x:c r="C496"/>
    </x:row>
    <x:row r="497">
      <x:c r="A497"/>
      <x:c r="B497"/>
      <x:c r="C497"/>
    </x:row>
    <x:row r="498">
      <x:c r="A498"/>
      <x:c r="B498"/>
      <x:c r="C498"/>
    </x:row>
    <x:row r="499">
      <x:c r="A499"/>
      <x:c r="B499"/>
      <x:c r="C499"/>
    </x:row>
    <x:row r="500">
      <x:c r="A500"/>
      <x:c r="B500"/>
      <x:c r="C500"/>
    </x:row>
    <x:row r="501">
      <x:c r="A501"/>
      <x:c r="B501"/>
      <x:c r="C501"/>
    </x:row>
    <x:row r="502">
      <x:c r="A502"/>
      <x:c r="B502"/>
      <x:c r="C502"/>
    </x:row>
    <x:row r="503">
      <x:c r="A503"/>
      <x:c r="B503"/>
      <x:c r="C503"/>
    </x:row>
    <x:row r="504">
      <x:c r="A504"/>
      <x:c r="B504"/>
      <x:c r="C504"/>
    </x:row>
    <x:row r="505">
      <x:c r="A505"/>
      <x:c r="B505"/>
      <x:c r="C505"/>
    </x:row>
    <x:row r="506">
      <x:c r="A506"/>
      <x:c r="B506"/>
      <x:c r="C506"/>
    </x:row>
    <x:row r="507">
      <x:c r="A507"/>
      <x:c r="B507"/>
      <x:c r="C507"/>
    </x:row>
    <x:row r="508">
      <x:c r="A508"/>
      <x:c r="B508"/>
      <x:c r="C508"/>
    </x:row>
    <x:row r="509">
      <x:c r="A509"/>
      <x:c r="B509"/>
      <x:c r="C509"/>
    </x:row>
    <x:row r="510">
      <x:c r="A510"/>
      <x:c r="B510"/>
      <x:c r="C510"/>
    </x:row>
    <x:row r="511">
      <x:c r="A511"/>
      <x:c r="B511"/>
      <x:c r="C511"/>
    </x:row>
    <x:row r="512">
      <x:c r="A512"/>
      <x:c r="B512"/>
      <x:c r="C512"/>
    </x:row>
    <x:row r="513">
      <x:c r="A513"/>
      <x:c r="B513"/>
      <x:c r="C513"/>
    </x:row>
  </x:sheetData>
  <x:conditionalFormatting sqref="D2:E483">
    <x:cfRule type="containsText" dxfId="35" priority="1" operator="containsText" text="Revisar"/>
  </x:conditionalFormatting>
  <x:conditionalFormatting sqref="E2:E483">
    <x:cfRule type="containsText" dxfId="36" priority="2" operator="containsText" text="Duplicado"/>
  </x:conditionalFormatting>
  <x:pageMargins left="0.7" right="0.7" top="0.75" bottom="0.75" header="0.3" footer="0.3"/>
  <x:tableParts count="1">
    <x:tablePart xmlns:r="http://schemas.openxmlformats.org/officeDocument/2006/relationships" r:id="R41d3b6052aee408f"/>
  </x:tableParts>
</x:worksheet>
</file>